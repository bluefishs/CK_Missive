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\3.報價單彙整\張麗秋代書_良全辦公室新建工程保存\"/>
    </mc:Choice>
  </mc:AlternateContent>
  <xr:revisionPtr revIDLastSave="0" documentId="13_ncr:1_{8A4737EA-93E0-41F3-850E-AB9FD44389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報價單" sheetId="16" r:id="rId1"/>
  </sheets>
  <definedNames>
    <definedName name="_xlnm.Print_Area" localSheetId="0">報價單!$A$1:$G$40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6" l="1"/>
  <c r="F16" i="16"/>
  <c r="F18" i="16"/>
  <c r="E26" i="16" l="1"/>
  <c r="E27" i="16" l="1"/>
  <c r="E28" i="16" s="1"/>
</calcChain>
</file>

<file path=xl/sharedStrings.xml><?xml version="1.0" encoding="utf-8"?>
<sst xmlns="http://schemas.openxmlformats.org/spreadsheetml/2006/main" count="55" uniqueCount="53">
  <si>
    <t>Chien-Kun Surveying &amp; Mapping Technology Co., Ltd.</t>
    <phoneticPr fontId="1" type="noConversion"/>
  </si>
  <si>
    <t>手機號碼：</t>
    <phoneticPr fontId="1" type="noConversion"/>
  </si>
  <si>
    <r>
      <rPr>
        <sz val="12"/>
        <rFont val="標楷體"/>
        <family val="4"/>
        <charset val="136"/>
      </rPr>
      <t>項次</t>
    </r>
    <phoneticPr fontId="1" type="noConversion"/>
  </si>
  <si>
    <r>
      <rPr>
        <sz val="12"/>
        <rFont val="標楷體"/>
        <family val="4"/>
        <charset val="136"/>
      </rPr>
      <t>數量</t>
    </r>
    <phoneticPr fontId="1" type="noConversion"/>
  </si>
  <si>
    <r>
      <rPr>
        <sz val="12"/>
        <rFont val="標楷體"/>
        <family val="4"/>
        <charset val="136"/>
      </rPr>
      <t>單位</t>
    </r>
    <phoneticPr fontId="1" type="noConversion"/>
  </si>
  <si>
    <t>稅額(5%)</t>
    <phoneticPr fontId="1" type="noConversion"/>
  </si>
  <si>
    <r>
      <rPr>
        <b/>
        <sz val="18"/>
        <rFont val="標楷體"/>
        <family val="4"/>
        <charset val="136"/>
      </rPr>
      <t>乾坤測繪科技有限公司</t>
    </r>
    <phoneticPr fontId="1" type="noConversion"/>
  </si>
  <si>
    <r>
      <rPr>
        <sz val="10"/>
        <rFont val="標楷體"/>
        <family val="4"/>
        <charset val="136"/>
      </rPr>
      <t>服務電話：</t>
    </r>
    <r>
      <rPr>
        <sz val="10"/>
        <rFont val="Tahoma"/>
        <family val="2"/>
      </rPr>
      <t>04-24722488</t>
    </r>
    <phoneticPr fontId="1" type="noConversion"/>
  </si>
  <si>
    <r>
      <rPr>
        <sz val="10"/>
        <rFont val="標楷體"/>
        <family val="4"/>
        <charset val="136"/>
      </rPr>
      <t>報價單編號：</t>
    </r>
    <phoneticPr fontId="1" type="noConversion"/>
  </si>
  <si>
    <r>
      <rPr>
        <sz val="10"/>
        <rFont val="標楷體"/>
        <family val="4"/>
        <charset val="136"/>
      </rPr>
      <t>公司傳真：</t>
    </r>
    <r>
      <rPr>
        <sz val="10"/>
        <rFont val="Tahoma"/>
        <family val="2"/>
      </rPr>
      <t>04-24722433</t>
    </r>
    <phoneticPr fontId="1" type="noConversion"/>
  </si>
  <si>
    <r>
      <rPr>
        <sz val="10"/>
        <rFont val="標楷體"/>
        <family val="4"/>
        <charset val="136"/>
      </rPr>
      <t>報價日期：</t>
    </r>
    <phoneticPr fontId="1" type="noConversion"/>
  </si>
  <si>
    <t>合　　計</t>
    <phoneticPr fontId="1" type="noConversion"/>
  </si>
  <si>
    <t>總　　計</t>
    <phoneticPr fontId="1" type="noConversion"/>
  </si>
  <si>
    <r>
      <rPr>
        <sz val="11"/>
        <rFont val="標楷體"/>
        <family val="4"/>
        <charset val="136"/>
      </rPr>
      <t>聯絡人：</t>
    </r>
    <phoneticPr fontId="1" type="noConversion"/>
  </si>
  <si>
    <r>
      <rPr>
        <sz val="11"/>
        <rFont val="標楷體"/>
        <family val="4"/>
        <charset val="136"/>
      </rPr>
      <t>傳真號碼：</t>
    </r>
    <phoneticPr fontId="1" type="noConversion"/>
  </si>
  <si>
    <r>
      <t>E-mail</t>
    </r>
    <r>
      <rPr>
        <sz val="11"/>
        <rFont val="標楷體"/>
        <family val="4"/>
        <charset val="136"/>
      </rPr>
      <t>：</t>
    </r>
    <phoneticPr fontId="1" type="noConversion"/>
  </si>
  <si>
    <r>
      <rPr>
        <sz val="11"/>
        <rFont val="標楷體"/>
        <family val="4"/>
        <charset val="136"/>
      </rPr>
      <t>聯絡地址：</t>
    </r>
    <phoneticPr fontId="1" type="noConversion"/>
  </si>
  <si>
    <r>
      <rPr>
        <sz val="11"/>
        <rFont val="標楷體"/>
        <family val="4"/>
        <charset val="136"/>
      </rPr>
      <t>計畫名稱：</t>
    </r>
    <phoneticPr fontId="1" type="noConversion"/>
  </si>
  <si>
    <r>
      <rPr>
        <sz val="11"/>
        <rFont val="標楷體"/>
        <family val="4"/>
        <charset val="136"/>
      </rPr>
      <t>工作地點：</t>
    </r>
    <phoneticPr fontId="1" type="noConversion"/>
  </si>
  <si>
    <r>
      <rPr>
        <sz val="11"/>
        <rFont val="標楷體"/>
        <family val="4"/>
        <charset val="136"/>
      </rPr>
      <t>客戶名稱：</t>
    </r>
    <phoneticPr fontId="1" type="noConversion"/>
  </si>
  <si>
    <t>*** 本報價單須經客戶簽名用印後，傳真或掃瞄檔案傳回至本公司始生效。</t>
    <phoneticPr fontId="1" type="noConversion"/>
  </si>
  <si>
    <t>客戶簽章處：</t>
    <phoneticPr fontId="1" type="noConversion"/>
  </si>
  <si>
    <t>服務人員：</t>
    <phoneticPr fontId="1" type="noConversion"/>
  </si>
  <si>
    <r>
      <rPr>
        <sz val="12"/>
        <rFont val="標楷體"/>
        <family val="4"/>
        <charset val="136"/>
      </rPr>
      <t>單價</t>
    </r>
    <r>
      <rPr>
        <sz val="12"/>
        <rFont val="Tahoma"/>
        <family val="2"/>
      </rPr>
      <t>(</t>
    </r>
    <r>
      <rPr>
        <sz val="12"/>
        <rFont val="標楷體"/>
        <family val="4"/>
        <charset val="136"/>
      </rPr>
      <t>元</t>
    </r>
    <r>
      <rPr>
        <sz val="12"/>
        <rFont val="Tahoma"/>
        <family val="2"/>
      </rPr>
      <t>)</t>
    </r>
    <phoneticPr fontId="1" type="noConversion"/>
  </si>
  <si>
    <r>
      <rPr>
        <sz val="12"/>
        <rFont val="標楷體"/>
        <family val="4"/>
        <charset val="136"/>
      </rPr>
      <t>複價</t>
    </r>
    <r>
      <rPr>
        <sz val="12"/>
        <rFont val="Tahoma"/>
        <family val="2"/>
      </rPr>
      <t>(</t>
    </r>
    <r>
      <rPr>
        <sz val="12"/>
        <rFont val="標楷體"/>
        <family val="4"/>
        <charset val="136"/>
      </rPr>
      <t>元</t>
    </r>
    <r>
      <rPr>
        <sz val="12"/>
        <rFont val="Tahoma"/>
        <family val="2"/>
      </rPr>
      <t>)</t>
    </r>
    <phoneticPr fontId="1" type="noConversion"/>
  </si>
  <si>
    <r>
      <rPr>
        <sz val="12"/>
        <rFont val="標楷體"/>
        <family val="4"/>
        <charset val="136"/>
      </rPr>
      <t>備註</t>
    </r>
    <phoneticPr fontId="1" type="noConversion"/>
  </si>
  <si>
    <t>工作內容</t>
    <phoneticPr fontId="1" type="noConversion"/>
  </si>
  <si>
    <t>乾坤測繪科技有限公司</t>
    <phoneticPr fontId="1" type="noConversion"/>
  </si>
  <si>
    <t>報　價　明　細　表</t>
    <phoneticPr fontId="1" type="noConversion"/>
  </si>
  <si>
    <t>聯絡電話：</t>
    <phoneticPr fontId="1" type="noConversion"/>
  </si>
  <si>
    <t>統一編號：</t>
    <phoneticPr fontId="1" type="noConversion"/>
  </si>
  <si>
    <t>工程編號：</t>
    <phoneticPr fontId="1" type="noConversion"/>
  </si>
  <si>
    <t>*** 本報價單自報價日起30日內有效。</t>
    <phoneticPr fontId="1" type="noConversion"/>
  </si>
  <si>
    <t>一、</t>
    <phoneticPr fontId="1" type="noConversion"/>
  </si>
  <si>
    <t>二、</t>
    <phoneticPr fontId="1" type="noConversion"/>
  </si>
  <si>
    <t>式</t>
    <phoneticPr fontId="1" type="noConversion"/>
  </si>
  <si>
    <t>建物標示圖簽證</t>
    <phoneticPr fontId="1" type="noConversion"/>
  </si>
  <si>
    <t>戶</t>
    <phoneticPr fontId="1" type="noConversion"/>
  </si>
  <si>
    <r>
      <t xml:space="preserve">408025 </t>
    </r>
    <r>
      <rPr>
        <b/>
        <sz val="9"/>
        <rFont val="標楷體"/>
        <family val="4"/>
        <charset val="136"/>
      </rPr>
      <t>臺中市南屯區精誠南路</t>
    </r>
    <r>
      <rPr>
        <b/>
        <sz val="9"/>
        <rFont val="Tahoma"/>
        <family val="2"/>
      </rPr>
      <t>739</t>
    </r>
    <r>
      <rPr>
        <b/>
        <sz val="9"/>
        <rFont val="標楷體"/>
        <family val="4"/>
        <charset val="136"/>
      </rPr>
      <t xml:space="preserve">號
</t>
    </r>
    <r>
      <rPr>
        <b/>
        <sz val="7"/>
        <rFont val="Tahoma"/>
        <family val="2"/>
      </rPr>
      <t>No.739, Jingcheng S. Rd., Nantun Dist., Taichung City 408025, Taiwan, R.O.C</t>
    </r>
    <r>
      <rPr>
        <b/>
        <sz val="6"/>
        <rFont val="Tahoma"/>
        <family val="2"/>
      </rPr>
      <t xml:space="preserve"> </t>
    </r>
    <phoneticPr fontId="1" type="noConversion"/>
  </si>
  <si>
    <t>建物第一次測量</t>
    <phoneticPr fontId="1" type="noConversion"/>
  </si>
  <si>
    <t>備註：</t>
    <phoneticPr fontId="1" type="noConversion"/>
  </si>
  <si>
    <t>建物標示圖繪製</t>
    <phoneticPr fontId="1" type="noConversion"/>
  </si>
  <si>
    <t>三、</t>
    <phoneticPr fontId="1" type="noConversion"/>
  </si>
  <si>
    <t>B115-D0004-0</t>
    <phoneticPr fontId="1" type="noConversion"/>
  </si>
  <si>
    <t>04-22775160</t>
    <phoneticPr fontId="1" type="noConversion"/>
  </si>
  <si>
    <t>賴柏霖</t>
    <phoneticPr fontId="1" type="noConversion"/>
  </si>
  <si>
    <t>david790707@gmail.com</t>
    <phoneticPr fontId="1" type="noConversion"/>
  </si>
  <si>
    <t>建物地籍測繪資料測量檢核(不另製作簽證成果圖)</t>
    <phoneticPr fontId="1" type="noConversion"/>
  </si>
  <si>
    <t>良全預拌混凝土股份有限公司</t>
    <phoneticPr fontId="1" type="noConversion"/>
  </si>
  <si>
    <t>霧峰區五福段145等地號</t>
    <phoneticPr fontId="1" type="noConversion"/>
  </si>
  <si>
    <t>115.08.17</t>
    <phoneticPr fontId="1" type="noConversion"/>
  </si>
  <si>
    <t>張麗琪　地政士</t>
    <phoneticPr fontId="1" type="noConversion"/>
  </si>
  <si>
    <t>本案已領得使用執照，如經審視發現有與建物保存登記法規不符之處需協助修改者，地政規費諮詢費另計並重新開立報價單。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</si>
</sst>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[$-404]e/m/d;@"/>
  </numFmts>
  <fonts count="24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b/>
      <sz val="18"/>
      <name val="標楷體"/>
      <family val="4"/>
      <charset val="136"/>
    </font>
    <font>
      <b/>
      <sz val="9"/>
      <name val="標楷體"/>
      <family val="4"/>
      <charset val="136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11"/>
      <name val="標楷體"/>
      <family val="4"/>
      <charset val="136"/>
    </font>
    <font>
      <sz val="12"/>
      <name val="微軟正黑體"/>
      <family val="2"/>
      <charset val="136"/>
    </font>
    <font>
      <u/>
      <sz val="20"/>
      <name val="Adobe 繁黑體 Std B"/>
      <family val="2"/>
      <charset val="136"/>
    </font>
    <font>
      <b/>
      <sz val="18"/>
      <name val="Tahoma"/>
      <family val="2"/>
    </font>
    <font>
      <b/>
      <sz val="9"/>
      <name val="Tahoma"/>
      <family val="2"/>
    </font>
    <font>
      <b/>
      <sz val="7"/>
      <name val="Tahoma"/>
      <family val="2"/>
    </font>
    <font>
      <b/>
      <sz val="6"/>
      <name val="Tahoma"/>
      <family val="2"/>
    </font>
    <font>
      <b/>
      <sz val="8"/>
      <name val="Tahoma"/>
      <family val="2"/>
    </font>
    <font>
      <sz val="10"/>
      <name val="Tahoma"/>
      <family val="2"/>
    </font>
    <font>
      <sz val="12"/>
      <name val="Tahoma"/>
      <family val="2"/>
    </font>
    <font>
      <sz val="11"/>
      <name val="Tahoma"/>
      <family val="2"/>
    </font>
    <font>
      <sz val="11"/>
      <name val="Verdana"/>
      <family val="2"/>
    </font>
    <font>
      <u/>
      <sz val="12"/>
      <color theme="10"/>
      <name val="新細明體"/>
      <family val="1"/>
      <charset val="136"/>
    </font>
    <font>
      <sz val="11"/>
      <name val="Times New Roman"/>
      <family val="1"/>
    </font>
    <font>
      <sz val="10"/>
      <name val="新細明體"/>
      <family val="1"/>
      <charset val="136"/>
    </font>
    <font>
      <u/>
      <sz val="11"/>
      <name val="標楷體"/>
      <family val="4"/>
      <charset val="136"/>
    </font>
    <font>
      <sz val="11"/>
      <name val="細明體"/>
      <family val="2"/>
      <charset val="136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5" fillId="0" borderId="5" xfId="0" applyFont="1" applyBorder="1">
      <alignment vertical="center"/>
    </xf>
    <xf numFmtId="0" fontId="5" fillId="0" borderId="0" xfId="0" applyFont="1">
      <alignment vertical="center"/>
    </xf>
    <xf numFmtId="0" fontId="5" fillId="0" borderId="3" xfId="0" applyFont="1" applyBorder="1">
      <alignment vertical="center"/>
    </xf>
    <xf numFmtId="0" fontId="2" fillId="0" borderId="0" xfId="0" applyFont="1">
      <alignment vertical="center"/>
    </xf>
    <xf numFmtId="0" fontId="5" fillId="0" borderId="4" xfId="0" applyFont="1" applyBorder="1">
      <alignment vertical="center"/>
    </xf>
    <xf numFmtId="0" fontId="7" fillId="0" borderId="0" xfId="0" applyFont="1">
      <alignment vertical="center"/>
    </xf>
    <xf numFmtId="0" fontId="5" fillId="0" borderId="29" xfId="0" applyFont="1" applyBorder="1">
      <alignment vertical="center"/>
    </xf>
    <xf numFmtId="0" fontId="5" fillId="0" borderId="30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3" xfId="0" applyFont="1" applyBorder="1">
      <alignment vertical="center"/>
    </xf>
    <xf numFmtId="0" fontId="18" fillId="0" borderId="0" xfId="0" applyFont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distributed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177" fontId="15" fillId="0" borderId="0" xfId="0" quotePrefix="1" applyNumberFormat="1" applyFont="1" applyAlignment="1">
      <alignment horizontal="left" vertical="center"/>
    </xf>
    <xf numFmtId="177" fontId="21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distributed" vertical="center"/>
    </xf>
    <xf numFmtId="0" fontId="7" fillId="0" borderId="0" xfId="0" applyFont="1" applyAlignment="1">
      <alignment horizontal="distributed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9" fillId="0" borderId="0" xfId="1" applyFill="1" applyAlignment="1">
      <alignment vertical="center"/>
    </xf>
    <xf numFmtId="0" fontId="16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19" fillId="0" borderId="0" xfId="1" applyFill="1">
      <alignment vertical="center"/>
    </xf>
    <xf numFmtId="0" fontId="16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76" fontId="17" fillId="0" borderId="1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176" fontId="17" fillId="0" borderId="2" xfId="0" applyNumberFormat="1" applyFont="1" applyBorder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76" fontId="23" fillId="0" borderId="1" xfId="0" applyNumberFormat="1" applyFont="1" applyBorder="1">
      <alignment vertical="center"/>
    </xf>
    <xf numFmtId="0" fontId="20" fillId="0" borderId="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20" xfId="0" applyBorder="1">
      <alignment vertical="center"/>
    </xf>
    <xf numFmtId="176" fontId="17" fillId="0" borderId="20" xfId="0" applyNumberFormat="1" applyFont="1" applyBorder="1">
      <alignment vertical="center"/>
    </xf>
    <xf numFmtId="0" fontId="7" fillId="0" borderId="20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" fillId="0" borderId="18" xfId="0" applyFont="1" applyBorder="1">
      <alignment vertical="center"/>
    </xf>
    <xf numFmtId="0" fontId="2" fillId="0" borderId="8" xfId="0" applyFont="1" applyBorder="1">
      <alignment vertical="center"/>
    </xf>
    <xf numFmtId="0" fontId="6" fillId="0" borderId="8" xfId="0" applyFont="1" applyBorder="1">
      <alignment vertical="center"/>
    </xf>
    <xf numFmtId="0" fontId="2" fillId="0" borderId="19" xfId="0" applyFont="1" applyBorder="1">
      <alignment vertical="center"/>
    </xf>
    <xf numFmtId="3" fontId="2" fillId="0" borderId="13" xfId="0" applyNumberFormat="1" applyFont="1" applyBorder="1">
      <alignment vertical="center"/>
    </xf>
    <xf numFmtId="0" fontId="0" fillId="0" borderId="1" xfId="0" applyBorder="1">
      <alignment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76" fontId="16" fillId="0" borderId="23" xfId="0" applyNumberFormat="1" applyFont="1" applyBorder="1">
      <alignment vertical="center"/>
    </xf>
    <xf numFmtId="176" fontId="16" fillId="0" borderId="10" xfId="0" applyNumberFormat="1" applyFont="1" applyBorder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28" xfId="0" applyFont="1" applyBorder="1" applyAlignment="1">
      <alignment horizontal="distributed" vertical="center"/>
    </xf>
    <xf numFmtId="0" fontId="7" fillId="0" borderId="6" xfId="0" applyFont="1" applyBorder="1" applyAlignment="1">
      <alignment horizontal="distributed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76" fontId="16" fillId="0" borderId="26" xfId="0" applyNumberFormat="1" applyFont="1" applyBorder="1" applyAlignment="1">
      <alignment horizontal="right" vertical="center"/>
    </xf>
    <xf numFmtId="176" fontId="16" fillId="0" borderId="27" xfId="0" applyNumberFormat="1" applyFont="1" applyBorder="1" applyAlignment="1">
      <alignment horizontal="right" vertical="center"/>
    </xf>
    <xf numFmtId="0" fontId="8" fillId="0" borderId="2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76" fontId="16" fillId="0" borderId="11" xfId="0" applyNumberFormat="1" applyFont="1" applyBorder="1" applyAlignment="1">
      <alignment horizontal="right" vertical="center"/>
    </xf>
    <xf numFmtId="176" fontId="16" fillId="0" borderId="13" xfId="0" applyNumberFormat="1" applyFont="1" applyBorder="1" applyAlignment="1">
      <alignment horizontal="right" vertical="center"/>
    </xf>
    <xf numFmtId="0" fontId="5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distributed" vertical="center"/>
    </xf>
    <xf numFmtId="0" fontId="16" fillId="0" borderId="0" xfId="0" applyFont="1" applyAlignment="1">
      <alignment horizontal="distributed" vertical="center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distributed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771525</xdr:colOff>
      <xdr:row>0</xdr:row>
      <xdr:rowOff>104775</xdr:rowOff>
    </xdr:from>
    <xdr:to>
      <xdr:col>1</xdr:col>
      <xdr:colOff>581025</xdr:colOff>
      <xdr:row>2</xdr:row>
      <xdr:rowOff>266700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104775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44450</xdr:rowOff>
    </xdr:from>
    <xdr:to>
      <xdr:col>1</xdr:col>
      <xdr:colOff>1568939</xdr:colOff>
      <xdr:row>38</xdr:row>
      <xdr:rowOff>158750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C40FD7D-0219-4657-BC91-1D11405F6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800" y="8159750"/>
          <a:ext cx="1568939" cy="1257300"/>
        </a:xfrm>
        <a:prstGeom prst="rect">
          <a:avLst/>
        </a:prstGeom>
        <a:scene3d>
          <a:camera prst="orthographicFront">
            <a:rot lat="0" lon="0" rev="21480000"/>
          </a:camera>
          <a:lightRig rig="threePt" dir="t"/>
        </a:scene3d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vid7907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view="pageBreakPreview" zoomScaleNormal="100" zoomScaleSheetLayoutView="100" workbookViewId="0">
      <selection activeCell="B21" sqref="B21"/>
    </sheetView>
  </sheetViews>
  <sheetFormatPr defaultColWidth="9" defaultRowHeight="16.5"/>
  <cols>
    <col min="1" max="1" width="11.625" bestFit="1" customWidth="1"/>
    <col min="2" max="2" width="34.75" customWidth="1"/>
    <col min="3" max="3" width="8.375" customWidth="1"/>
    <col min="4" max="4" width="6.625" customWidth="1"/>
    <col min="5" max="6" width="11.375" customWidth="1"/>
    <col min="7" max="7" width="10" customWidth="1"/>
  </cols>
  <sheetData>
    <row r="1" spans="1:7" ht="25.5">
      <c r="A1" s="73" t="s">
        <v>6</v>
      </c>
      <c r="B1" s="73"/>
      <c r="C1" s="73"/>
      <c r="D1" s="73"/>
      <c r="E1" s="73"/>
      <c r="F1" s="73"/>
      <c r="G1" s="73"/>
    </row>
    <row r="2" spans="1:7">
      <c r="A2" s="74" t="s">
        <v>0</v>
      </c>
      <c r="B2" s="74"/>
      <c r="C2" s="74"/>
      <c r="D2" s="74"/>
      <c r="E2" s="74"/>
      <c r="F2" s="74"/>
      <c r="G2" s="74"/>
    </row>
    <row r="3" spans="1:7" ht="30" customHeight="1">
      <c r="A3" s="75" t="s">
        <v>38</v>
      </c>
      <c r="B3" s="76"/>
      <c r="C3" s="76"/>
      <c r="D3" s="76"/>
      <c r="E3" s="76"/>
      <c r="F3" s="76"/>
      <c r="G3" s="76"/>
    </row>
    <row r="4" spans="1:7">
      <c r="A4" s="17"/>
      <c r="B4" s="18" t="s">
        <v>7</v>
      </c>
      <c r="C4" s="77"/>
      <c r="D4" s="78"/>
      <c r="E4" s="17" t="s">
        <v>8</v>
      </c>
      <c r="F4" s="19" t="s">
        <v>43</v>
      </c>
      <c r="G4" s="20"/>
    </row>
    <row r="5" spans="1:7">
      <c r="A5" s="17"/>
      <c r="B5" s="18" t="s">
        <v>9</v>
      </c>
      <c r="C5" s="77"/>
      <c r="D5" s="78"/>
      <c r="E5" s="17" t="s">
        <v>10</v>
      </c>
      <c r="F5" s="21" t="s">
        <v>50</v>
      </c>
      <c r="G5" s="22"/>
    </row>
    <row r="6" spans="1:7" ht="39.950000000000003" customHeight="1">
      <c r="A6" s="79" t="s">
        <v>28</v>
      </c>
      <c r="B6" s="80"/>
      <c r="C6" s="80"/>
      <c r="D6" s="80"/>
      <c r="E6" s="80"/>
      <c r="F6" s="80"/>
      <c r="G6" s="80"/>
    </row>
    <row r="7" spans="1:7" ht="17.100000000000001" customHeight="1">
      <c r="A7" s="23" t="s">
        <v>19</v>
      </c>
      <c r="B7" s="6" t="s">
        <v>48</v>
      </c>
      <c r="C7" s="81" t="s">
        <v>30</v>
      </c>
      <c r="D7" s="82"/>
      <c r="E7" s="26"/>
      <c r="F7" s="25"/>
      <c r="G7" s="25"/>
    </row>
    <row r="8" spans="1:7" ht="17.100000000000001" customHeight="1">
      <c r="A8" s="23" t="s">
        <v>13</v>
      </c>
      <c r="B8" s="6" t="s">
        <v>51</v>
      </c>
      <c r="C8" s="81" t="s">
        <v>31</v>
      </c>
      <c r="D8" s="82"/>
      <c r="E8" s="25"/>
      <c r="F8" s="25"/>
      <c r="G8" s="25"/>
    </row>
    <row r="9" spans="1:7" ht="17.100000000000001" customHeight="1">
      <c r="A9" s="24" t="s">
        <v>29</v>
      </c>
      <c r="B9" s="27" t="s">
        <v>44</v>
      </c>
      <c r="C9" s="81" t="s">
        <v>1</v>
      </c>
      <c r="D9" s="82"/>
      <c r="E9" s="27"/>
      <c r="F9" s="25"/>
      <c r="G9" s="25"/>
    </row>
    <row r="10" spans="1:7" ht="17.100000000000001" customHeight="1">
      <c r="A10" s="23" t="s">
        <v>14</v>
      </c>
      <c r="B10" s="25"/>
      <c r="C10" s="83" t="s">
        <v>15</v>
      </c>
      <c r="D10" s="83"/>
      <c r="E10" s="28"/>
      <c r="F10" s="29"/>
      <c r="G10" s="29"/>
    </row>
    <row r="11" spans="1:7" ht="17.100000000000001" customHeight="1">
      <c r="A11" s="23" t="s">
        <v>16</v>
      </c>
      <c r="B11" s="6"/>
      <c r="C11" s="25"/>
      <c r="D11" s="25"/>
      <c r="E11" s="25"/>
      <c r="F11" s="25"/>
      <c r="G11" s="25"/>
    </row>
    <row r="12" spans="1:7" ht="17.100000000000001" customHeight="1">
      <c r="A12" s="23" t="s">
        <v>17</v>
      </c>
      <c r="B12" s="30" t="s">
        <v>39</v>
      </c>
      <c r="C12" s="81" t="s">
        <v>22</v>
      </c>
      <c r="D12" s="82"/>
      <c r="E12" s="6" t="s">
        <v>45</v>
      </c>
      <c r="F12" s="25"/>
      <c r="G12" s="25"/>
    </row>
    <row r="13" spans="1:7" ht="17.100000000000001" customHeight="1">
      <c r="A13" s="23" t="s">
        <v>18</v>
      </c>
      <c r="B13" s="6" t="s">
        <v>49</v>
      </c>
      <c r="C13" s="83" t="s">
        <v>15</v>
      </c>
      <c r="D13" s="83"/>
      <c r="E13" s="31" t="s">
        <v>46</v>
      </c>
      <c r="F13" s="25"/>
      <c r="G13" s="25"/>
    </row>
    <row r="14" spans="1:7" ht="3.95" customHeight="1" thickBot="1">
      <c r="A14" s="23"/>
      <c r="B14" s="25"/>
      <c r="C14" s="25"/>
      <c r="D14" s="25"/>
      <c r="E14" s="25"/>
      <c r="F14" s="25"/>
      <c r="G14" s="25"/>
    </row>
    <row r="15" spans="1:7" ht="30" customHeight="1">
      <c r="A15" s="32" t="s">
        <v>2</v>
      </c>
      <c r="B15" s="33" t="s">
        <v>26</v>
      </c>
      <c r="C15" s="34" t="s">
        <v>3</v>
      </c>
      <c r="D15" s="34" t="s">
        <v>4</v>
      </c>
      <c r="E15" s="34" t="s">
        <v>23</v>
      </c>
      <c r="F15" s="34" t="s">
        <v>24</v>
      </c>
      <c r="G15" s="35" t="s">
        <v>25</v>
      </c>
    </row>
    <row r="16" spans="1:7" ht="20.100000000000001" customHeight="1">
      <c r="A16" s="36" t="s">
        <v>33</v>
      </c>
      <c r="B16" s="30" t="s">
        <v>41</v>
      </c>
      <c r="C16" s="37">
        <v>1</v>
      </c>
      <c r="D16" s="38" t="s">
        <v>37</v>
      </c>
      <c r="E16" s="39">
        <v>4000</v>
      </c>
      <c r="F16" s="37">
        <f>E16*C16</f>
        <v>4000</v>
      </c>
      <c r="G16" s="56"/>
    </row>
    <row r="17" spans="1:7" ht="20.100000000000001" customHeight="1">
      <c r="A17" s="40" t="s">
        <v>34</v>
      </c>
      <c r="B17" s="30" t="s">
        <v>36</v>
      </c>
      <c r="C17" s="37">
        <v>1</v>
      </c>
      <c r="D17" s="38" t="s">
        <v>37</v>
      </c>
      <c r="E17" s="37">
        <v>2000</v>
      </c>
      <c r="F17" s="37">
        <f>E17*C17</f>
        <v>2000</v>
      </c>
      <c r="G17" s="56"/>
    </row>
    <row r="18" spans="1:7" ht="33" customHeight="1">
      <c r="A18" s="40" t="s">
        <v>42</v>
      </c>
      <c r="B18" s="57" t="s">
        <v>47</v>
      </c>
      <c r="C18" s="37">
        <v>1</v>
      </c>
      <c r="D18" s="38" t="s">
        <v>35</v>
      </c>
      <c r="E18" s="37">
        <v>4000</v>
      </c>
      <c r="F18" s="37">
        <f>E18*C18</f>
        <v>4000</v>
      </c>
      <c r="G18" s="56"/>
    </row>
    <row r="19" spans="1:7" ht="20.100000000000001" customHeight="1">
      <c r="A19" s="40"/>
      <c r="B19" s="57"/>
      <c r="C19" s="37"/>
      <c r="D19" s="38"/>
      <c r="E19" s="37"/>
      <c r="F19" s="37"/>
      <c r="G19" s="41"/>
    </row>
    <row r="20" spans="1:7" ht="20.100000000000001" customHeight="1">
      <c r="A20" s="40"/>
      <c r="B20" s="30"/>
      <c r="C20" s="37"/>
      <c r="D20" s="38"/>
      <c r="E20" s="37"/>
      <c r="F20" s="42"/>
      <c r="G20" s="41"/>
    </row>
    <row r="21" spans="1:7" ht="63">
      <c r="A21" s="40" t="s">
        <v>40</v>
      </c>
      <c r="B21" s="30" t="s">
        <v>52</v>
      </c>
      <c r="C21" s="37"/>
      <c r="D21" s="38"/>
      <c r="E21" s="37"/>
      <c r="F21" s="37"/>
      <c r="G21" s="43"/>
    </row>
    <row r="22" spans="1:7" ht="20.100000000000001" customHeight="1">
      <c r="A22" s="40"/>
      <c r="B22" s="55"/>
      <c r="C22" s="37"/>
      <c r="D22" s="44"/>
      <c r="E22" s="37"/>
      <c r="F22" s="37"/>
      <c r="G22" s="43"/>
    </row>
    <row r="23" spans="1:7" ht="20.100000000000001" customHeight="1">
      <c r="A23" s="40"/>
      <c r="B23" s="55"/>
      <c r="C23" s="37"/>
      <c r="D23" s="38"/>
      <c r="E23" s="37"/>
      <c r="F23" s="37"/>
      <c r="G23" s="43"/>
    </row>
    <row r="24" spans="1:7" ht="20.100000000000001" customHeight="1">
      <c r="A24" s="40"/>
      <c r="B24" s="55"/>
      <c r="C24" s="37"/>
      <c r="D24" s="44"/>
      <c r="E24" s="37"/>
      <c r="F24" s="37"/>
      <c r="G24" s="43"/>
    </row>
    <row r="25" spans="1:7" ht="20.100000000000001" customHeight="1" thickBot="1">
      <c r="A25" s="45"/>
      <c r="B25" s="46"/>
      <c r="C25" s="47"/>
      <c r="D25" s="48"/>
      <c r="E25" s="47"/>
      <c r="F25" s="47"/>
      <c r="G25" s="49"/>
    </row>
    <row r="26" spans="1:7" ht="21.95" customHeight="1">
      <c r="A26" s="50"/>
      <c r="B26" s="60" t="s">
        <v>11</v>
      </c>
      <c r="C26" s="61"/>
      <c r="D26" s="61"/>
      <c r="E26" s="58">
        <f>SUM(F16:F25)</f>
        <v>10000</v>
      </c>
      <c r="F26" s="59"/>
      <c r="G26" s="51"/>
    </row>
    <row r="27" spans="1:7" ht="21.95" customHeight="1">
      <c r="A27" s="50"/>
      <c r="B27" s="64" t="s">
        <v>5</v>
      </c>
      <c r="C27" s="65"/>
      <c r="D27" s="65"/>
      <c r="E27" s="66">
        <f>E26*0.05</f>
        <v>500</v>
      </c>
      <c r="F27" s="67"/>
      <c r="G27" s="52"/>
    </row>
    <row r="28" spans="1:7" ht="21.95" customHeight="1" thickBot="1">
      <c r="A28" s="53"/>
      <c r="B28" s="68" t="s">
        <v>12</v>
      </c>
      <c r="C28" s="69"/>
      <c r="D28" s="69"/>
      <c r="E28" s="70">
        <f>E26+E27</f>
        <v>10500</v>
      </c>
      <c r="F28" s="71"/>
      <c r="G28" s="54"/>
    </row>
    <row r="29" spans="1:7" ht="6" customHeight="1">
      <c r="A29" s="4"/>
      <c r="B29" s="4"/>
      <c r="C29" s="4"/>
      <c r="D29" s="4"/>
      <c r="E29" s="4"/>
      <c r="F29" s="4"/>
      <c r="G29" s="4"/>
    </row>
    <row r="30" spans="1:7">
      <c r="A30" s="72" t="s">
        <v>20</v>
      </c>
      <c r="B30" s="72"/>
      <c r="C30" s="72"/>
      <c r="D30" s="72"/>
      <c r="E30" s="72"/>
      <c r="F30" s="72"/>
      <c r="G30" s="72"/>
    </row>
    <row r="31" spans="1:7">
      <c r="A31" s="72" t="s">
        <v>32</v>
      </c>
      <c r="B31" s="72"/>
      <c r="C31" s="72"/>
      <c r="D31" s="72"/>
      <c r="E31" s="72"/>
      <c r="F31" s="72"/>
      <c r="G31" s="72"/>
    </row>
    <row r="32" spans="1:7" ht="9" customHeight="1">
      <c r="A32" s="2"/>
      <c r="B32" s="2"/>
      <c r="C32" s="2"/>
      <c r="D32" s="2"/>
      <c r="E32" s="2"/>
      <c r="F32" s="2"/>
      <c r="G32" s="2"/>
    </row>
    <row r="33" spans="1:7" ht="18" customHeight="1">
      <c r="A33" s="15" t="s">
        <v>27</v>
      </c>
      <c r="B33" s="2"/>
      <c r="C33" s="62" t="s">
        <v>21</v>
      </c>
      <c r="D33" s="63"/>
      <c r="E33" s="9"/>
      <c r="F33" s="9"/>
      <c r="G33" s="10"/>
    </row>
    <row r="34" spans="1:7" ht="18" customHeight="1">
      <c r="A34" s="13"/>
      <c r="B34" s="6"/>
      <c r="C34" s="11"/>
      <c r="D34" s="6"/>
      <c r="E34" s="6"/>
      <c r="F34" s="6"/>
      <c r="G34" s="12"/>
    </row>
    <row r="35" spans="1:7" ht="18" customHeight="1">
      <c r="A35" s="13"/>
      <c r="B35" s="14"/>
      <c r="C35" s="11"/>
      <c r="D35" s="6"/>
      <c r="E35" s="6"/>
      <c r="F35" s="6"/>
      <c r="G35" s="12"/>
    </row>
    <row r="36" spans="1:7" ht="18" customHeight="1">
      <c r="A36" s="6"/>
      <c r="B36" s="16"/>
      <c r="C36" s="5"/>
      <c r="D36" s="2"/>
      <c r="E36" s="2"/>
      <c r="F36" s="2"/>
      <c r="G36" s="3"/>
    </row>
    <row r="37" spans="1:7" ht="18" customHeight="1">
      <c r="A37" s="6"/>
      <c r="B37" s="6"/>
      <c r="C37" s="5"/>
      <c r="D37" s="2"/>
      <c r="E37" s="2"/>
      <c r="F37" s="2"/>
      <c r="G37" s="3"/>
    </row>
    <row r="38" spans="1:7" ht="18" customHeight="1">
      <c r="A38" s="6"/>
      <c r="B38" s="6"/>
      <c r="C38" s="5"/>
      <c r="D38" s="2"/>
      <c r="E38" s="2"/>
      <c r="F38" s="2"/>
      <c r="G38" s="3"/>
    </row>
    <row r="39" spans="1:7" ht="15.95" customHeight="1">
      <c r="A39" s="6"/>
      <c r="B39" s="6"/>
      <c r="C39" s="1"/>
      <c r="D39" s="7"/>
      <c r="E39" s="7"/>
      <c r="F39" s="7"/>
      <c r="G39" s="8"/>
    </row>
    <row r="40" spans="1:7">
      <c r="A40" s="4"/>
      <c r="B40" s="6"/>
      <c r="C40" s="4"/>
      <c r="D40" s="4"/>
      <c r="E40" s="4"/>
      <c r="F40" s="4"/>
      <c r="G40" s="4"/>
    </row>
    <row r="41" spans="1:7">
      <c r="A41" s="4"/>
      <c r="B41" s="4"/>
      <c r="C41" s="4"/>
      <c r="D41" s="4"/>
      <c r="E41" s="4"/>
      <c r="F41" s="4"/>
      <c r="G41" s="4"/>
    </row>
    <row r="42" spans="1:7">
      <c r="A42" s="4"/>
      <c r="B42" s="4"/>
      <c r="C42" s="4"/>
      <c r="D42" s="4"/>
      <c r="E42" s="4"/>
      <c r="F42" s="4"/>
      <c r="G42" s="4"/>
    </row>
    <row r="43" spans="1:7">
      <c r="B43" s="4"/>
    </row>
  </sheetData>
  <mergeCells count="21">
    <mergeCell ref="A6:G6"/>
    <mergeCell ref="C9:D9"/>
    <mergeCell ref="C10:D10"/>
    <mergeCell ref="C12:D12"/>
    <mergeCell ref="C13:D13"/>
    <mergeCell ref="C7:D7"/>
    <mergeCell ref="C8:D8"/>
    <mergeCell ref="A1:G1"/>
    <mergeCell ref="A2:G2"/>
    <mergeCell ref="A3:G3"/>
    <mergeCell ref="C4:D4"/>
    <mergeCell ref="C5:D5"/>
    <mergeCell ref="E26:F26"/>
    <mergeCell ref="B26:D26"/>
    <mergeCell ref="C33:D33"/>
    <mergeCell ref="B27:D27"/>
    <mergeCell ref="E27:F27"/>
    <mergeCell ref="B28:D28"/>
    <mergeCell ref="E28:F28"/>
    <mergeCell ref="A30:G30"/>
    <mergeCell ref="A31:G31"/>
  </mergeCells>
  <phoneticPr fontId="1" type="noConversion"/>
  <hyperlinks>
    <hyperlink ref="E13" r:id="rId1" xr:uid="{3421C6E5-068C-4666-AF26-B3AD160CD2A1}"/>
  </hyperlinks>
  <printOptions horizontalCentered="1"/>
  <pageMargins left="0.43307086614173229" right="0.43307086614173229" top="0.47244094488188981" bottom="0.47244094488188981" header="0.31496062992125984" footer="0.23622047244094491"/>
  <pageSetup paperSize="9" orientation="portrait" r:id="rId2"/>
  <headerFooter>
    <oddFooter>&amp;C&amp;"標楷體,標準"&amp;10第 &amp;P 頁，共 &amp;N 頁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報價單</vt:lpstr>
      <vt:lpstr>報價單!Print_Area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CHS6F</dc:creator>
  <cp:lastModifiedBy>User1</cp:lastModifiedBy>
  <cp:lastPrinted>2026-07-20T07:54:22Z</cp:lastPrinted>
  <dcterms:created xsi:type="dcterms:W3CDTF">2008-02-14T02:57:27Z</dcterms:created>
  <dcterms:modified xsi:type="dcterms:W3CDTF">2026-08-17T06:30:30Z</dcterms:modified>
</cp:coreProperties>
</file>