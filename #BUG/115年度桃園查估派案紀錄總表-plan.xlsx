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GeminiCli\CK_Missive\#BUG\"/>
    </mc:Choice>
  </mc:AlternateContent>
  <xr:revisionPtr revIDLastSave="0" documentId="13_ncr:1_{50654137-73F9-406D-B786-AD5F06456BBD}" xr6:coauthVersionLast="47" xr6:coauthVersionMax="47" xr10:uidLastSave="{00000000-0000-0000-0000-000000000000}"/>
  <bookViews>
    <workbookView xWindow="-105" yWindow="0" windowWidth="26010" windowHeight="20985" activeTab="1" xr2:uid="{00000000-000D-0000-FFFF-FFFF00000000}"/>
  </bookViews>
  <sheets>
    <sheet name="#.專案通訊錄" sheetId="4" r:id="rId1"/>
    <sheet name="1.轄管工程清單" sheetId="6" r:id="rId2"/>
    <sheet name="2.專案函文紀錄" sheetId="9" r:id="rId3"/>
    <sheet name="3.年度派工紀錄" sheetId="1" r:id="rId4"/>
    <sheet name="4.契金管控紀錄" sheetId="10" r:id="rId5"/>
    <sheet name="欄位檢核" sheetId="8" state="hidden" r:id="rId6"/>
    <sheet name="新建工程處工程清單" sheetId="5" state="hidden" r:id="rId7"/>
  </sheets>
  <definedNames>
    <definedName name="_xlnm._FilterDatabase" localSheetId="0" hidden="1">'#.專案通訊錄'!$A$1:$J$1</definedName>
    <definedName name="_xlnm._FilterDatabase" localSheetId="1" hidden="1">'1.轄管工程清單'!$A$1:$AE$792</definedName>
    <definedName name="_xlnm._FilterDatabase" localSheetId="2" hidden="1">'2.專案函文紀錄'!$A$1:$Q$524</definedName>
    <definedName name="_xlnm._FilterDatabase" localSheetId="3">'3.年度派工紀錄'!$A$1:$Q$1</definedName>
    <definedName name="_xlnm._FilterDatabase" localSheetId="4">'4.契金管控紀錄'!$A$1:$AD$1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0" l="1" a="1"/>
  <c r="K5" i="10" s="1"/>
  <c r="J5" i="10" a="1"/>
  <c r="J5" i="10" s="1"/>
  <c r="I5" i="10"/>
  <c r="F3" i="10"/>
  <c r="G3" i="10"/>
  <c r="G5" i="10"/>
  <c r="G4" i="10"/>
  <c r="F5" i="10"/>
  <c r="F4" i="10"/>
  <c r="C5" i="10"/>
  <c r="D5" i="10"/>
  <c r="N5" i="10" s="1"/>
  <c r="N4" i="1" a="1"/>
  <c r="N4" i="1" s="1"/>
  <c r="O4" i="1" a="1"/>
  <c r="O4" i="1" s="1"/>
  <c r="L5" i="1"/>
  <c r="H5" i="1"/>
  <c r="H4" i="1"/>
  <c r="I3" i="1"/>
  <c r="I4" i="1"/>
  <c r="I5" i="1"/>
  <c r="D5" i="1"/>
  <c r="E5" i="1"/>
  <c r="C5" i="1"/>
  <c r="M16" i="9"/>
  <c r="M15" i="9"/>
  <c r="J16" i="9"/>
  <c r="E5" i="10" s="1"/>
  <c r="AB3" i="10"/>
  <c r="AC3" i="10"/>
  <c r="AD3" i="10"/>
  <c r="N6" i="10"/>
  <c r="P6" i="10"/>
  <c r="R6" i="10"/>
  <c r="T6" i="10"/>
  <c r="V6" i="10"/>
  <c r="X6" i="10"/>
  <c r="Z6" i="10"/>
  <c r="N7" i="10"/>
  <c r="P7" i="10"/>
  <c r="R7" i="10"/>
  <c r="T7" i="10"/>
  <c r="V7" i="10"/>
  <c r="X7" i="10"/>
  <c r="Z7" i="10"/>
  <c r="N8" i="10"/>
  <c r="P8" i="10"/>
  <c r="R8" i="10"/>
  <c r="T8" i="10"/>
  <c r="V8" i="10"/>
  <c r="X8" i="10"/>
  <c r="Z8" i="10"/>
  <c r="N9" i="10"/>
  <c r="P9" i="10"/>
  <c r="R9" i="10"/>
  <c r="T9" i="10"/>
  <c r="V9" i="10"/>
  <c r="X9" i="10"/>
  <c r="Z9" i="10"/>
  <c r="N10" i="10"/>
  <c r="P10" i="10"/>
  <c r="R10" i="10"/>
  <c r="T10" i="10"/>
  <c r="V10" i="10"/>
  <c r="X10" i="10"/>
  <c r="Z10" i="10"/>
  <c r="D3" i="10"/>
  <c r="N3" i="10" s="1"/>
  <c r="D4" i="10"/>
  <c r="T4" i="10" s="1"/>
  <c r="H3" i="10"/>
  <c r="I3" i="10"/>
  <c r="H4" i="10"/>
  <c r="I4" i="10"/>
  <c r="H5" i="10"/>
  <c r="H6" i="10"/>
  <c r="H7" i="10"/>
  <c r="H8" i="10"/>
  <c r="H9" i="10"/>
  <c r="H10" i="10"/>
  <c r="G10" i="10"/>
  <c r="E10" i="10"/>
  <c r="G9" i="10"/>
  <c r="E9" i="10"/>
  <c r="C9" i="10"/>
  <c r="G8" i="10"/>
  <c r="E8" i="10"/>
  <c r="C8" i="10"/>
  <c r="G7" i="10"/>
  <c r="E7" i="10"/>
  <c r="C7" i="10"/>
  <c r="G6" i="10"/>
  <c r="E6" i="10"/>
  <c r="C6" i="10"/>
  <c r="C4" i="10"/>
  <c r="J4" i="10" s="1" a="1"/>
  <c r="J4" i="10" s="1"/>
  <c r="M3" i="10" a="1"/>
  <c r="M3" i="10" s="1"/>
  <c r="C3" i="10"/>
  <c r="J3" i="10" s="1" a="1"/>
  <c r="J3" i="10" s="1"/>
  <c r="J11" i="9"/>
  <c r="F3" i="1" s="1"/>
  <c r="J15" i="9"/>
  <c r="E4" i="10" s="1"/>
  <c r="D4" i="1"/>
  <c r="D3" i="1"/>
  <c r="L4" i="1"/>
  <c r="L3" i="1"/>
  <c r="P5" i="10" l="1"/>
  <c r="Z5" i="10"/>
  <c r="X5" i="10"/>
  <c r="V5" i="10"/>
  <c r="T5" i="10"/>
  <c r="R5" i="10"/>
  <c r="E3" i="10"/>
  <c r="F4" i="1"/>
  <c r="V4" i="10"/>
  <c r="R4" i="10"/>
  <c r="P4" i="10"/>
  <c r="N4" i="10"/>
  <c r="K4" i="10" a="1"/>
  <c r="K4" i="10" s="1"/>
  <c r="V3" i="10"/>
  <c r="X3" i="10"/>
  <c r="Z4" i="10"/>
  <c r="T3" i="10"/>
  <c r="X4" i="10"/>
  <c r="R3" i="10"/>
  <c r="P3" i="10"/>
  <c r="K3" i="10" a="1"/>
  <c r="K3" i="10" s="1"/>
  <c r="L3" i="10" a="1"/>
  <c r="L3" i="10" s="1"/>
  <c r="L4" i="10" a="1"/>
  <c r="L4" i="10" s="1"/>
  <c r="M4" i="10" a="1"/>
  <c r="M4" i="10" s="1"/>
  <c r="I6" i="1" l="1"/>
  <c r="I7" i="1"/>
  <c r="I8" i="1"/>
  <c r="I9" i="1"/>
  <c r="I10" i="1"/>
  <c r="K3" i="1"/>
  <c r="K4" i="1"/>
  <c r="K5" i="1"/>
  <c r="K6" i="1"/>
  <c r="K7" i="1"/>
  <c r="K8" i="1"/>
  <c r="K9" i="1"/>
  <c r="K10" i="1"/>
  <c r="G3" i="1"/>
  <c r="G4" i="1"/>
  <c r="G5" i="1"/>
  <c r="G6" i="1"/>
  <c r="G7" i="1"/>
  <c r="G8" i="1"/>
  <c r="G9" i="1"/>
  <c r="G10" i="1"/>
  <c r="E3" i="1"/>
  <c r="C3" i="1"/>
  <c r="E4" i="1"/>
  <c r="C4" i="1"/>
  <c r="F5" i="1"/>
  <c r="F6" i="1"/>
  <c r="F7" i="1"/>
  <c r="F8" i="1"/>
  <c r="F9" i="1"/>
  <c r="F10" i="1"/>
  <c r="D6" i="1"/>
  <c r="D7" i="1"/>
  <c r="D8" i="1"/>
  <c r="D9" i="1"/>
  <c r="Q3" i="1" l="1" a="1"/>
  <c r="Q3" i="1" s="1"/>
  <c r="P3" i="1" a="1"/>
  <c r="P3" i="1" s="1"/>
  <c r="P4" i="1" a="1"/>
  <c r="P4" i="1" s="1"/>
  <c r="Q4" i="1" a="1"/>
  <c r="Q4" i="1" s="1"/>
  <c r="R790" i="6"/>
  <c r="R789" i="6"/>
  <c r="R788" i="6"/>
  <c r="R787" i="6"/>
  <c r="R786" i="6"/>
  <c r="R785" i="6"/>
  <c r="R784" i="6"/>
  <c r="R783" i="6"/>
  <c r="R782" i="6"/>
  <c r="R781" i="6"/>
  <c r="R780" i="6"/>
  <c r="R779" i="6"/>
  <c r="R778" i="6"/>
  <c r="R777" i="6"/>
  <c r="R776" i="6"/>
  <c r="R775" i="6"/>
  <c r="R774" i="6"/>
  <c r="R773" i="6"/>
  <c r="R772" i="6"/>
  <c r="R771" i="6"/>
  <c r="R770" i="6"/>
  <c r="R769" i="6"/>
  <c r="R768" i="6"/>
  <c r="R767" i="6"/>
  <c r="R766" i="6"/>
  <c r="R765" i="6"/>
  <c r="R764" i="6"/>
  <c r="R763" i="6"/>
  <c r="R762" i="6"/>
  <c r="R761" i="6"/>
  <c r="R760" i="6"/>
  <c r="R759" i="6"/>
  <c r="R758" i="6"/>
  <c r="R757" i="6"/>
  <c r="R756" i="6"/>
  <c r="R755" i="6"/>
  <c r="R754" i="6"/>
  <c r="R753" i="6"/>
  <c r="R752" i="6"/>
  <c r="R751" i="6"/>
  <c r="R750" i="6"/>
  <c r="R749" i="6"/>
  <c r="R748" i="6"/>
  <c r="R747" i="6"/>
  <c r="R746" i="6"/>
  <c r="R745" i="6"/>
  <c r="R744" i="6"/>
  <c r="R743" i="6"/>
  <c r="R742" i="6"/>
  <c r="R741" i="6"/>
  <c r="R740" i="6"/>
  <c r="R739" i="6"/>
  <c r="R738" i="6"/>
  <c r="R737" i="6"/>
  <c r="R736" i="6"/>
  <c r="R735" i="6"/>
  <c r="R734" i="6"/>
  <c r="R733" i="6"/>
  <c r="R732" i="6"/>
  <c r="R731" i="6"/>
  <c r="R730" i="6"/>
  <c r="R729" i="6"/>
  <c r="R728" i="6"/>
  <c r="R727" i="6"/>
  <c r="R726" i="6"/>
  <c r="R725" i="6"/>
  <c r="R724" i="6"/>
  <c r="R723" i="6"/>
  <c r="R722" i="6"/>
  <c r="R721" i="6"/>
  <c r="R720" i="6"/>
  <c r="R719" i="6"/>
  <c r="R718" i="6"/>
  <c r="R717" i="6"/>
  <c r="R716" i="6"/>
  <c r="R715" i="6"/>
  <c r="R714" i="6"/>
  <c r="R713" i="6"/>
  <c r="R712" i="6"/>
  <c r="R711" i="6"/>
  <c r="R710" i="6"/>
  <c r="R709" i="6"/>
  <c r="R708" i="6"/>
  <c r="R707" i="6"/>
  <c r="R706" i="6"/>
  <c r="R705" i="6"/>
  <c r="R704" i="6"/>
  <c r="R703" i="6"/>
  <c r="P702" i="6"/>
  <c r="R702" i="6" s="1"/>
  <c r="H702" i="6"/>
  <c r="R701" i="6"/>
  <c r="R700" i="6"/>
  <c r="R699" i="6"/>
  <c r="R698" i="6"/>
  <c r="R697" i="6"/>
  <c r="R696" i="6"/>
  <c r="R695" i="6"/>
  <c r="R694" i="6"/>
  <c r="R693" i="6"/>
  <c r="R692" i="6"/>
  <c r="R691" i="6"/>
  <c r="R690" i="6"/>
  <c r="R689" i="6"/>
  <c r="R688" i="6"/>
  <c r="R687" i="6"/>
  <c r="R686" i="6"/>
  <c r="R685" i="6"/>
  <c r="R684" i="6"/>
  <c r="R683" i="6"/>
  <c r="R682" i="6"/>
  <c r="R681" i="6"/>
  <c r="R680" i="6"/>
  <c r="R679" i="6"/>
  <c r="R678" i="6"/>
  <c r="R677" i="6"/>
  <c r="Q676" i="6"/>
  <c r="P676" i="6"/>
  <c r="O676" i="6"/>
  <c r="R675" i="6"/>
  <c r="R674" i="6"/>
  <c r="R673" i="6"/>
  <c r="R672" i="6"/>
  <c r="R671" i="6"/>
  <c r="R670" i="6"/>
  <c r="R669" i="6"/>
  <c r="R668" i="6"/>
  <c r="R667" i="6"/>
  <c r="R666" i="6"/>
  <c r="R665" i="6"/>
  <c r="R664" i="6"/>
  <c r="R663" i="6"/>
  <c r="R662" i="6"/>
  <c r="R661" i="6"/>
  <c r="R660" i="6"/>
  <c r="R659" i="6"/>
  <c r="R658" i="6"/>
  <c r="R657" i="6"/>
  <c r="R656" i="6"/>
  <c r="R655" i="6"/>
  <c r="R654" i="6"/>
  <c r="R653" i="6"/>
  <c r="R652" i="6"/>
  <c r="R651" i="6"/>
  <c r="R650" i="6"/>
  <c r="R649" i="6"/>
  <c r="R648" i="6"/>
  <c r="R647" i="6"/>
  <c r="R646" i="6"/>
  <c r="R645" i="6"/>
  <c r="R644" i="6"/>
  <c r="R643" i="6"/>
  <c r="R642" i="6"/>
  <c r="R641" i="6"/>
  <c r="R640" i="6"/>
  <c r="R639" i="6"/>
  <c r="R638" i="6"/>
  <c r="R637" i="6"/>
  <c r="R636" i="6"/>
  <c r="R635" i="6"/>
  <c r="R634" i="6"/>
  <c r="R633" i="6"/>
  <c r="R632" i="6"/>
  <c r="R631" i="6"/>
  <c r="R630" i="6"/>
  <c r="R629" i="6"/>
  <c r="R628" i="6"/>
  <c r="R627" i="6"/>
  <c r="R626" i="6"/>
  <c r="R625" i="6"/>
  <c r="R624" i="6"/>
  <c r="R623" i="6"/>
  <c r="R622" i="6"/>
  <c r="R621" i="6"/>
  <c r="R620" i="6"/>
  <c r="R619" i="6"/>
  <c r="R618" i="6"/>
  <c r="R617" i="6"/>
  <c r="R616" i="6"/>
  <c r="R615" i="6"/>
  <c r="R614" i="6"/>
  <c r="R613" i="6"/>
  <c r="R612" i="6"/>
  <c r="R611" i="6"/>
  <c r="R610" i="6"/>
  <c r="R609" i="6"/>
  <c r="R608" i="6"/>
  <c r="R607" i="6"/>
  <c r="R606" i="6"/>
  <c r="R605" i="6"/>
  <c r="R604" i="6"/>
  <c r="R603" i="6"/>
  <c r="R602" i="6"/>
  <c r="R601" i="6"/>
  <c r="R600" i="6"/>
  <c r="R599" i="6"/>
  <c r="R598" i="6"/>
  <c r="R597" i="6"/>
  <c r="R596" i="6"/>
  <c r="R595" i="6"/>
  <c r="P593" i="6"/>
  <c r="R593" i="6" s="1"/>
  <c r="R592" i="6"/>
  <c r="R591" i="6"/>
  <c r="R590" i="6"/>
  <c r="R589" i="6"/>
  <c r="R588" i="6"/>
  <c r="R587" i="6"/>
  <c r="R586" i="6"/>
  <c r="R585" i="6"/>
  <c r="R584" i="6"/>
  <c r="R583" i="6"/>
  <c r="R582" i="6"/>
  <c r="R581" i="6"/>
  <c r="R580" i="6"/>
  <c r="R579" i="6"/>
  <c r="R578" i="6"/>
  <c r="R576" i="6"/>
  <c r="R575" i="6"/>
  <c r="R574" i="6"/>
  <c r="R568" i="6"/>
  <c r="R567" i="6"/>
  <c r="R566" i="6"/>
  <c r="R565" i="6"/>
  <c r="R564" i="6"/>
  <c r="R563" i="6"/>
  <c r="R562" i="6"/>
  <c r="P561" i="6"/>
  <c r="R561" i="6" s="1"/>
  <c r="R560" i="6"/>
  <c r="R559" i="6"/>
  <c r="P558" i="6"/>
  <c r="R558" i="6" s="1"/>
  <c r="R557" i="6"/>
  <c r="R556" i="6"/>
  <c r="R555" i="6"/>
  <c r="R554" i="6"/>
  <c r="R553" i="6"/>
  <c r="R552" i="6"/>
  <c r="P551" i="6"/>
  <c r="R551" i="6" s="1"/>
  <c r="P550" i="6"/>
  <c r="R550" i="6" s="1"/>
  <c r="P549" i="6"/>
  <c r="R549" i="6" s="1"/>
  <c r="R548" i="6"/>
  <c r="R547" i="6"/>
  <c r="R546" i="6"/>
  <c r="R545" i="6"/>
  <c r="R544" i="6"/>
  <c r="R543" i="6"/>
  <c r="R542" i="6"/>
  <c r="R541" i="6"/>
  <c r="R540" i="6"/>
  <c r="R539" i="6"/>
  <c r="R538" i="6"/>
  <c r="R537" i="6"/>
  <c r="R536" i="6"/>
  <c r="R535" i="6"/>
  <c r="R534" i="6"/>
  <c r="R533" i="6"/>
  <c r="P532" i="6"/>
  <c r="R532" i="6" s="1"/>
  <c r="R531" i="6"/>
  <c r="R530" i="6"/>
  <c r="R529" i="6"/>
  <c r="R528" i="6"/>
  <c r="P527" i="6"/>
  <c r="R527" i="6" s="1"/>
  <c r="R526" i="6"/>
  <c r="R525" i="6"/>
  <c r="R524" i="6"/>
  <c r="R523" i="6"/>
  <c r="R522" i="6"/>
  <c r="R521" i="6"/>
  <c r="R520" i="6"/>
  <c r="R519" i="6"/>
  <c r="R518" i="6"/>
  <c r="R517" i="6"/>
  <c r="P516" i="6"/>
  <c r="R516" i="6" s="1"/>
  <c r="R515" i="6"/>
  <c r="R514" i="6"/>
  <c r="R513" i="6"/>
  <c r="R512" i="6"/>
  <c r="R511" i="6"/>
  <c r="R510" i="6"/>
  <c r="R509" i="6"/>
  <c r="R508" i="6"/>
  <c r="R507" i="6"/>
  <c r="R506" i="6"/>
  <c r="R505" i="6"/>
  <c r="P504" i="6"/>
  <c r="R504" i="6" s="1"/>
  <c r="R503" i="6"/>
  <c r="R502" i="6"/>
  <c r="R501" i="6"/>
  <c r="R500" i="6"/>
  <c r="R499" i="6"/>
  <c r="R498" i="6"/>
  <c r="R497" i="6"/>
  <c r="R496" i="6"/>
  <c r="R495" i="6"/>
  <c r="R494" i="6"/>
  <c r="P493" i="6"/>
  <c r="R493" i="6" s="1"/>
  <c r="R492" i="6"/>
  <c r="R491" i="6"/>
  <c r="R490" i="6"/>
  <c r="R489" i="6"/>
  <c r="R488" i="6"/>
  <c r="R487" i="6"/>
  <c r="R486" i="6"/>
  <c r="R485" i="6"/>
  <c r="R484" i="6"/>
  <c r="R483" i="6"/>
  <c r="R482" i="6"/>
  <c r="R481" i="6"/>
  <c r="R480" i="6"/>
  <c r="R479" i="6"/>
  <c r="R478" i="6"/>
  <c r="R477" i="6"/>
  <c r="R476" i="6"/>
  <c r="R475" i="6"/>
  <c r="R474" i="6"/>
  <c r="R473" i="6"/>
  <c r="R472" i="6"/>
  <c r="R471" i="6"/>
  <c r="R470" i="6"/>
  <c r="R469" i="6"/>
  <c r="R468" i="6"/>
  <c r="R467" i="6"/>
  <c r="R466" i="6"/>
  <c r="R465" i="6"/>
  <c r="R464" i="6"/>
  <c r="R463" i="6"/>
  <c r="R462" i="6"/>
  <c r="R461" i="6"/>
  <c r="P460" i="6"/>
  <c r="R460" i="6" s="1"/>
  <c r="R459" i="6"/>
  <c r="P458" i="6"/>
  <c r="R458" i="6" s="1"/>
  <c r="R457" i="6"/>
  <c r="R456" i="6"/>
  <c r="R455" i="6"/>
  <c r="R454" i="6"/>
  <c r="R453" i="6"/>
  <c r="R452" i="6"/>
  <c r="R451" i="6"/>
  <c r="R450" i="6"/>
  <c r="R449" i="6"/>
  <c r="R448" i="6"/>
  <c r="R447" i="6"/>
  <c r="P446" i="6"/>
  <c r="R446" i="6" s="1"/>
  <c r="R445" i="6"/>
  <c r="R444" i="6"/>
  <c r="R443" i="6"/>
  <c r="R442" i="6"/>
  <c r="R441" i="6"/>
  <c r="R440" i="6"/>
  <c r="R439" i="6"/>
  <c r="R437" i="6"/>
  <c r="R436" i="6"/>
  <c r="R435" i="6"/>
  <c r="R434" i="6"/>
  <c r="R433" i="6"/>
  <c r="R432" i="6"/>
  <c r="R431" i="6"/>
  <c r="R430" i="6"/>
  <c r="R429" i="6"/>
  <c r="R428" i="6"/>
  <c r="R427" i="6"/>
  <c r="R426" i="6"/>
  <c r="R425" i="6"/>
  <c r="R424" i="6"/>
  <c r="R423" i="6"/>
  <c r="R422" i="6"/>
  <c r="R421" i="6"/>
  <c r="R420" i="6"/>
  <c r="R419" i="6"/>
  <c r="R418" i="6"/>
  <c r="R417" i="6"/>
  <c r="R416" i="6"/>
  <c r="R415" i="6"/>
  <c r="R414" i="6"/>
  <c r="R413" i="6"/>
  <c r="R412" i="6"/>
  <c r="R411" i="6"/>
  <c r="R410" i="6"/>
  <c r="R409" i="6"/>
  <c r="R408" i="6"/>
  <c r="R407" i="6"/>
  <c r="R406" i="6"/>
  <c r="R405" i="6"/>
  <c r="R404" i="6"/>
  <c r="R403" i="6"/>
  <c r="R402" i="6"/>
  <c r="R401" i="6"/>
  <c r="R400" i="6"/>
  <c r="R399" i="6"/>
  <c r="R398" i="6"/>
  <c r="R397" i="6"/>
  <c r="R396" i="6"/>
  <c r="R395" i="6"/>
  <c r="R394" i="6"/>
  <c r="R393" i="6"/>
  <c r="R392" i="6"/>
  <c r="R391" i="6"/>
  <c r="R390" i="6"/>
  <c r="R389" i="6"/>
  <c r="R388" i="6"/>
  <c r="R387" i="6"/>
  <c r="R386" i="6"/>
  <c r="R385" i="6"/>
  <c r="R384" i="6"/>
  <c r="R383" i="6"/>
  <c r="R382" i="6"/>
  <c r="R380" i="6"/>
  <c r="R379" i="6"/>
  <c r="R378" i="6"/>
  <c r="R377" i="6"/>
  <c r="R375" i="6"/>
  <c r="R374" i="6"/>
  <c r="R373" i="6"/>
  <c r="R372" i="6"/>
  <c r="R371" i="6"/>
  <c r="R370" i="6"/>
  <c r="R369" i="6"/>
  <c r="R368" i="6"/>
  <c r="R367" i="6"/>
  <c r="R366" i="6"/>
  <c r="R365" i="6"/>
  <c r="R364" i="6"/>
  <c r="R363" i="6"/>
  <c r="R362" i="6"/>
  <c r="R361" i="6"/>
  <c r="R360" i="6"/>
  <c r="R359" i="6"/>
  <c r="R358" i="6"/>
  <c r="R357" i="6"/>
  <c r="R356" i="6"/>
  <c r="R355" i="6"/>
  <c r="R354" i="6"/>
  <c r="R353" i="6"/>
  <c r="R352" i="6"/>
  <c r="R351" i="6"/>
  <c r="R350" i="6"/>
  <c r="R349" i="6"/>
  <c r="R348" i="6"/>
  <c r="R347" i="6"/>
  <c r="R346" i="6"/>
  <c r="R345" i="6"/>
  <c r="R344" i="6"/>
  <c r="R343" i="6"/>
  <c r="R342" i="6"/>
  <c r="R341" i="6"/>
  <c r="R340" i="6"/>
  <c r="R339" i="6"/>
  <c r="R338" i="6"/>
  <c r="R337" i="6"/>
  <c r="R336" i="6"/>
  <c r="R335" i="6"/>
  <c r="R334" i="6"/>
  <c r="R333" i="6"/>
  <c r="R332" i="6"/>
  <c r="R331" i="6"/>
  <c r="R330" i="6"/>
  <c r="R329" i="6"/>
  <c r="R328" i="6"/>
  <c r="R327" i="6"/>
  <c r="R326" i="6"/>
  <c r="R325" i="6"/>
  <c r="R324" i="6"/>
  <c r="R323" i="6"/>
  <c r="R322" i="6"/>
  <c r="R321" i="6"/>
  <c r="R320" i="6"/>
  <c r="R319" i="6"/>
  <c r="R318" i="6"/>
  <c r="R317" i="6"/>
  <c r="R316" i="6"/>
  <c r="R315" i="6"/>
  <c r="R314" i="6"/>
  <c r="R313" i="6"/>
  <c r="R312" i="6"/>
  <c r="R311" i="6"/>
  <c r="R310" i="6"/>
  <c r="R309" i="6"/>
  <c r="R308" i="6"/>
  <c r="R307" i="6"/>
  <c r="R306" i="6"/>
  <c r="R305" i="6"/>
  <c r="R304" i="6"/>
  <c r="R303" i="6"/>
  <c r="R302" i="6"/>
  <c r="R301" i="6"/>
  <c r="R300" i="6"/>
  <c r="R299" i="6"/>
  <c r="R298" i="6"/>
  <c r="R297" i="6"/>
  <c r="R296" i="6"/>
  <c r="R295" i="6"/>
  <c r="R294" i="6"/>
  <c r="R293" i="6"/>
  <c r="R292" i="6"/>
  <c r="R291" i="6"/>
  <c r="R290" i="6"/>
  <c r="R289" i="6"/>
  <c r="R288" i="6"/>
  <c r="R287" i="6"/>
  <c r="R286" i="6"/>
  <c r="R285" i="6"/>
  <c r="R284" i="6"/>
  <c r="R283" i="6"/>
  <c r="R282" i="6"/>
  <c r="R281" i="6"/>
  <c r="R280" i="6"/>
  <c r="R279" i="6"/>
  <c r="R278" i="6"/>
  <c r="R277" i="6"/>
  <c r="R276" i="6"/>
  <c r="R275" i="6"/>
  <c r="R274" i="6"/>
  <c r="R273" i="6"/>
  <c r="R272" i="6"/>
  <c r="R271" i="6"/>
  <c r="R270" i="6"/>
  <c r="R269" i="6"/>
  <c r="R268" i="6"/>
  <c r="R267" i="6"/>
  <c r="R266" i="6"/>
  <c r="R265" i="6"/>
  <c r="R264" i="6"/>
  <c r="R263" i="6"/>
  <c r="R262" i="6"/>
  <c r="R261" i="6"/>
  <c r="R260" i="6"/>
  <c r="R259" i="6"/>
  <c r="R258" i="6"/>
  <c r="R257" i="6"/>
  <c r="R256" i="6"/>
  <c r="R255" i="6"/>
  <c r="R254" i="6"/>
  <c r="R253" i="6"/>
  <c r="R252" i="6"/>
  <c r="R251" i="6"/>
  <c r="R250" i="6"/>
  <c r="R249" i="6"/>
  <c r="R248" i="6"/>
  <c r="R247" i="6"/>
  <c r="R246" i="6"/>
  <c r="R245" i="6"/>
  <c r="R244" i="6"/>
  <c r="R243" i="6"/>
  <c r="R242" i="6"/>
  <c r="R241" i="6"/>
  <c r="R240" i="6"/>
  <c r="R239" i="6"/>
  <c r="R238" i="6"/>
  <c r="R237" i="6"/>
  <c r="R236" i="6"/>
  <c r="R235" i="6"/>
  <c r="R234" i="6"/>
  <c r="R233" i="6"/>
  <c r="R232" i="6"/>
  <c r="R231" i="6"/>
  <c r="R230" i="6"/>
  <c r="R229" i="6"/>
  <c r="R228" i="6"/>
  <c r="R227" i="6"/>
  <c r="R226" i="6"/>
  <c r="R225" i="6"/>
  <c r="R224" i="6"/>
  <c r="R223" i="6"/>
  <c r="R222" i="6"/>
  <c r="R221" i="6"/>
  <c r="R220" i="6"/>
  <c r="R219" i="6"/>
  <c r="R218" i="6"/>
  <c r="R217" i="6"/>
  <c r="R216" i="6"/>
  <c r="R215" i="6"/>
  <c r="R214" i="6"/>
  <c r="R213" i="6"/>
  <c r="R212" i="6"/>
  <c r="R211" i="6"/>
  <c r="R210" i="6"/>
  <c r="R202" i="6"/>
  <c r="R201" i="6"/>
  <c r="R200" i="6"/>
  <c r="R199" i="6"/>
  <c r="R198" i="6"/>
  <c r="R197" i="6"/>
  <c r="R196" i="6"/>
  <c r="R195" i="6"/>
  <c r="R194" i="6"/>
  <c r="R193" i="6"/>
  <c r="R192" i="6"/>
  <c r="R191" i="6"/>
  <c r="R190" i="6"/>
  <c r="R189" i="6"/>
  <c r="R188" i="6"/>
  <c r="R187" i="6"/>
  <c r="R179" i="6"/>
  <c r="R178" i="6"/>
  <c r="R177" i="6"/>
  <c r="R176" i="6"/>
  <c r="R175" i="6"/>
  <c r="R174" i="6"/>
  <c r="R173" i="6"/>
  <c r="R172" i="6"/>
  <c r="R171" i="6"/>
  <c r="R170" i="6"/>
  <c r="R169" i="6"/>
  <c r="R168" i="6"/>
  <c r="R167" i="6"/>
  <c r="R166" i="6"/>
  <c r="R165" i="6"/>
  <c r="R164" i="6"/>
  <c r="R163" i="6"/>
  <c r="R162" i="6"/>
  <c r="R149" i="6"/>
  <c r="R148" i="6"/>
  <c r="R147" i="6"/>
  <c r="R145" i="6"/>
  <c r="R144" i="6"/>
  <c r="R143" i="6"/>
  <c r="R142" i="6"/>
  <c r="R141" i="6"/>
  <c r="R140" i="6"/>
  <c r="R139" i="6"/>
  <c r="R138" i="6"/>
  <c r="R137" i="6"/>
  <c r="R136" i="6"/>
  <c r="R135" i="6"/>
  <c r="R134" i="6"/>
  <c r="R133" i="6"/>
  <c r="R132" i="6"/>
  <c r="R131" i="6"/>
  <c r="R130" i="6"/>
  <c r="R129" i="6"/>
  <c r="R128" i="6"/>
  <c r="R127" i="6"/>
  <c r="R126" i="6"/>
  <c r="N3" i="1" l="1" a="1"/>
  <c r="N3" i="1" s="1"/>
  <c r="O3" i="1" a="1"/>
  <c r="O3" i="1" s="1"/>
  <c r="R67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<sst xmlns="http://schemas.openxmlformats.org/spreadsheetml/2006/main" count="6572" uniqueCount="3195">
  <si>
    <t>派工單號</t>
    <phoneticPr fontId="2" type="noConversion"/>
  </si>
  <si>
    <t>上版日期</t>
  </si>
  <si>
    <t>主題</t>
  </si>
  <si>
    <t>發布單位</t>
  </si>
  <si>
    <t>114-10-21</t>
  </si>
  <si>
    <t>機場捷運A7站區開發案區外道路（T字型聯外道路–變一）新闢工程</t>
  </si>
  <si>
    <t>新建工程處</t>
  </si>
  <si>
    <t>114-06-24</t>
  </si>
  <si>
    <t>機場捷運A7站區開發案區外道路(變二)新闢工程</t>
  </si>
  <si>
    <t>114-01-20</t>
  </si>
  <si>
    <t>桃園市龜山區文化一路至青山路道路新闢工程</t>
  </si>
  <si>
    <t>113-07-02</t>
  </si>
  <si>
    <t>桃園市八德區永豐路截彎取直工程暨八德區茄苳國小通學步道及生態綠廊建置工程</t>
  </si>
  <si>
    <t>113-06-11</t>
  </si>
  <si>
    <t>桃42線月桃路道路拓寬工程</t>
  </si>
  <si>
    <t>113-01-11</t>
  </si>
  <si>
    <t>八德區山下街打通至新興路道路新闢工程</t>
  </si>
  <si>
    <t>113-01-10</t>
  </si>
  <si>
    <t>桃園市中壢區吉林路道路拓寬工程(文中路二段-松江南路)</t>
  </si>
  <si>
    <t>113-01-03</t>
  </si>
  <si>
    <t>龍慈路延伸至台66線道路新闢工程(都外段)</t>
  </si>
  <si>
    <t>項次</t>
  </si>
  <si>
    <t>案件
類型</t>
  </si>
  <si>
    <t>行政區</t>
  </si>
  <si>
    <t>現況路寬
(公尺)</t>
  </si>
  <si>
    <t>計畫路寬
(公尺)</t>
  </si>
  <si>
    <t>公有土地
(筆)</t>
  </si>
  <si>
    <t>私有土地
(筆)</t>
  </si>
  <si>
    <t>RC數量
(棟)</t>
  </si>
  <si>
    <t>鐵皮屋數量
(棟)</t>
  </si>
  <si>
    <t>工程費
(元)</t>
  </si>
  <si>
    <t>用地費
(元)</t>
  </si>
  <si>
    <t>補償費
(元)</t>
  </si>
  <si>
    <t>總經費
(元)</t>
  </si>
  <si>
    <t>審議結果</t>
    <phoneticPr fontId="12" type="noConversion"/>
  </si>
  <si>
    <t>備註</t>
    <phoneticPr fontId="2" type="noConversion"/>
  </si>
  <si>
    <t>完工日期</t>
    <phoneticPr fontId="2" type="noConversion"/>
  </si>
  <si>
    <t>提案人</t>
    <phoneticPr fontId="2" type="noConversion"/>
  </si>
  <si>
    <t>106</t>
  </si>
  <si>
    <t>瓶頸</t>
  </si>
  <si>
    <t>桃園區</t>
  </si>
  <si>
    <t>瑞慶路(敬三街至瑞慶路377巷)</t>
    <phoneticPr fontId="12" type="noConversion"/>
  </si>
  <si>
    <t>未開闢</t>
  </si>
  <si>
    <t>通過</t>
  </si>
  <si>
    <t>國強二街</t>
    <phoneticPr fontId="12" type="noConversion"/>
  </si>
  <si>
    <t>※黃婉如</t>
    <phoneticPr fontId="2" type="noConversion"/>
  </si>
  <si>
    <t>黃婉如</t>
  </si>
  <si>
    <t>民富三街</t>
    <phoneticPr fontId="12" type="noConversion"/>
  </si>
  <si>
    <t>(107.4.23)</t>
    <phoneticPr fontId="2" type="noConversion"/>
  </si>
  <si>
    <t>同德十二街(中埔七街至永安北路)</t>
    <phoneticPr fontId="12" type="noConversion"/>
  </si>
  <si>
    <t>慈華街</t>
    <phoneticPr fontId="12" type="noConversion"/>
  </si>
  <si>
    <t>5~8</t>
  </si>
  <si>
    <t>※黃景熙</t>
    <phoneticPr fontId="2" type="noConversion"/>
  </si>
  <si>
    <t>黃景熙</t>
  </si>
  <si>
    <t>孝一街</t>
    <phoneticPr fontId="12" type="noConversion"/>
  </si>
  <si>
    <t>(106.12.29)</t>
    <phoneticPr fontId="2" type="noConversion"/>
  </si>
  <si>
    <t>中壢區</t>
  </si>
  <si>
    <t>榮安二街</t>
    <phoneticPr fontId="12" type="noConversion"/>
  </si>
  <si>
    <t>通過</t>
    <phoneticPr fontId="12" type="noConversion"/>
  </si>
  <si>
    <t>富村街計畫道路</t>
    <phoneticPr fontId="12" type="noConversion"/>
  </si>
  <si>
    <t>富村街</t>
    <phoneticPr fontId="12" type="noConversion"/>
  </si>
  <si>
    <t>榮民路56巷</t>
    <phoneticPr fontId="12" type="noConversion"/>
  </si>
  <si>
    <t>合併處理
(106.5.24)</t>
    <phoneticPr fontId="12" type="noConversion"/>
  </si>
  <si>
    <t>經複審後，移計前核定瓶頸道路一併處理者。</t>
    <phoneticPr fontId="12" type="noConversion"/>
  </si>
  <si>
    <t>(107.10.30)</t>
    <phoneticPr fontId="2" type="noConversion"/>
  </si>
  <si>
    <t>新興路228號旁計畫道路</t>
    <phoneticPr fontId="12" type="noConversion"/>
  </si>
  <si>
    <t>仁德二街計畫道路</t>
    <phoneticPr fontId="12" type="noConversion"/>
  </si>
  <si>
    <t>(107.11.9)</t>
    <phoneticPr fontId="2" type="noConversion"/>
  </si>
  <si>
    <t>榮安八街計畫道路</t>
    <phoneticPr fontId="12" type="noConversion"/>
  </si>
  <si>
    <t>※王浩宇</t>
    <phoneticPr fontId="2" type="noConversion"/>
  </si>
  <si>
    <t>王浩宇</t>
    <phoneticPr fontId="2" type="noConversion"/>
  </si>
  <si>
    <t>松智一街</t>
    <phoneticPr fontId="12" type="noConversion"/>
  </si>
  <si>
    <t>※彭俊豪.李光達.郭麗華.林志強</t>
    <phoneticPr fontId="2" type="noConversion"/>
  </si>
  <si>
    <t>彭俊豪.李光達.郭麗華.林志強</t>
    <phoneticPr fontId="2" type="noConversion"/>
  </si>
  <si>
    <t>松德路</t>
    <phoneticPr fontId="12" type="noConversion"/>
  </si>
  <si>
    <t>榮安五街</t>
    <phoneticPr fontId="12" type="noConversion"/>
  </si>
  <si>
    <t>環中東路106巷4弄(陸光二街臨自強公園端)
道路瓶頸打通</t>
    <phoneticPr fontId="12" type="noConversion"/>
  </si>
  <si>
    <t>(109.2.28)</t>
    <phoneticPr fontId="12" type="noConversion"/>
  </si>
  <si>
    <t>文化路130巷</t>
  </si>
  <si>
    <t>2.5~4.5</t>
  </si>
  <si>
    <t>(107.11.26)</t>
    <phoneticPr fontId="2" type="noConversion"/>
  </si>
  <si>
    <t>興仁路二段273巷</t>
  </si>
  <si>
    <t>區公所自辦
(107.5.8)</t>
    <phoneticPr fontId="12" type="noConversion"/>
  </si>
  <si>
    <t>平鎮區</t>
  </si>
  <si>
    <t>南京路(大連街~上海路)拓寬</t>
  </si>
  <si>
    <t>※專案瓶頸</t>
  </si>
  <si>
    <t>(107.5.17)</t>
    <phoneticPr fontId="12" type="noConversion"/>
  </si>
  <si>
    <t>石門大圳巡防道路改善工程</t>
  </si>
  <si>
    <t>280*</t>
  </si>
  <si>
    <t>※專案瓶頸
※莊玉輝</t>
  </si>
  <si>
    <t>(107.9.6)</t>
    <phoneticPr fontId="12" type="noConversion"/>
  </si>
  <si>
    <t>莊玉輝</t>
    <phoneticPr fontId="2" type="noConversion"/>
  </si>
  <si>
    <t>貿東路與中正一路拓寬</t>
  </si>
  <si>
    <t>※謝彰文</t>
  </si>
  <si>
    <t>(107.6.19)</t>
    <phoneticPr fontId="12" type="noConversion"/>
  </si>
  <si>
    <t>謝彰文</t>
    <phoneticPr fontId="2" type="noConversion"/>
  </si>
  <si>
    <t>貿東路66巷與貿中街口拓寬</t>
  </si>
  <si>
    <t>打通南安路60巷與南京路111巷道路</t>
  </si>
  <si>
    <t>※金星里辦公處</t>
  </si>
  <si>
    <t>(111.10.20)</t>
    <phoneticPr fontId="2" type="noConversion"/>
  </si>
  <si>
    <t>金星里辦公處</t>
    <phoneticPr fontId="2" type="noConversion"/>
  </si>
  <si>
    <t>龍安路與平東路口道路拓寬工程</t>
  </si>
  <si>
    <t>太平東路、西路與洪圳路口拓寬工程</t>
  </si>
  <si>
    <t>雙連三段與雙榮路路口道路拓寬工程</t>
  </si>
  <si>
    <t>新華路打通平東路239巷51弄(社子3A池旁)</t>
  </si>
  <si>
    <t>※舒翠玲.謝彰文</t>
    <phoneticPr fontId="2" type="noConversion"/>
  </si>
  <si>
    <t>(108.7.14)</t>
    <phoneticPr fontId="12" type="noConversion"/>
  </si>
  <si>
    <t>舒翠玲.謝彰文</t>
  </si>
  <si>
    <t>八德區</t>
  </si>
  <si>
    <t>龍祥街路口改善</t>
  </si>
  <si>
    <t>※市長</t>
    <phoneticPr fontId="2" type="noConversion"/>
  </si>
  <si>
    <t>(110.1.18)</t>
    <phoneticPr fontId="12" type="noConversion"/>
  </si>
  <si>
    <t>市長</t>
  </si>
  <si>
    <t>忠勇街424巷新建</t>
  </si>
  <si>
    <t>(107.5.28)</t>
    <phoneticPr fontId="12" type="noConversion"/>
  </si>
  <si>
    <t>建國路91巷暨相鄰計畫道路</t>
  </si>
  <si>
    <t>(110.9.2)</t>
    <phoneticPr fontId="12" type="noConversion"/>
  </si>
  <si>
    <t>楊梅區</t>
  </si>
  <si>
    <t>永美路445巷</t>
  </si>
  <si>
    <t>※周玉琴</t>
    <phoneticPr fontId="2" type="noConversion"/>
  </si>
  <si>
    <t>周玉琴</t>
  </si>
  <si>
    <t>蘆竹區</t>
  </si>
  <si>
    <t>開南段龍林街</t>
  </si>
  <si>
    <t>160*</t>
  </si>
  <si>
    <t>※專案瓶頸
※郭麗華</t>
    <phoneticPr fontId="2" type="noConversion"/>
  </si>
  <si>
    <t>(112.1.3)</t>
    <phoneticPr fontId="12" type="noConversion"/>
  </si>
  <si>
    <t>郭麗華</t>
  </si>
  <si>
    <t>後面坑路靠山林路段道路拓寬</t>
  </si>
  <si>
    <t>打通營盤里歐楓街末端路段</t>
  </si>
  <si>
    <t>150*</t>
  </si>
  <si>
    <t>※有償撥用抵稅地</t>
  </si>
  <si>
    <t>(108.1.28)</t>
    <phoneticPr fontId="12" type="noConversion"/>
  </si>
  <si>
    <t>南順五街道路瓶頸打通</t>
  </si>
  <si>
    <t>大溪區</t>
  </si>
  <si>
    <t>鄉道桃64線道路拓寬</t>
  </si>
  <si>
    <t>※李柏坊.陳治文</t>
    <phoneticPr fontId="2" type="noConversion"/>
  </si>
  <si>
    <t>李柏坊.陳治文</t>
  </si>
  <si>
    <t>大園區</t>
  </si>
  <si>
    <t>和平二街拓寬</t>
  </si>
  <si>
    <t>田心里33鄰與華興路口</t>
  </si>
  <si>
    <t>6~8</t>
  </si>
  <si>
    <t>※徐其萬</t>
    <phoneticPr fontId="2" type="noConversion"/>
  </si>
  <si>
    <t>(109.2.20)</t>
    <phoneticPr fontId="12" type="noConversion"/>
  </si>
  <si>
    <t>徐其萬</t>
  </si>
  <si>
    <t>文化街至中正東路(兒一公園)</t>
  </si>
  <si>
    <t>保留執行
(106.5.24)</t>
    <phoneticPr fontId="12" type="noConversion"/>
  </si>
  <si>
    <t>※原(兒一公園)中正東路10巷15弄前之替代方案</t>
  </si>
  <si>
    <t>龜山區</t>
  </si>
  <si>
    <t>湖山街拓寬</t>
  </si>
  <si>
    <t>80*</t>
  </si>
  <si>
    <t>※專案瓶頸
※林正峰</t>
  </si>
  <si>
    <t>(109.6.8)</t>
    <phoneticPr fontId="12" type="noConversion"/>
  </si>
  <si>
    <t>林正峰</t>
  </si>
  <si>
    <t>民安街63巷道路開通</t>
  </si>
  <si>
    <t>※僅打通圍牆即可
※林正峰</t>
    <phoneticPr fontId="2" type="noConversion"/>
  </si>
  <si>
    <t>(107.12.26)</t>
    <phoneticPr fontId="12" type="noConversion"/>
  </si>
  <si>
    <t>中興路90巷道路拓寬</t>
  </si>
  <si>
    <t>興一街道路拓寬</t>
  </si>
  <si>
    <t>(106.12.13)</t>
    <phoneticPr fontId="12" type="noConversion"/>
  </si>
  <si>
    <t>中興路346巷道路拓寬</t>
  </si>
  <si>
    <t>龍潭區</t>
  </si>
  <si>
    <t>金龍路1巷道路新闢工程</t>
  </si>
  <si>
    <t>金龍路1巷</t>
    <phoneticPr fontId="12" type="noConversion"/>
  </si>
  <si>
    <t>金龍路交叉口</t>
    <phoneticPr fontId="12" type="noConversion"/>
  </si>
  <si>
    <t>3~4</t>
  </si>
  <si>
    <t>經複審後，移計前核定瓶頸道路一併處理者。</t>
  </si>
  <si>
    <t>(107.7.16)</t>
    <phoneticPr fontId="12" type="noConversion"/>
  </si>
  <si>
    <t>新屋區</t>
    <phoneticPr fontId="12" type="noConversion"/>
  </si>
  <si>
    <t>信義街道路新闢</t>
  </si>
  <si>
    <t>有關本所道路瓶頸提案11-B01新屋區信義街道路新闢，道路未開通到中山路，較無效益。</t>
    <phoneticPr fontId="12" type="noConversion"/>
  </si>
  <si>
    <t>(108.12.15)</t>
    <phoneticPr fontId="12" type="noConversion"/>
  </si>
  <si>
    <t>新屋區</t>
  </si>
  <si>
    <t>福興溪跨河構造物新設</t>
  </si>
  <si>
    <t>觀音區</t>
  </si>
  <si>
    <t>玉林路(桃32號)(二期)</t>
  </si>
  <si>
    <t>通過
(110.5.18)</t>
  </si>
  <si>
    <t>※有償撥用抵稅地
已爭取中央經費，規設科規劃設計中，俟完成定線後研議。"</t>
  </si>
  <si>
    <t>(107.6.22)</t>
    <phoneticPr fontId="12" type="noConversion"/>
  </si>
  <si>
    <t>一般</t>
  </si>
  <si>
    <t>同安段1468-4至1725地號</t>
  </si>
  <si>
    <t>大連三街</t>
  </si>
  <si>
    <t>埔江街</t>
    <phoneticPr fontId="12" type="noConversion"/>
  </si>
  <si>
    <t>中正五街</t>
  </si>
  <si>
    <t>可執行/可執行
(106.5.2)/(106.5.24)</t>
    <phoneticPr fontId="12" type="noConversion"/>
  </si>
  <si>
    <t>於複審確認，供預算編列之用。</t>
    <phoneticPr fontId="12" type="noConversion"/>
  </si>
  <si>
    <t>(110.2.17)</t>
    <phoneticPr fontId="12" type="noConversion"/>
  </si>
  <si>
    <t>龍泉六街</t>
  </si>
  <si>
    <t>龍壽街</t>
    <phoneticPr fontId="12" type="noConversion"/>
  </si>
  <si>
    <t>龍祥街</t>
    <phoneticPr fontId="12" type="noConversion"/>
  </si>
  <si>
    <t>保留執行/可執行
(106.5.2)/(106.5.24)</t>
    <phoneticPr fontId="12" type="noConversion"/>
  </si>
  <si>
    <t>請各區公所再行檢討並補充開闢之效益性、必要性，於複審會議再行研議。
於複審確認，供預算編列之用。</t>
    <phoneticPr fontId="12" type="noConversion"/>
  </si>
  <si>
    <t>(107.11.16)</t>
    <phoneticPr fontId="12" type="noConversion"/>
  </si>
  <si>
    <t>益壽八街</t>
  </si>
  <si>
    <t>益壽七街(中山路812巷27弄)</t>
    <phoneticPr fontId="12" type="noConversion"/>
  </si>
  <si>
    <t>國強一街</t>
    <phoneticPr fontId="12" type="noConversion"/>
  </si>
  <si>
    <t>保留執行/保留執行
(106.5.2)/(106.5.24)</t>
    <phoneticPr fontId="12" type="noConversion"/>
  </si>
  <si>
    <t>請各區公所再行檢討並補充開闢之效益性、必要性，於複審會議再行研議。
益壽七街完工後再評估。</t>
    <phoneticPr fontId="12" type="noConversion"/>
  </si>
  <si>
    <t>(108.01.02)</t>
    <phoneticPr fontId="12" type="noConversion"/>
  </si>
  <si>
    <t>民有十街(公二公園旁)</t>
  </si>
  <si>
    <t>益壽一街</t>
  </si>
  <si>
    <t>6~7</t>
  </si>
  <si>
    <t>龍泉五街</t>
  </si>
  <si>
    <t>天祥一街與新埔一街</t>
  </si>
  <si>
    <t>天祥二街</t>
  </si>
  <si>
    <t>正光街(中山路至法治路段)</t>
  </si>
  <si>
    <t>中山路1216巷道路</t>
  </si>
  <si>
    <t>4~8</t>
  </si>
  <si>
    <t>三元街253巷</t>
  </si>
  <si>
    <t>樹仁一街</t>
  </si>
  <si>
    <t>樹仁一街(延平路及樹林四街段)打通</t>
    <phoneticPr fontId="12" type="noConversion"/>
  </si>
  <si>
    <t>(107.7.27)</t>
    <phoneticPr fontId="12" type="noConversion"/>
  </si>
  <si>
    <t>國際路一段401巷道路改善工程(護國宮旁)</t>
  </si>
  <si>
    <t>國豐街</t>
    <phoneticPr fontId="12" type="noConversion"/>
  </si>
  <si>
    <t>護國宮旁</t>
    <phoneticPr fontId="12" type="noConversion"/>
  </si>
  <si>
    <t>(108.1.4)</t>
    <phoneticPr fontId="12" type="noConversion"/>
  </si>
  <si>
    <t>中壢區復華六街</t>
  </si>
  <si>
    <t>復華街</t>
    <phoneticPr fontId="12" type="noConversion"/>
  </si>
  <si>
    <t>復華一街</t>
    <phoneticPr fontId="12" type="noConversion"/>
  </si>
  <si>
    <t>俟內壢國中校舍重新規劃及圍牆新作完成後再評估</t>
    <phoneticPr fontId="12" type="noConversion"/>
  </si>
  <si>
    <t>富強街(自強公園旁)</t>
  </si>
  <si>
    <t>強國路</t>
    <phoneticPr fontId="12" type="noConversion"/>
  </si>
  <si>
    <t>請各區公所再行檢討並補充開闢之效益性、必要性，於複審會議再行研議。
1.本案先行保留，替代方案先行納入道路瓶頸執行。
2.已納入中壢都會生活圈重劃範圍，配合公共設施專案通盤檢討中，俟富強路旁機關用地變更商業區後配合重劃配地需求，透過整體開發方式，併同取得興闢毗鄰道路用地時續處。</t>
    <phoneticPr fontId="12" type="noConversion"/>
  </si>
  <si>
    <t>龍興路(鄰後興路一段)</t>
  </si>
  <si>
    <t>龍昌路拓寬(含龍昌街180巷至龍川街)</t>
  </si>
  <si>
    <t>榮安十一街</t>
  </si>
  <si>
    <t>環中東路間</t>
    <phoneticPr fontId="12" type="noConversion"/>
  </si>
  <si>
    <t>可執行/待審查
(106.5.2)/(106.5.24)</t>
    <phoneticPr fontId="12" type="noConversion"/>
  </si>
  <si>
    <t>於複審確認後，供預算編列之用。</t>
    <phoneticPr fontId="12" type="noConversion"/>
  </si>
  <si>
    <t>大華路(非都範圍)</t>
  </si>
  <si>
    <t>葉明月</t>
  </si>
  <si>
    <t>興國國小周邊道路</t>
  </si>
  <si>
    <t>1~4</t>
  </si>
  <si>
    <t>同慶路</t>
  </si>
  <si>
    <t>3~10</t>
  </si>
  <si>
    <t>龍東路255巷</t>
  </si>
  <si>
    <t>3~8</t>
  </si>
  <si>
    <t>成功路94巷</t>
  </si>
  <si>
    <t>成章三街</t>
  </si>
  <si>
    <t>吉林路拓寬</t>
    <phoneticPr fontId="12" type="noConversion"/>
  </si>
  <si>
    <t>松江南路</t>
    <phoneticPr fontId="12" type="noConversion"/>
  </si>
  <si>
    <t>文中路二段</t>
    <phoneticPr fontId="12" type="noConversion"/>
  </si>
  <si>
    <t>請各區公所再行檢討並補充開闢之效益性、必要性，於複審會議再行研議。
吉林路拓寬事宜，請研擬處理方式，另案提專案報告。</t>
    <phoneticPr fontId="12" type="noConversion"/>
  </si>
  <si>
    <t>大仁街</t>
  </si>
  <si>
    <t>5~6</t>
  </si>
  <si>
    <t>龍和三街拓寬(水利溝加蓋)</t>
    <phoneticPr fontId="12" type="noConversion"/>
  </si>
  <si>
    <t>龍慈路</t>
    <phoneticPr fontId="12" type="noConversion"/>
  </si>
  <si>
    <t>後寮二路</t>
    <phoneticPr fontId="12" type="noConversion"/>
  </si>
  <si>
    <t>請各區公所再行檢討並補充開闢之效益性、必要性，於複審會議再行研議。
水利溝加蓋部分直接由區公所106年施作。於複審確認，供預算編列之用。</t>
    <phoneticPr fontId="12" type="noConversion"/>
  </si>
  <si>
    <t>(106.10.10)</t>
    <phoneticPr fontId="12" type="noConversion"/>
  </si>
  <si>
    <t>廣義街25巷</t>
  </si>
  <si>
    <t>(107.12.5)</t>
    <phoneticPr fontId="12" type="noConversion"/>
  </si>
  <si>
    <t>延平路二段430巷(延平路二段430巷至廣泰路85號)</t>
    <phoneticPr fontId="12" type="noConversion"/>
  </si>
  <si>
    <t>延平路二段430巷</t>
    <phoneticPr fontId="12" type="noConversion"/>
  </si>
  <si>
    <t>廣泰路</t>
    <phoneticPr fontId="12" type="noConversion"/>
  </si>
  <si>
    <t>4~6</t>
  </si>
  <si>
    <t>請各區公所再行檢討並補充開闢之效益性、必要性，於複審會議再行研議。
配合義民公園開闢較有效益，並於復旦路開通後再行評估。</t>
    <phoneticPr fontId="12" type="noConversion"/>
  </si>
  <si>
    <t>東安國中周邊道路</t>
  </si>
  <si>
    <t>華安里華安街</t>
  </si>
  <si>
    <t>平東路239巷底</t>
    <phoneticPr fontId="12" type="noConversion"/>
  </si>
  <si>
    <t>平東路</t>
    <phoneticPr fontId="12" type="noConversion"/>
  </si>
  <si>
    <t>(108.2.17)</t>
    <phoneticPr fontId="12" type="noConversion"/>
  </si>
  <si>
    <t>忠孝路與中壢區廣明路間</t>
  </si>
  <si>
    <t>未開通</t>
  </si>
  <si>
    <t>東豐路</t>
  </si>
  <si>
    <t>5~10</t>
  </si>
  <si>
    <t>龍南路(含二一砲指部到平等路)</t>
  </si>
  <si>
    <t>金陵路</t>
  </si>
  <si>
    <t>南平路</t>
  </si>
  <si>
    <t>忠義街</t>
  </si>
  <si>
    <t>忠義街打通</t>
    <phoneticPr fontId="12" type="noConversion"/>
  </si>
  <si>
    <t>華康街</t>
    <phoneticPr fontId="12" type="noConversion"/>
  </si>
  <si>
    <t>(112.7.7)</t>
    <phoneticPr fontId="12" type="noConversion"/>
  </si>
  <si>
    <t>永興街</t>
  </si>
  <si>
    <t>興豐路283巷</t>
  </si>
  <si>
    <t>後庄街</t>
  </si>
  <si>
    <t>福德一路177巷</t>
  </si>
  <si>
    <t>德昌街</t>
    <phoneticPr fontId="12" type="noConversion"/>
  </si>
  <si>
    <t>後庄街</t>
    <phoneticPr fontId="12" type="noConversion"/>
  </si>
  <si>
    <t>請各區公所再行檢討並補充開闢之效益性、必要性，於複審會議再行研議。
兩市交界處，且主幹道未拓寬。</t>
    <phoneticPr fontId="12" type="noConversion"/>
  </si>
  <si>
    <t>和平路991巷</t>
  </si>
  <si>
    <t>公九公園旁道路</t>
  </si>
  <si>
    <t>瑞溪路一段</t>
    <phoneticPr fontId="12" type="noConversion"/>
  </si>
  <si>
    <t>梅獅路二段232巷</t>
    <phoneticPr fontId="12" type="noConversion"/>
  </si>
  <si>
    <t>(108.5.15)</t>
    <phoneticPr fontId="12" type="noConversion"/>
  </si>
  <si>
    <t>民富路一段796巷31號往楊新路三段25巷90號</t>
  </si>
  <si>
    <t>民族路五段285巷拓寬工程(民族路五段至裕榮路)</t>
    <phoneticPr fontId="12" type="noConversion"/>
  </si>
  <si>
    <t>民族路五段</t>
    <phoneticPr fontId="12" type="noConversion"/>
  </si>
  <si>
    <t>民族路五段201巷79弄</t>
    <phoneticPr fontId="12" type="noConversion"/>
  </si>
  <si>
    <t>待審查
(106.5.24)</t>
    <phoneticPr fontId="12" type="noConversion"/>
  </si>
  <si>
    <t>原:電研路250巷117號旁道路拓寬(北段)</t>
    <phoneticPr fontId="12" type="noConversion"/>
  </si>
  <si>
    <t>電研路250巷後方過嶺支渠加蓋</t>
  </si>
  <si>
    <t>4(水利地)</t>
  </si>
  <si>
    <t>幼平街</t>
  </si>
  <si>
    <t>富聯路</t>
  </si>
  <si>
    <t xml:space="preserve">桃102(幼獅路二段至台66的榮平路) </t>
  </si>
  <si>
    <t>中山北路1段390巷13弄(楊明國小對面)</t>
    <phoneticPr fontId="12" type="noConversion"/>
  </si>
  <si>
    <t>中山北路1段390巷</t>
    <phoneticPr fontId="12" type="noConversion"/>
  </si>
  <si>
    <t>新農街378巷</t>
    <phoneticPr fontId="12" type="noConversion"/>
  </si>
  <si>
    <t>請各區公所再行檢討並補充開闢之效益性、必要性，於複審會議再行研議。
屬通學巷問題，保留不否決。</t>
    <phoneticPr fontId="12" type="noConversion"/>
  </si>
  <si>
    <t>八德一路與新北市林口區文化北路銜接口</t>
  </si>
  <si>
    <t>林口區文化北路路口向西約150米</t>
    <phoneticPr fontId="12" type="noConversion"/>
  </si>
  <si>
    <t>(107.9.9)</t>
    <phoneticPr fontId="12" type="noConversion"/>
  </si>
  <si>
    <t>西康路</t>
  </si>
  <si>
    <t>光明路二段</t>
    <phoneticPr fontId="12" type="noConversion"/>
  </si>
  <si>
    <t>聯福巷</t>
    <phoneticPr fontId="12" type="noConversion"/>
  </si>
  <si>
    <t>請各區公所再行檢討並補充開闢之效益性、必要性，於複審會議再行研議。</t>
    <phoneticPr fontId="12" type="noConversion"/>
  </si>
  <si>
    <t>南崁高中旁綠色廊道開闢</t>
  </si>
  <si>
    <t>鄉道桃56線</t>
  </si>
  <si>
    <t>月眉停車場路口道路</t>
  </si>
  <si>
    <t>區公所辦理用地取得中</t>
  </si>
  <si>
    <t>兒二公園周邊道路</t>
  </si>
  <si>
    <t>區公所自辦
(107.10.6)</t>
    <phoneticPr fontId="2" type="noConversion"/>
  </si>
  <si>
    <t>中正東路10巷15弄(兒一公園)</t>
    <phoneticPr fontId="12" type="noConversion"/>
  </si>
  <si>
    <t>中正東路10巷15弄</t>
    <phoneticPr fontId="12" type="noConversion"/>
  </si>
  <si>
    <t>中正東路</t>
    <phoneticPr fontId="12" type="noConversion"/>
  </si>
  <si>
    <t>保留執行/合併處理
(106.5.2)/(106.5.24)</t>
    <phoneticPr fontId="12" type="noConversion"/>
  </si>
  <si>
    <t>請各區公所再行檢討並補充開闢之效益性、必要性，於複審會議再行研議。
經複審後，移計前核定瓶頸道路一併處理者。請戶政機關一併評估道路更名之可行性。
先以替代方案(長度40米)道路瓶頸案協議價購，不成改提70米一般道路開闢審議。</t>
    <phoneticPr fontId="12" type="noConversion"/>
  </si>
  <si>
    <t>永園路二段興建橋梁工程(永園路二段至中壢區永園路一段)</t>
    <phoneticPr fontId="12" type="noConversion"/>
  </si>
  <si>
    <t>永園路一段</t>
    <phoneticPr fontId="12" type="noConversion"/>
  </si>
  <si>
    <t>永園路二段</t>
    <phoneticPr fontId="12" type="noConversion"/>
  </si>
  <si>
    <t>保留執行
(106.5.2)</t>
    <phoneticPr fontId="12" type="noConversion"/>
  </si>
  <si>
    <t>請各區公所再行檢討並補充開闢之效益性、必要性，於複審會議再行研議。
配合航空城計畫。</t>
    <phoneticPr fontId="12" type="noConversion"/>
  </si>
  <si>
    <t>中和南路</t>
  </si>
  <si>
    <t>保留
(111.1.19)</t>
  </si>
  <si>
    <t>倘振興路 23 巷通過跨區容移，本案再
比照辦理，保留執行。</t>
  </si>
  <si>
    <t>大同路</t>
  </si>
  <si>
    <t>6.5~12</t>
  </si>
  <si>
    <t>東嶺段629地號道路</t>
  </si>
  <si>
    <t>茶專路39巷</t>
    <phoneticPr fontId="12" type="noConversion"/>
  </si>
  <si>
    <t>萬壽路二段</t>
    <phoneticPr fontId="12" type="noConversion"/>
  </si>
  <si>
    <t>暫緩，茶專路拓寬效益較大</t>
  </si>
  <si>
    <t>振興路23巷拓寬</t>
    <phoneticPr fontId="12" type="noConversion"/>
  </si>
  <si>
    <t>振興路</t>
    <phoneticPr fontId="12" type="noConversion"/>
  </si>
  <si>
    <t>民安橋</t>
    <phoneticPr fontId="12" type="noConversion"/>
  </si>
  <si>
    <t>請各區公所再行檢討並補充開闢之效益性、必要性，於複審會議再行研議。
1060524市長裁示：先行變更都市計畫改由楓樹三街至振興路新闢評估可行性。
1061103局長現勘：請區公所依當日會勘結論先行改建民安橋。
本案民安橋部分已於106年12月5日辦理預算書圖審查，設計廠商預計106年12月18日提送修正成果。</t>
    <phoneticPr fontId="12" type="noConversion"/>
  </si>
  <si>
    <t>陳厝坑997巷連接885巷道路</t>
  </si>
  <si>
    <t>新嶺一街至405高地路</t>
  </si>
  <si>
    <t>1.2~4.5</t>
  </si>
  <si>
    <t>高原里中原路三段88號至401號</t>
  </si>
  <si>
    <t>武漢國中前武中路至龍平路之間的狹彎</t>
  </si>
  <si>
    <t>大同路213巷(湖底段425地號)</t>
  </si>
  <si>
    <t>福龍路二段往成功路間的龍平路</t>
  </si>
  <si>
    <t>新洲路道路拓寬工程案</t>
    <phoneticPr fontId="12" type="noConversion"/>
  </si>
  <si>
    <t>中山東路二段766巷</t>
    <phoneticPr fontId="12" type="noConversion"/>
  </si>
  <si>
    <t>台31縣道</t>
    <phoneticPr fontId="12" type="noConversion"/>
  </si>
  <si>
    <t>請各區公所再行檢討並補充開闢之效益性、必要性，於複審會議再行研議。
特定農業用地變更為一般農業用地後土地較可利用，屆時才有興闢效益。</t>
    <phoneticPr fontId="12" type="noConversion"/>
  </si>
  <si>
    <t>新榮路</t>
    <phoneticPr fontId="12" type="noConversion"/>
  </si>
  <si>
    <t>10~15</t>
  </si>
  <si>
    <t>10,20</t>
  </si>
  <si>
    <t>陳賴素美
範圍已改變</t>
    <phoneticPr fontId="2" type="noConversion"/>
  </si>
  <si>
    <t>陳賴素美</t>
  </si>
  <si>
    <t>福德街</t>
  </si>
  <si>
    <t>新興街</t>
    <phoneticPr fontId="12" type="noConversion"/>
  </si>
  <si>
    <t>復興街</t>
    <phoneticPr fontId="12" type="noConversion"/>
  </si>
  <si>
    <t>於複審確認，供預算編列之用。
已有部分既成道路，轉以瓶頸方式辦理</t>
    <phoneticPr fontId="12" type="noConversion"/>
  </si>
  <si>
    <t>(107.3.28)</t>
    <phoneticPr fontId="12" type="noConversion"/>
  </si>
  <si>
    <t>中華南路一段</t>
  </si>
  <si>
    <t>富九段道路新闢工程</t>
    <phoneticPr fontId="12" type="noConversion"/>
  </si>
  <si>
    <t>桃144線</t>
    <phoneticPr fontId="12" type="noConversion"/>
  </si>
  <si>
    <t>桃83、85線交接處</t>
    <phoneticPr fontId="12" type="noConversion"/>
  </si>
  <si>
    <t>忠富路</t>
  </si>
  <si>
    <t>忠富路</t>
    <phoneticPr fontId="12" type="noConversion"/>
  </si>
  <si>
    <t>中正路四段</t>
    <phoneticPr fontId="12" type="noConversion"/>
  </si>
  <si>
    <t>第一期(108.6.19)
第二期(109.5.5)</t>
    <phoneticPr fontId="12" type="noConversion"/>
  </si>
  <si>
    <t>福山路(中正路四段至福山路一段880巷口)</t>
  </si>
  <si>
    <t>桃42</t>
  </si>
  <si>
    <t>5~12</t>
  </si>
  <si>
    <t>孝一街(忠三路至忠二路)瓶頸打通工程</t>
    <phoneticPr fontId="12" type="noConversion"/>
  </si>
  <si>
    <t>忠三路</t>
    <phoneticPr fontId="12" type="noConversion"/>
  </si>
  <si>
    <t>忠二路</t>
    <phoneticPr fontId="12" type="noConversion"/>
  </si>
  <si>
    <t>同意
(107.3.23)</t>
    <phoneticPr fontId="12" type="noConversion"/>
  </si>
  <si>
    <t>依用地取得進度辦理之。</t>
    <phoneticPr fontId="12" type="noConversion"/>
  </si>
  <si>
    <t>(109.6.12)</t>
    <phoneticPr fontId="2" type="noConversion"/>
  </si>
  <si>
    <t>文化路</t>
    <phoneticPr fontId="12" type="noConversion"/>
  </si>
  <si>
    <t>仁愛路(兩處瓶頸點)</t>
    <phoneticPr fontId="12" type="noConversion"/>
  </si>
  <si>
    <t>已獲大部分土地所有權人同意案件。</t>
    <phoneticPr fontId="12" type="noConversion"/>
  </si>
  <si>
    <t>(107.11.26)</t>
    <phoneticPr fontId="12" type="noConversion"/>
  </si>
  <si>
    <t>龍川三街</t>
  </si>
  <si>
    <t>龍昌路238巷</t>
    <phoneticPr fontId="12" type="noConversion"/>
  </si>
  <si>
    <t>龍昌路252巷</t>
    <phoneticPr fontId="12" type="noConversion"/>
  </si>
  <si>
    <t>已獲大部分土地所有權人同意案件。
107年3月23日列入道路瓶頸辦理。</t>
    <phoneticPr fontId="12" type="noConversion"/>
  </si>
  <si>
    <t>(107.10.24)</t>
    <phoneticPr fontId="12" type="noConversion"/>
  </si>
  <si>
    <t>環西路二段300巷與三光路口</t>
  </si>
  <si>
    <t>環西路二段300巷</t>
    <phoneticPr fontId="12" type="noConversion"/>
  </si>
  <si>
    <t>三光路</t>
    <phoneticPr fontId="12" type="noConversion"/>
  </si>
  <si>
    <t>龍安五街</t>
  </si>
  <si>
    <t>龍安三街</t>
    <phoneticPr fontId="12" type="noConversion"/>
  </si>
  <si>
    <t>(107.11.15)</t>
    <phoneticPr fontId="12" type="noConversion"/>
  </si>
  <si>
    <t>三教紫雲宮道路截彎取直工程</t>
  </si>
  <si>
    <t>金陵路</t>
    <phoneticPr fontId="12" type="noConversion"/>
  </si>
  <si>
    <t>自忠二街</t>
    <phoneticPr fontId="12" type="noConversion"/>
  </si>
  <si>
    <t>後寮二路瓶頸打通工程</t>
    <phoneticPr fontId="12" type="noConversion"/>
  </si>
  <si>
    <t>龍昌路</t>
    <phoneticPr fontId="12" type="noConversion"/>
  </si>
  <si>
    <t>後寮一路</t>
    <phoneticPr fontId="12" type="noConversion"/>
  </si>
  <si>
    <t>(110.7.14)</t>
    <phoneticPr fontId="12" type="noConversion"/>
  </si>
  <si>
    <t>廣義街</t>
    <phoneticPr fontId="12" type="noConversion"/>
  </si>
  <si>
    <t>廣義街25巷底</t>
    <phoneticPr fontId="12" type="noConversion"/>
  </si>
  <si>
    <t>60*</t>
  </si>
  <si>
    <t>陸光路(陸光路與民族路三段路口改善)</t>
    <phoneticPr fontId="12" type="noConversion"/>
  </si>
  <si>
    <t>民族路三段1巷</t>
    <phoneticPr fontId="12" type="noConversion"/>
  </si>
  <si>
    <t>陸光路</t>
    <phoneticPr fontId="12" type="noConversion"/>
  </si>
  <si>
    <t>延平路二段430巷瓶頸打通工程</t>
  </si>
  <si>
    <t>復旦路</t>
    <phoneticPr fontId="12" type="noConversion"/>
  </si>
  <si>
    <t>延平路二段</t>
    <phoneticPr fontId="12" type="noConversion"/>
  </si>
  <si>
    <t>4~7</t>
  </si>
  <si>
    <t>依用地取得進度辦理之。
(謝彰文)</t>
    <phoneticPr fontId="12" type="noConversion"/>
  </si>
  <si>
    <t>謝彰文</t>
  </si>
  <si>
    <t>民族路雙連二段113巷</t>
  </si>
  <si>
    <t>民族路雙連二段113巷口</t>
    <phoneticPr fontId="12" type="noConversion"/>
  </si>
  <si>
    <t>土地所有權人同意及地上物配合拆遷始納入辦理。</t>
    <phoneticPr fontId="12" type="noConversion"/>
  </si>
  <si>
    <t>興安路39巷(平鎮國民運動中心旁)</t>
  </si>
  <si>
    <t>興安路39巷</t>
    <phoneticPr fontId="12" type="noConversion"/>
  </si>
  <si>
    <t>中庸路</t>
    <phoneticPr fontId="12" type="noConversion"/>
  </si>
  <si>
    <t>(108.1.12)</t>
    <phoneticPr fontId="12" type="noConversion"/>
  </si>
  <si>
    <t>龍宮街73巷34弄打通新闢工程</t>
  </si>
  <si>
    <t>龍宮街73巷34弄</t>
    <phoneticPr fontId="12" type="noConversion"/>
  </si>
  <si>
    <t>平鎮區中正一路</t>
    <phoneticPr fontId="12" type="noConversion"/>
  </si>
  <si>
    <t>3~5</t>
  </si>
  <si>
    <t>龍宮街73巷62弄打通新闢工程</t>
  </si>
  <si>
    <t>龍宮街73巷62弄</t>
    <phoneticPr fontId="12" type="noConversion"/>
  </si>
  <si>
    <t>瑞溪路瓶頸打通作業計畫(瑞溪路一段)</t>
    <phoneticPr fontId="12" type="noConversion"/>
  </si>
  <si>
    <t>依用地取得進度辦理之。
配合楊梅體育園區開闢辦理。</t>
    <phoneticPr fontId="12" type="noConversion"/>
  </si>
  <si>
    <t>瑞溪路一段底</t>
    <phoneticPr fontId="12" type="noConversion"/>
  </si>
  <si>
    <t>裕成路3巷</t>
    <phoneticPr fontId="12" type="noConversion"/>
  </si>
  <si>
    <t>楊新路一段406巷口拓寬工程</t>
  </si>
  <si>
    <t>楊新路一段406巷</t>
    <phoneticPr fontId="12" type="noConversion"/>
  </si>
  <si>
    <t>楊新路一段</t>
    <phoneticPr fontId="12" type="noConversion"/>
  </si>
  <si>
    <t>3~6</t>
  </si>
  <si>
    <t>土地所有權人同意及地上物配合拆遷始納入辦理。
107年3月23日通過25公尺路口改善方案。</t>
    <phoneticPr fontId="12" type="noConversion"/>
  </si>
  <si>
    <t>(113.2.6)</t>
    <phoneticPr fontId="2" type="noConversion"/>
  </si>
  <si>
    <t>三元一街(桃64號)短期瓶頸打通</t>
  </si>
  <si>
    <t>0K+070、0K+390、1K+010</t>
    <phoneticPr fontId="12" type="noConversion"/>
  </si>
  <si>
    <t>20,50,200</t>
  </si>
  <si>
    <t>勝利街194號前瓶頸</t>
  </si>
  <si>
    <t>勝利街194號前</t>
    <phoneticPr fontId="12" type="noConversion"/>
  </si>
  <si>
    <t>瑞仁路(桃56)鄉道桃56線工程</t>
    <phoneticPr fontId="12" type="noConversion"/>
  </si>
  <si>
    <t>0K+350、1K+460等兩處瓶頸點</t>
    <phoneticPr fontId="12" type="noConversion"/>
  </si>
  <si>
    <t>50,50*</t>
  </si>
  <si>
    <t>護欄</t>
  </si>
  <si>
    <t>依用地取得進度辦理之。
107年3月23日列入道路瓶頸辦理。</t>
    <phoneticPr fontId="12" type="noConversion"/>
  </si>
  <si>
    <t>中興路350號</t>
    <phoneticPr fontId="12" type="noConversion"/>
  </si>
  <si>
    <t>中興路346巷2號</t>
    <phoneticPr fontId="12" type="noConversion"/>
  </si>
  <si>
    <t>信義街(中山路363巷5弄至中山路425號)</t>
  </si>
  <si>
    <t>中山路363巷5弄</t>
    <phoneticPr fontId="12" type="noConversion"/>
  </si>
  <si>
    <t>中山路</t>
    <phoneticPr fontId="12" type="noConversion"/>
  </si>
  <si>
    <t>福興溪(五十間溪)跨河構造物新建</t>
  </si>
  <si>
    <t>近桃107號及竹107號交界處</t>
    <phoneticPr fontId="12" type="noConversion"/>
  </si>
  <si>
    <t>中正路293巷18弄</t>
  </si>
  <si>
    <t>中正路293巷18弄</t>
    <phoneticPr fontId="12" type="noConversion"/>
  </si>
  <si>
    <t>仁愛路</t>
    <phoneticPr fontId="12" type="noConversion"/>
  </si>
  <si>
    <t>(108.11.18)</t>
    <phoneticPr fontId="12" type="noConversion"/>
  </si>
  <si>
    <t>桃園區</t>
    <phoneticPr fontId="12" type="noConversion"/>
  </si>
  <si>
    <t>益壽八街</t>
    <phoneticPr fontId="12" type="noConversion"/>
  </si>
  <si>
    <t>益壽七街</t>
    <phoneticPr fontId="12" type="noConversion"/>
  </si>
  <si>
    <t>通過/核定執行
(107.06.13)</t>
    <phoneticPr fontId="12" type="noConversion"/>
  </si>
  <si>
    <t>(108.01.02)</t>
    <phoneticPr fontId="2" type="noConversion"/>
  </si>
  <si>
    <t>吉昌街</t>
    <phoneticPr fontId="12" type="noConversion"/>
  </si>
  <si>
    <t>泰昌十二街</t>
    <phoneticPr fontId="12" type="noConversion"/>
  </si>
  <si>
    <t>保留/列為瓶頸
(107.06.13)</t>
    <phoneticPr fontId="12" type="noConversion"/>
  </si>
  <si>
    <t>改列為道路瓶頸。</t>
    <phoneticPr fontId="12" type="noConversion"/>
  </si>
  <si>
    <t>天祥一街</t>
    <phoneticPr fontId="12" type="noConversion"/>
  </si>
  <si>
    <t>慈文路190巷</t>
    <phoneticPr fontId="12" type="noConversion"/>
  </si>
  <si>
    <t>倘取得現有道路邱家及謝家土地使用同意書者，得就不同意協議價購之林家土地範圍辦理徵收作業。</t>
    <phoneticPr fontId="12" type="noConversion"/>
  </si>
  <si>
    <t>中壢區</t>
    <phoneticPr fontId="12" type="noConversion"/>
  </si>
  <si>
    <t>華美三路</t>
    <phoneticPr fontId="12" type="noConversion"/>
  </si>
  <si>
    <t>華勛街302巷</t>
    <phoneticPr fontId="12" type="noConversion"/>
  </si>
  <si>
    <t>保留/暫緩辦理
(107.6.13)</t>
    <phoneticPr fontId="12" type="noConversion"/>
  </si>
  <si>
    <t>無急迫性，視財源狀況再議。</t>
    <phoneticPr fontId="12" type="noConversion"/>
  </si>
  <si>
    <t>中山東路三段206號至218號拓寬</t>
    <phoneticPr fontId="12" type="noConversion"/>
  </si>
  <si>
    <t>中山東路三段206號</t>
    <phoneticPr fontId="12" type="noConversion"/>
  </si>
  <si>
    <t>218號</t>
    <phoneticPr fontId="12" type="noConversion"/>
  </si>
  <si>
    <t>改列為道路瓶頸，不列拓寬期程。</t>
    <phoneticPr fontId="12" type="noConversion"/>
  </si>
  <si>
    <t>龍岡路三段412巷、426巷、440巷</t>
    <phoneticPr fontId="12" type="noConversion"/>
  </si>
  <si>
    <t>龍岡路460巷</t>
    <phoneticPr fontId="12" type="noConversion"/>
  </si>
  <si>
    <t>龍岡路412巷</t>
    <phoneticPr fontId="12" type="noConversion"/>
  </si>
  <si>
    <t>俟龍慈路延伸段開闢後再議。</t>
    <phoneticPr fontId="12" type="noConversion"/>
  </si>
  <si>
    <t>華安二街新闢工程(華仁一街到華勛街)→華仁街22巷打通</t>
    <phoneticPr fontId="12" type="noConversion"/>
  </si>
  <si>
    <t>華勛街</t>
    <phoneticPr fontId="12" type="noConversion"/>
  </si>
  <si>
    <t>華仁街22巷</t>
    <phoneticPr fontId="12" type="noConversion"/>
  </si>
  <si>
    <t>改列為道路瓶頸。
本案更名為中壢區華仁街22巷瓶頸打通工程。</t>
    <phoneticPr fontId="12" type="noConversion"/>
  </si>
  <si>
    <t>(108.5.31)</t>
    <phoneticPr fontId="2" type="noConversion"/>
  </si>
  <si>
    <t>文康路連街至圓光禪寺</t>
    <phoneticPr fontId="12" type="noConversion"/>
  </si>
  <si>
    <t>圓光禪寺</t>
    <phoneticPr fontId="12" type="noConversion"/>
  </si>
  <si>
    <t>文康路</t>
    <phoneticPr fontId="12" type="noConversion"/>
  </si>
  <si>
    <t>通過/保留執行
(107.06.13)</t>
    <phoneticPr fontId="12" type="noConversion"/>
  </si>
  <si>
    <t>108年先規劃設計。
本案更名為中壢區文康路延伸(圓光禪寺)工程</t>
    <phoneticPr fontId="12" type="noConversion"/>
  </si>
  <si>
    <t>華美一路至榮民南路</t>
    <phoneticPr fontId="12" type="noConversion"/>
  </si>
  <si>
    <t>榮民南路</t>
    <phoneticPr fontId="12" type="noConversion"/>
  </si>
  <si>
    <t>華美一路</t>
    <phoneticPr fontId="12" type="noConversion"/>
  </si>
  <si>
    <t>先錄案，但不列為最優先。</t>
    <phoneticPr fontId="12" type="noConversion"/>
  </si>
  <si>
    <t>民權路39巷東側(民權路與義民路間)道路開闢工程</t>
    <phoneticPr fontId="12" type="noConversion"/>
  </si>
  <si>
    <t>民權路</t>
    <phoneticPr fontId="12" type="noConversion"/>
  </si>
  <si>
    <t>義民路一段</t>
    <phoneticPr fontId="12" type="noConversion"/>
  </si>
  <si>
    <t>改列道路瓶頸。
本案於108年道路瓶頸滾動檢討再議。</t>
    <phoneticPr fontId="12" type="noConversion"/>
  </si>
  <si>
    <t>中庸路一段延伸銜接中興路(方案一)</t>
    <phoneticPr fontId="12" type="noConversion"/>
  </si>
  <si>
    <t>中興路</t>
    <phoneticPr fontId="12" type="noConversion"/>
  </si>
  <si>
    <t>長沙街</t>
    <phoneticPr fontId="12" type="noConversion"/>
  </si>
  <si>
    <t>中庸路一段延伸銜接中興路(方案二)</t>
    <phoneticPr fontId="12" type="noConversion"/>
  </si>
  <si>
    <t>天津街</t>
    <phoneticPr fontId="12" type="noConversion"/>
  </si>
  <si>
    <t>108年先定線，109年規劃設計。
建議闢開大坑崁溪上游百年的糯米橋—鎮南橋，109~110年辦理規劃設計。</t>
    <phoneticPr fontId="12" type="noConversion"/>
  </si>
  <si>
    <t>平鎮區</t>
    <phoneticPr fontId="12" type="noConversion"/>
  </si>
  <si>
    <t>鄧雨賢紀念公園進出道路開闢</t>
  </si>
  <si>
    <t>南豐路108巷</t>
    <phoneticPr fontId="12" type="noConversion"/>
  </si>
  <si>
    <t>雅豐街</t>
    <phoneticPr fontId="12" type="noConversion"/>
  </si>
  <si>
    <t>暫緩辦理
(107.6.13)</t>
    <phoneticPr fontId="12" type="noConversion"/>
  </si>
  <si>
    <t>俟整體公辦重劃取得公園用地後再議。
(謝彰文、黃敬平)</t>
    <phoneticPr fontId="12" type="noConversion"/>
  </si>
  <si>
    <t>謝彰文、黃敬平</t>
  </si>
  <si>
    <t>金陵路五、六段替代道路新闢工程</t>
  </si>
  <si>
    <t>石門大圳</t>
    <phoneticPr fontId="12" type="noConversion"/>
  </si>
  <si>
    <t>平東路一段</t>
    <phoneticPr fontId="12" type="noConversion"/>
  </si>
  <si>
    <t>108年先行辦理定線及規劃設計，往後年度再行檢討開闢期程。
(謝彰文、黃敬平、莊玉輝)</t>
    <phoneticPr fontId="12" type="noConversion"/>
  </si>
  <si>
    <t>謝彰文、黃敬平、莊玉輝</t>
  </si>
  <si>
    <t>國光路(和平路991巷)道路拓寬工程</t>
  </si>
  <si>
    <t>延平路</t>
    <phoneticPr fontId="12" type="noConversion"/>
  </si>
  <si>
    <t>和平路</t>
    <phoneticPr fontId="12" type="noConversion"/>
  </si>
  <si>
    <t>108年先行辦理定線及規劃設計，往後年度再行檢討開闢期程。
(呂林小鳳、呂淑真)</t>
    <phoneticPr fontId="12" type="noConversion"/>
  </si>
  <si>
    <t>呂林小鳳、呂淑真</t>
  </si>
  <si>
    <t>幼獅路二段</t>
    <phoneticPr fontId="12" type="noConversion"/>
  </si>
  <si>
    <t>台66</t>
    <phoneticPr fontId="12" type="noConversion"/>
  </si>
  <si>
    <t>108年先行辦理定線及規劃設計，往後年度再行檢討開闢期程。
本案請評估延伸至平鎮區復旦路。(李家興、周玉琴)</t>
    <phoneticPr fontId="12" type="noConversion"/>
  </si>
  <si>
    <t>李家興、周玉琴</t>
  </si>
  <si>
    <t>新榮路(方案一)</t>
  </si>
  <si>
    <t>民族路六段</t>
    <phoneticPr fontId="12" type="noConversion"/>
  </si>
  <si>
    <t>無開闢之急迫性，爰先予以保留，視財源狀況再議之案件。
(陳賴素美)</t>
    <phoneticPr fontId="12" type="noConversion"/>
  </si>
  <si>
    <t>新榮路(方案二)</t>
  </si>
  <si>
    <t>台66快速道路</t>
    <phoneticPr fontId="12" type="noConversion"/>
  </si>
  <si>
    <t>新坡多功能場館週邊道路</t>
  </si>
  <si>
    <t>新生路</t>
    <phoneticPr fontId="12" type="noConversion"/>
  </si>
  <si>
    <t>新坡多功能場館前</t>
    <phoneticPr fontId="12" type="noConversion"/>
  </si>
  <si>
    <t>(109.2.26)</t>
    <phoneticPr fontId="12" type="noConversion"/>
  </si>
  <si>
    <t>復旦路四段227巷至高幼路158巷</t>
    <phoneticPr fontId="12" type="noConversion"/>
  </si>
  <si>
    <t>(舒翠玲)</t>
    <phoneticPr fontId="12" type="noConversion"/>
  </si>
  <si>
    <t>舒翠玲</t>
    <phoneticPr fontId="12" type="noConversion"/>
  </si>
  <si>
    <t>幼平街</t>
    <phoneticPr fontId="12" type="noConversion"/>
  </si>
  <si>
    <t>(李家興)</t>
    <phoneticPr fontId="12" type="noConversion"/>
  </si>
  <si>
    <t>李家興</t>
    <phoneticPr fontId="12" type="noConversion"/>
  </si>
  <si>
    <t>錦順街通往南崁溪自行車道工程</t>
    <phoneticPr fontId="12" type="noConversion"/>
  </si>
  <si>
    <t>(陳麗莉)</t>
    <phoneticPr fontId="12" type="noConversion"/>
  </si>
  <si>
    <t>陳麗莉</t>
    <phoneticPr fontId="12" type="noConversion"/>
  </si>
  <si>
    <t>五青路</t>
    <phoneticPr fontId="12" type="noConversion"/>
  </si>
  <si>
    <t>(游吾和)</t>
    <phoneticPr fontId="12" type="noConversion"/>
  </si>
  <si>
    <t>游吾和</t>
    <phoneticPr fontId="12" type="noConversion"/>
  </si>
  <si>
    <t>埔心溪至圳頭里濱海路二段興建橋梁</t>
    <phoneticPr fontId="12" type="noConversion"/>
  </si>
  <si>
    <t>4~4.5</t>
  </si>
  <si>
    <t>吳宗憲</t>
    <phoneticPr fontId="12" type="noConversion"/>
  </si>
  <si>
    <t>(109.11.21)</t>
    <phoneticPr fontId="12" type="noConversion"/>
  </si>
  <si>
    <t>東嶺段629地號(茶磚路旁)</t>
    <phoneticPr fontId="12" type="noConversion"/>
  </si>
  <si>
    <t>(陳志謀)</t>
    <phoneticPr fontId="12" type="noConversion"/>
  </si>
  <si>
    <t>陳志謀</t>
    <phoneticPr fontId="12" type="noConversion"/>
  </si>
  <si>
    <t>西勢湖路拓寬</t>
    <phoneticPr fontId="12" type="noConversion"/>
  </si>
  <si>
    <t>林俐玲</t>
    <phoneticPr fontId="12" type="noConversion"/>
  </si>
  <si>
    <t>南祥路87巷</t>
    <phoneticPr fontId="12" type="noConversion"/>
  </si>
  <si>
    <t>五福街262巷至健行路619巷</t>
    <phoneticPr fontId="12" type="noConversion"/>
  </si>
  <si>
    <t>張肇良</t>
    <phoneticPr fontId="12" type="noConversion"/>
  </si>
  <si>
    <t>福龍路</t>
    <phoneticPr fontId="12" type="noConversion"/>
  </si>
  <si>
    <t>12~15</t>
  </si>
  <si>
    <t>向善街</t>
    <phoneticPr fontId="12" type="noConversion"/>
  </si>
  <si>
    <t>春日路</t>
    <phoneticPr fontId="12" type="noConversion"/>
  </si>
  <si>
    <t>大業路二段</t>
    <phoneticPr fontId="12" type="noConversion"/>
  </si>
  <si>
    <t>保留/列為瓶頸
(107.10.09)</t>
    <phoneticPr fontId="12" type="noConversion"/>
  </si>
  <si>
    <t>請新建工程處先評估工程及用地取得經費資料後納入工務局局務會議報告。另路口束縮範圍，列為專案瓶頸，請工務局（工程用地科）以 1.2 倍公告現值與土地所有權人辦理協議價購。</t>
    <phoneticPr fontId="12" type="noConversion"/>
  </si>
  <si>
    <t>三元街</t>
    <phoneticPr fontId="12" type="noConversion"/>
  </si>
  <si>
    <t>三民路一段銜接二段路口</t>
    <phoneticPr fontId="12" type="noConversion"/>
  </si>
  <si>
    <t>會稽橋</t>
    <phoneticPr fontId="12" type="noConversion"/>
  </si>
  <si>
    <t>通過/核定執行
(107.10.09)</t>
    <phoneticPr fontId="12" type="noConversion"/>
  </si>
  <si>
    <t>本案通過執行。請新建工程處再行評估車道配置型式，另人行道上的台電變電箱及土地公廟設施請向台電與里長協調是否遷移進三民公園內。</t>
    <phoneticPr fontId="12" type="noConversion"/>
  </si>
  <si>
    <t>(108.1.29)</t>
    <phoneticPr fontId="12" type="noConversion"/>
  </si>
  <si>
    <t>益壽八街橫向道路</t>
    <phoneticPr fontId="12" type="noConversion"/>
  </si>
  <si>
    <t>延壽街</t>
    <phoneticPr fontId="12" type="noConversion"/>
  </si>
  <si>
    <t>本案通過執行。</t>
    <phoneticPr fontId="12" type="noConversion"/>
  </si>
  <si>
    <t>(108.12.29)</t>
    <phoneticPr fontId="12" type="noConversion"/>
  </si>
  <si>
    <t>復華六街</t>
    <phoneticPr fontId="12" type="noConversion"/>
  </si>
  <si>
    <t>富華一街</t>
    <phoneticPr fontId="12" type="noConversion"/>
  </si>
  <si>
    <t>本案通過執行，請先開闢公有土地部分，另請工務局（工程用地科）詢問復興段 640 地號土地之土地所有權人有無意願以市價協議價購。</t>
    <phoneticPr fontId="12" type="noConversion"/>
  </si>
  <si>
    <t>仁愛路(成章一街至文化路130巷)</t>
    <phoneticPr fontId="12" type="noConversion"/>
  </si>
  <si>
    <t>文化路130巷</t>
    <phoneticPr fontId="12" type="noConversion"/>
  </si>
  <si>
    <t>成章一街</t>
    <phoneticPr fontId="12" type="noConversion"/>
  </si>
  <si>
    <t>本案列為專案瓶頸通，以 1.2 倍公告現值與土地所有權人辦理協議價購後才納入執行。</t>
    <phoneticPr fontId="12" type="noConversion"/>
  </si>
  <si>
    <t>東明街</t>
    <phoneticPr fontId="12" type="noConversion"/>
  </si>
  <si>
    <t>中北路二段</t>
    <phoneticPr fontId="12" type="noConversion"/>
  </si>
  <si>
    <t>新興路</t>
    <phoneticPr fontId="12" type="noConversion"/>
  </si>
  <si>
    <t>通過/保留執行
(107.10.09)</t>
    <phoneticPr fontId="12" type="noConversion"/>
  </si>
  <si>
    <t>本案配合鐵路地下化工程通過執行，惟於 108 年度檢討推動，目前暫不規劃設置人行道。</t>
    <phoneticPr fontId="12" type="noConversion"/>
  </si>
  <si>
    <t>龍南路(21砲指部外)單側拓寬(龍南路355巷至新生路600巷)</t>
    <phoneticPr fontId="12" type="noConversion"/>
  </si>
  <si>
    <t>龍南路</t>
    <phoneticPr fontId="12" type="noConversion"/>
  </si>
  <si>
    <t>龍南路355巷及龍美路路口</t>
    <phoneticPr fontId="12" type="noConversion"/>
  </si>
  <si>
    <t>保留/暫緩辦理
(107.10.09)</t>
    <phoneticPr fontId="12" type="noConversion"/>
  </si>
  <si>
    <t>軍方需求暫無法滿足，暫緩辦理。</t>
    <phoneticPr fontId="12" type="noConversion"/>
  </si>
  <si>
    <t>(110.03.30)
工務局專案</t>
    <phoneticPr fontId="2" type="noConversion"/>
  </si>
  <si>
    <t>工業南路瓶頸打通工程</t>
    <phoneticPr fontId="12" type="noConversion"/>
  </si>
  <si>
    <t>工業南路</t>
    <phoneticPr fontId="12" type="noConversion"/>
  </si>
  <si>
    <t>本案通過執行，一併辦理電纜地下化，惟施作時如遇阻力，則暫緩辦理。</t>
    <phoneticPr fontId="12" type="noConversion"/>
  </si>
  <si>
    <t>(109.1.15)</t>
    <phoneticPr fontId="12" type="noConversion"/>
  </si>
  <si>
    <t>山下街打通至新興路道路新闢工程</t>
    <phoneticPr fontId="12" type="noConversion"/>
  </si>
  <si>
    <t>山下街</t>
    <phoneticPr fontId="12" type="noConversion"/>
  </si>
  <si>
    <t>108 年先辦理規劃設計及用地變更。</t>
    <phoneticPr fontId="12" type="noConversion"/>
  </si>
  <si>
    <t>(112.11.01)</t>
    <phoneticPr fontId="2" type="noConversion"/>
  </si>
  <si>
    <t>牲牲路至秀才路道路拓寬及新闢工程(第一期)</t>
    <phoneticPr fontId="12" type="noConversion"/>
  </si>
  <si>
    <t>牲牲路</t>
    <phoneticPr fontId="12" type="noConversion"/>
  </si>
  <si>
    <t>秀才路</t>
    <phoneticPr fontId="12" type="noConversion"/>
  </si>
  <si>
    <t>本案通過執行，請新建工程處邀集民政局及一貫道等單位召開會議，說明道路無法開闢至 8 公尺寬，另倘有 8 公尺道路需求，請一貫道提供土地同意書。</t>
    <phoneticPr fontId="12" type="noConversion"/>
  </si>
  <si>
    <t>(108.12.18)</t>
    <phoneticPr fontId="12" type="noConversion"/>
  </si>
  <si>
    <t>富聯路</t>
    <phoneticPr fontId="12" type="noConversion"/>
  </si>
  <si>
    <t>本案通過執行，範圍為富聯路至中正路之都市計畫道路用地，請新建工程處辦理 8 公尺寬道路定線為開闢範圍，惟請工務局（工程用地科）先以完整計畫道路範圍為徵收方式辦理用地取得作業。</t>
    <phoneticPr fontId="12" type="noConversion"/>
  </si>
  <si>
    <t>高上路一段(高榮國小旁)</t>
    <phoneticPr fontId="12" type="noConversion"/>
  </si>
  <si>
    <t>高上路一段</t>
    <phoneticPr fontId="12" type="noConversion"/>
  </si>
  <si>
    <t>圍牆</t>
  </si>
  <si>
    <t>雨遮</t>
  </si>
  <si>
    <t>本案通過執行，請工務局（工程用地科）以用地經費 1,500 萬元以下為前提，與土地所有權人辦理協議價購。</t>
    <phoneticPr fontId="12" type="noConversion"/>
  </si>
  <si>
    <t>(108.10.26)</t>
    <phoneticPr fontId="12" type="noConversion"/>
  </si>
  <si>
    <t>公九公園橫向道路</t>
    <phoneticPr fontId="12" type="noConversion"/>
  </si>
  <si>
    <t>瑞溪路一段326巷</t>
    <phoneticPr fontId="12" type="noConversion"/>
  </si>
  <si>
    <t>4、8</t>
  </si>
  <si>
    <t>本案通過執行，請工務局（工程用地科）就未開闢部分先辦理用地取得。</t>
    <phoneticPr fontId="12" type="noConversion"/>
  </si>
  <si>
    <t>(110.7.9)</t>
    <phoneticPr fontId="12" type="noConversion"/>
  </si>
  <si>
    <t>西康路</t>
    <phoneticPr fontId="12" type="noConversion"/>
  </si>
  <si>
    <t>光明路二段143巷及光明路二段巷口</t>
    <phoneticPr fontId="12" type="noConversion"/>
  </si>
  <si>
    <t>聯福街</t>
    <phoneticPr fontId="12" type="noConversion"/>
  </si>
  <si>
    <t>暫緩執行。</t>
    <phoneticPr fontId="12" type="noConversion"/>
  </si>
  <si>
    <t>(111.1.4)</t>
    <phoneticPr fontId="12" type="noConversion"/>
  </si>
  <si>
    <t>南竹路二段至南竹路二段300巷</t>
    <phoneticPr fontId="12" type="noConversion"/>
  </si>
  <si>
    <t>南竹路二段</t>
    <phoneticPr fontId="12" type="noConversion"/>
  </si>
  <si>
    <t>南竹路二段300巷</t>
    <phoneticPr fontId="12" type="noConversion"/>
  </si>
  <si>
    <t>大鶯路1320巷髮夾彎改善(方案一)</t>
    <phoneticPr fontId="12" type="noConversion"/>
  </si>
  <si>
    <t>大鶯路1320</t>
    <phoneticPr fontId="12" type="noConversion"/>
  </si>
  <si>
    <t>5.6~9.6</t>
  </si>
  <si>
    <t>大鶯路1320巷髮夾彎改善(方案二)</t>
  </si>
  <si>
    <t>因應增闢交流道，請新建工程處函詢水務局目前有無開闢防汛道路計畫，倘有前揭計畫作為替代道路，本案現階段暫緩執行。</t>
    <phoneticPr fontId="12" type="noConversion"/>
  </si>
  <si>
    <t>月眉防汛道路拓寬工程</t>
    <phoneticPr fontId="12" type="noConversion"/>
  </si>
  <si>
    <t>月湖路</t>
    <phoneticPr fontId="12" type="noConversion"/>
  </si>
  <si>
    <t>6~10</t>
  </si>
  <si>
    <t>本案通過執行，私有地部分請工務局（工程用地科）詢問土地所有權人有無意願提供土地同意書。</t>
    <phoneticPr fontId="12" type="noConversion"/>
  </si>
  <si>
    <t>(109.4.2)</t>
    <phoneticPr fontId="12" type="noConversion"/>
  </si>
  <si>
    <t>華興路二段與田溪路交叉口處</t>
    <phoneticPr fontId="12" type="noConversion"/>
  </si>
  <si>
    <t>田溪路</t>
    <phoneticPr fontId="12" type="noConversion"/>
  </si>
  <si>
    <t>華興路二段</t>
    <phoneticPr fontId="12" type="noConversion"/>
  </si>
  <si>
    <t>60~70</t>
  </si>
  <si>
    <t>本案通過執行，用地取得以徵收方式辦理。</t>
    <phoneticPr fontId="12" type="noConversion"/>
  </si>
  <si>
    <t>(109.3.5)</t>
    <phoneticPr fontId="12" type="noConversion"/>
  </si>
  <si>
    <t>桃園機捷A15-A16間緊急搶修道間跨新街溪橋樑工程</t>
    <phoneticPr fontId="12" type="noConversion"/>
  </si>
  <si>
    <t>桃園機捷A15</t>
    <phoneticPr fontId="12" type="noConversion"/>
  </si>
  <si>
    <t>桃園機捷A16</t>
    <phoneticPr fontId="12" type="noConversion"/>
  </si>
  <si>
    <t>振興路23巷民安橋後道路拓寬工程</t>
  </si>
  <si>
    <t>請工務局（工程用地科）協調工廠提供土地無償使用同意書後才納入執行。</t>
    <phoneticPr fontId="12" type="noConversion"/>
  </si>
  <si>
    <t>龍華路479巷</t>
  </si>
  <si>
    <t>龍華路</t>
    <phoneticPr fontId="12" type="noConversion"/>
  </si>
  <si>
    <t>中正路</t>
    <phoneticPr fontId="12" type="noConversion"/>
  </si>
  <si>
    <t>108 年先辦理規劃設計及都市計畫變更。</t>
    <phoneticPr fontId="12" type="noConversion"/>
  </si>
  <si>
    <t>福山路(三處瓶頸打通)</t>
  </si>
  <si>
    <t>1.中正路四段至福山路一段路口</t>
    <phoneticPr fontId="12" type="noConversion"/>
  </si>
  <si>
    <t>2.福山路一段至山坪路
3.福山路一段至福坪路與山大路路口</t>
    <phoneticPr fontId="12" type="noConversion"/>
  </si>
  <si>
    <t>6~12</t>
  </si>
  <si>
    <t>本案通過執行，另請新建工程處儘速研擬月桃路接進草漯之方案（月桃路拓寬第三期）。</t>
    <phoneticPr fontId="12" type="noConversion"/>
  </si>
  <si>
    <t>改瓶頸(未核定)
(107.11.30)</t>
    <phoneticPr fontId="12" type="noConversion"/>
  </si>
  <si>
    <t>先以專案道路瓶頸方式打通春日路及向善街路口的束縮部分。</t>
    <phoneticPr fontId="12" type="noConversion"/>
  </si>
  <si>
    <t>可行/核定執行
(107.11.30)</t>
    <phoneticPr fontId="12" type="noConversion"/>
  </si>
  <si>
    <t>本案通過執行，先以開闢至信陽街40巷止為優先。</t>
    <phoneticPr fontId="12" type="noConversion"/>
  </si>
  <si>
    <t>本案通過先以公有地部分開闢為優先執行，違章建築的部分請建築管理處協助處理。</t>
    <phoneticPr fontId="12" type="noConversion"/>
  </si>
  <si>
    <t>先以專案道路瓶頸方式打通文化路130巷至文化路158巷間的束縮部分。</t>
    <phoneticPr fontId="12" type="noConversion"/>
  </si>
  <si>
    <t>保留/保留執行
(107.11.30)</t>
    <phoneticPr fontId="12" type="noConversion"/>
  </si>
  <si>
    <t>本案先予保留，俟元化地下道封閉後，東明街單向雙車道的交通情形再議。</t>
    <phoneticPr fontId="12" type="noConversion"/>
  </si>
  <si>
    <t>本案先予保留，俟與軍方協調完成後再議。</t>
    <phoneticPr fontId="12" type="noConversion"/>
  </si>
  <si>
    <t>本案通過執行。
(謝彰文)</t>
    <phoneticPr fontId="12" type="noConversion"/>
  </si>
  <si>
    <t>納入北區客家文化園區整體檢討。
(蔡永芳)</t>
    <phoneticPr fontId="12" type="noConversion"/>
  </si>
  <si>
    <t>蔡永芳</t>
  </si>
  <si>
    <t>本案通過，先以開闢第一期範圍為優先。</t>
    <phoneticPr fontId="12" type="noConversion"/>
  </si>
  <si>
    <t>專案報告
(107.11.30)</t>
    <phoneticPr fontId="12" type="noConversion"/>
  </si>
  <si>
    <t>本案以專案道路瓶頸方式打通富聯路至中正路之都市計畫道路為優先。
拓寬經費過高。(李家興)</t>
    <phoneticPr fontId="12" type="noConversion"/>
  </si>
  <si>
    <t>李家興</t>
  </si>
  <si>
    <t>可行/有條件通過
(107.11.30)</t>
    <phoneticPr fontId="12" type="noConversion"/>
  </si>
  <si>
    <t>本案有條件通過執行，請工務局以用地經費1,500萬元以下為前提，與土地所有權人辦理協議價購。(李家興)</t>
    <phoneticPr fontId="12" type="noConversion"/>
  </si>
  <si>
    <t>本案通過執行，惟開闢時須向地方民眾說明清楚，係依據都市計畫道路寬度辦理拓寬。</t>
    <phoneticPr fontId="12" type="noConversion"/>
  </si>
  <si>
    <t>暫緩/暫緩辦理
(107.11.30)</t>
    <phoneticPr fontId="12" type="noConversion"/>
  </si>
  <si>
    <t>開闢效益不足，暫緩執行。
(陳麗莉、許清順)</t>
    <phoneticPr fontId="12" type="noConversion"/>
  </si>
  <si>
    <t>陳麗莉、許清順</t>
    <phoneticPr fontId="2" type="noConversion"/>
  </si>
  <si>
    <t>納入北桃園新都心都市計畫一併檢討。
(許清順、郭麗華)</t>
    <phoneticPr fontId="12" type="noConversion"/>
  </si>
  <si>
    <t>許清順、郭麗華</t>
  </si>
  <si>
    <t>本案先予保留，請邀集交通局及水務局召開會議，將本案與第二交流道、大漢溪防汛道路整合並進行改善，再決定作法。(李柏坊、陳治文)</t>
    <phoneticPr fontId="12" type="noConversion"/>
  </si>
  <si>
    <t>李柏坊、陳治文</t>
  </si>
  <si>
    <t>暫緩執行，先行納入航空城計畫辦理。</t>
    <phoneticPr fontId="12" type="noConversion"/>
  </si>
  <si>
    <t>潮州街打通至宏昌六街</t>
    <phoneticPr fontId="12" type="noConversion"/>
  </si>
  <si>
    <t>潮州街</t>
    <phoneticPr fontId="12" type="noConversion"/>
  </si>
  <si>
    <t>宏昌六街</t>
    <phoneticPr fontId="12" type="noConversion"/>
  </si>
  <si>
    <t>核定執行
(108.9.17)</t>
    <phoneticPr fontId="2" type="noConversion"/>
  </si>
  <si>
    <t>納入執行。
(鄭寶清)</t>
    <phoneticPr fontId="2" type="noConversion"/>
  </si>
  <si>
    <t>(109.11.22)</t>
    <phoneticPr fontId="12" type="noConversion"/>
  </si>
  <si>
    <t>鄭寶清</t>
  </si>
  <si>
    <t>壽昌街</t>
    <phoneticPr fontId="12" type="noConversion"/>
  </si>
  <si>
    <t>泰昌三街</t>
    <phoneticPr fontId="12" type="noConversion"/>
  </si>
  <si>
    <t>暫緩辦理
(108.9.17)</t>
    <phoneticPr fontId="2" type="noConversion"/>
  </si>
  <si>
    <t>執行經費較高或優先度較低，俟必要性及可行性提高後，滾動檢討再議。
(李光達)</t>
    <phoneticPr fontId="2" type="noConversion"/>
  </si>
  <si>
    <t>李光達</t>
    <phoneticPr fontId="2" type="noConversion"/>
  </si>
  <si>
    <t xml:space="preserve">福元街(民富二街至民富一街間瓶頸處) </t>
  </si>
  <si>
    <t>民富二街</t>
    <phoneticPr fontId="12" type="noConversion"/>
  </si>
  <si>
    <t>民富一街</t>
    <phoneticPr fontId="12" type="noConversion"/>
  </si>
  <si>
    <t>執行經費較高或優先度較低，俟必要性及可行性提高後，滾動檢討再議。
(鄭運鵬、陳美梅)</t>
    <phoneticPr fontId="2" type="noConversion"/>
  </si>
  <si>
    <t>鄭運鵬、陳美梅</t>
  </si>
  <si>
    <t>中山路1216巷130號路底道路拓寬(龍園公園旁)</t>
  </si>
  <si>
    <t>中山路1216巷之龍園公園旁</t>
    <phoneticPr fontId="12" type="noConversion"/>
  </si>
  <si>
    <t>納入執行。
(鄭寶清、龍祥里辦公處)</t>
    <phoneticPr fontId="2" type="noConversion"/>
  </si>
  <si>
    <t>鄭寶清、龍祥里辦公處</t>
  </si>
  <si>
    <t>慈華街(慈光路至慈華路24巷間前瓶頸處)</t>
  </si>
  <si>
    <t>慈華街24巷</t>
    <phoneticPr fontId="12" type="noConversion"/>
  </si>
  <si>
    <t>慈光街</t>
    <phoneticPr fontId="12" type="noConversion"/>
  </si>
  <si>
    <t>執行經費較高或優先度較低，俟必要性及可行性提高後，滾動檢討再議。
(黃景熙)</t>
    <phoneticPr fontId="2" type="noConversion"/>
  </si>
  <si>
    <t>(113.1.15)</t>
    <phoneticPr fontId="2" type="noConversion"/>
  </si>
  <si>
    <t>南豐一街瓶頸打通工程(方案1)-打通兩處瓶頸</t>
    <phoneticPr fontId="12" type="noConversion"/>
  </si>
  <si>
    <t>1.漢中路至南豐一街</t>
    <phoneticPr fontId="12" type="noConversion"/>
  </si>
  <si>
    <t>2.南豐一街至南豐街</t>
    <phoneticPr fontId="12" type="noConversion"/>
  </si>
  <si>
    <t>執行經費較高或優先度較低，俟必要性及可行性提高後，滾動檢討再議。</t>
    <phoneticPr fontId="2" type="noConversion"/>
  </si>
  <si>
    <t>陳美梅</t>
  </si>
  <si>
    <t>南豐一街瓶頸打通工程(方案2)-僅打通南豐街</t>
    <phoneticPr fontId="12" type="noConversion"/>
  </si>
  <si>
    <t>南豐一街</t>
    <phoneticPr fontId="12" type="noConversion"/>
  </si>
  <si>
    <t>南豐街</t>
    <phoneticPr fontId="12" type="noConversion"/>
  </si>
  <si>
    <t>執行經費較高或優先度較低，俟必要性及可行性提高後，滾動檢討再議。
(陳美梅)</t>
    <phoneticPr fontId="2" type="noConversion"/>
  </si>
  <si>
    <t>國信街</t>
  </si>
  <si>
    <t>國信街</t>
    <phoneticPr fontId="12" type="noConversion"/>
  </si>
  <si>
    <t>國強一街168巷</t>
    <phoneticPr fontId="12" type="noConversion"/>
  </si>
  <si>
    <t>保留執行
(108.9.17)</t>
    <phoneticPr fontId="2" type="noConversion"/>
  </si>
  <si>
    <t>俟附近公共設施開闢時再議。
(黃家齊)</t>
    <phoneticPr fontId="12" type="noConversion"/>
  </si>
  <si>
    <t>黃家齊</t>
  </si>
  <si>
    <t>大興西路二段69巷(人行步道用地)</t>
  </si>
  <si>
    <t>同德二街</t>
    <phoneticPr fontId="12" type="noConversion"/>
  </si>
  <si>
    <t>同德二街175巷2弄</t>
    <phoneticPr fontId="12" type="noConversion"/>
  </si>
  <si>
    <t>執行經費較高或優先度較低，俟必要性及可行性提高後，滾動檢討再議。
(萬美玲)</t>
    <phoneticPr fontId="12" type="noConversion"/>
  </si>
  <si>
    <t>萬美玲</t>
  </si>
  <si>
    <t>館後一街(國土改革館)</t>
  </si>
  <si>
    <t>守法路40巷</t>
    <phoneticPr fontId="12" type="noConversion"/>
  </si>
  <si>
    <t>4~5</t>
  </si>
  <si>
    <t>執行經費較高或優先度較低，俟必要性及可行性提高後，滾動檢討再議。
(黃家齊)(1.中山路叉口可能須拆民房2.土改館圍牆須拆</t>
    <phoneticPr fontId="2" type="noConversion"/>
  </si>
  <si>
    <t>(111.10.13)</t>
    <phoneticPr fontId="2" type="noConversion"/>
  </si>
  <si>
    <t>天祥二街打通至新埔五街(未開闢路段)</t>
  </si>
  <si>
    <t>天祥二街</t>
    <phoneticPr fontId="12" type="noConversion"/>
  </si>
  <si>
    <t>新埔五街</t>
    <phoneticPr fontId="12" type="noConversion"/>
  </si>
  <si>
    <t>執行經費較高或優先度較低，俟必要性及可行性提高後，滾動檢討再議。
(袁慧心)</t>
    <phoneticPr fontId="2" type="noConversion"/>
  </si>
  <si>
    <t>袁慧心</t>
  </si>
  <si>
    <t xml:space="preserve">福元街(福元街至民光東路口) </t>
  </si>
  <si>
    <t>福元街</t>
    <phoneticPr fontId="12" type="noConversion"/>
  </si>
  <si>
    <t>民光東路</t>
    <phoneticPr fontId="12" type="noConversion"/>
  </si>
  <si>
    <t>納入執行。
(陳賴素美)</t>
    <phoneticPr fontId="12" type="noConversion"/>
  </si>
  <si>
    <t>(109.11.25)</t>
    <phoneticPr fontId="12" type="noConversion"/>
  </si>
  <si>
    <t>民富三街(近大業路一段交叉口處)</t>
  </si>
  <si>
    <t>大業路一段</t>
    <phoneticPr fontId="12" type="noConversion"/>
  </si>
  <si>
    <t>執行經費較高或優先度較低，俟必要性及可行性提高後，滾動檢討再議。
(陳美梅)</t>
    <phoneticPr fontId="12" type="noConversion"/>
  </si>
  <si>
    <t>榮安五街</t>
  </si>
  <si>
    <t>榮安五街66巷</t>
    <phoneticPr fontId="12" type="noConversion"/>
  </si>
  <si>
    <t>納入執行。
用地部分持續與地主進行協議價購(以1.2倍公告現值為限)(張運炳)</t>
    <phoneticPr fontId="12" type="noConversion"/>
  </si>
  <si>
    <t>(109.2.19)</t>
    <phoneticPr fontId="12" type="noConversion"/>
  </si>
  <si>
    <t>張運炳</t>
  </si>
  <si>
    <t>光明路二段2巷與龍東路交叉口(巷口狹隘)</t>
  </si>
  <si>
    <t>光明路二段2巷</t>
    <phoneticPr fontId="12" type="noConversion"/>
  </si>
  <si>
    <t>龍東路</t>
    <phoneticPr fontId="12" type="noConversion"/>
  </si>
  <si>
    <t>納入執行。
(趙正宇)</t>
    <phoneticPr fontId="2" type="noConversion"/>
  </si>
  <si>
    <t>(109.6.30)</t>
    <phoneticPr fontId="12" type="noConversion"/>
  </si>
  <si>
    <t>趙正宇</t>
  </si>
  <si>
    <t>興平路延伸打通福州二街</t>
  </si>
  <si>
    <t>中福路</t>
    <phoneticPr fontId="12" type="noConversion"/>
  </si>
  <si>
    <t>福州二街</t>
    <phoneticPr fontId="12" type="noConversion"/>
  </si>
  <si>
    <t>執行經費較高或優先度較低，俟必要性及可行性提高後，滾動檢討再議。
(中壢區公所)</t>
    <phoneticPr fontId="12" type="noConversion"/>
  </si>
  <si>
    <t>中壢區公所</t>
  </si>
  <si>
    <t>吉安街</t>
  </si>
  <si>
    <t>東林二街</t>
    <phoneticPr fontId="12" type="noConversion"/>
  </si>
  <si>
    <t>衡陽街</t>
    <phoneticPr fontId="12" type="noConversion"/>
  </si>
  <si>
    <t>執行經費較高或優先度較低，俟必要性及可行性提高後，滾動檢討再議。
(黃傅淑香)</t>
    <phoneticPr fontId="2" type="noConversion"/>
  </si>
  <si>
    <t>黃傅淑香</t>
  </si>
  <si>
    <t>龍文街與龍東路445巷口</t>
  </si>
  <si>
    <t>龍文街59號</t>
    <phoneticPr fontId="12" type="noConversion"/>
  </si>
  <si>
    <t>龍東路445巷</t>
    <phoneticPr fontId="12" type="noConversion"/>
  </si>
  <si>
    <t>以打通道路瓶頸為優先。
(中壢區公所)</t>
    <phoneticPr fontId="12" type="noConversion"/>
  </si>
  <si>
    <t>(110.2.5)</t>
    <phoneticPr fontId="12" type="noConversion"/>
  </si>
  <si>
    <t>龍昌路</t>
  </si>
  <si>
    <t>龍東路29巷114弄</t>
    <phoneticPr fontId="12" type="noConversion"/>
  </si>
  <si>
    <t>龍東十三街</t>
    <phoneticPr fontId="12" type="noConversion"/>
  </si>
  <si>
    <t>納入執行。
(趙正宇)</t>
    <phoneticPr fontId="12" type="noConversion"/>
  </si>
  <si>
    <t>中寮段250-10、250-11地號人行步道瓶頸打通</t>
  </si>
  <si>
    <t>中寮段250-10、250-11地號</t>
    <phoneticPr fontId="12" type="noConversion"/>
  </si>
  <si>
    <t>62、63</t>
  </si>
  <si>
    <t>保留執行
(108.11.28)</t>
    <phoneticPr fontId="2" type="noConversion"/>
  </si>
  <si>
    <t>現況已為既有道路。
(彭俊豪)</t>
    <phoneticPr fontId="12" type="noConversion"/>
  </si>
  <si>
    <t>彭俊豪</t>
  </si>
  <si>
    <t>平鎮區明德北路打通延伸至中壢區明德南路道路拓寬工程</t>
  </si>
  <si>
    <t>明德北路</t>
    <phoneticPr fontId="12" type="noConversion"/>
  </si>
  <si>
    <t>明德南路</t>
    <phoneticPr fontId="12" type="noConversion"/>
  </si>
  <si>
    <t>核定執行
(108.11.28)</t>
    <phoneticPr fontId="2" type="noConversion"/>
  </si>
  <si>
    <t>通過執行。
(劉曾玉春)</t>
    <phoneticPr fontId="12" type="noConversion"/>
  </si>
  <si>
    <t>(111.3.8)</t>
    <phoneticPr fontId="12" type="noConversion"/>
  </si>
  <si>
    <t>劉曾玉春</t>
  </si>
  <si>
    <t>龍東路445巷</t>
  </si>
  <si>
    <t>東寮段321-3地號土地</t>
    <phoneticPr fontId="12" type="noConversion"/>
  </si>
  <si>
    <t>15
(拓寬至8)</t>
  </si>
  <si>
    <t>保留執行
(108.12.6)</t>
    <phoneticPr fontId="12" type="noConversion"/>
  </si>
  <si>
    <t>倘學校同意土地以公告現值1.2倍協議價購才辦理拓寬。</t>
    <phoneticPr fontId="12" type="noConversion"/>
  </si>
  <si>
    <t>太平東路、西路與洪圳路口瓶頸打通(桃花莊案)</t>
  </si>
  <si>
    <t>太平東路、西路與洪圳路路口</t>
    <phoneticPr fontId="12" type="noConversion"/>
  </si>
  <si>
    <t>請工務局先協調公有土地管理機關向地上物所有權人提出拆屋還地後，再續辦理。
已於106年審議。(劉仁照)</t>
    <phoneticPr fontId="12" type="noConversion"/>
  </si>
  <si>
    <t>劉仁照</t>
  </si>
  <si>
    <t>中豐路341巷道路瓶頸打通</t>
  </si>
  <si>
    <t>中豐路341巷</t>
    <phoneticPr fontId="12" type="noConversion"/>
  </si>
  <si>
    <t>中豐路</t>
    <phoneticPr fontId="12" type="noConversion"/>
  </si>
  <si>
    <t>執行經費較高或優先度較低，俟必要性及可行性提高後，滾動檢討再議。
磚造平房1棟及鐵皮雨遮。(莊玉輝)</t>
    <phoneticPr fontId="12" type="noConversion"/>
  </si>
  <si>
    <t>工務局專案
(110.6.28)</t>
    <phoneticPr fontId="12" type="noConversion"/>
  </si>
  <si>
    <t>莊玉輝</t>
  </si>
  <si>
    <t>南豐路115巷瓶頸打通</t>
  </si>
  <si>
    <t>南豐路115巷</t>
    <phoneticPr fontId="12" type="noConversion"/>
  </si>
  <si>
    <t>南豐路</t>
    <phoneticPr fontId="12" type="noConversion"/>
  </si>
  <si>
    <t>暫緩辦理
(108.11.28)</t>
    <phoneticPr fontId="2" type="noConversion"/>
  </si>
  <si>
    <t>執行經費較高或優先度較低，俟必要性及可行性提高後，滾動檢討再議。
(民眾陳情)</t>
    <phoneticPr fontId="2" type="noConversion"/>
  </si>
  <si>
    <t>民眾陳情</t>
  </si>
  <si>
    <t>建國路92巷打通至建興街130巷2弄</t>
  </si>
  <si>
    <t>建國路92巷</t>
    <phoneticPr fontId="12" type="noConversion"/>
  </si>
  <si>
    <t>建興街130巷2弄</t>
    <phoneticPr fontId="12" type="noConversion"/>
  </si>
  <si>
    <t>納入執行。
(呂林小鳳)</t>
    <phoneticPr fontId="12" type="noConversion"/>
  </si>
  <si>
    <t>(109.8.3)</t>
    <phoneticPr fontId="12" type="noConversion"/>
  </si>
  <si>
    <t>呂林小鳳</t>
  </si>
  <si>
    <t>福德一路177巷60弄至177巷66號前瓶頸打通</t>
  </si>
  <si>
    <t>177巷60弄</t>
    <phoneticPr fontId="12" type="noConversion"/>
  </si>
  <si>
    <t>177巷66號前</t>
    <phoneticPr fontId="12" type="noConversion"/>
  </si>
  <si>
    <t>圍籬</t>
  </si>
  <si>
    <t>(新北巿政府捷運局)</t>
    <phoneticPr fontId="12" type="noConversion"/>
  </si>
  <si>
    <t>新北巿政府捷運局</t>
  </si>
  <si>
    <t>福德一路177巷70號至177巷106號前瓶頸打通</t>
  </si>
  <si>
    <t>177巷70號後</t>
    <phoneticPr fontId="12" type="noConversion"/>
  </si>
  <si>
    <t>177巷106號前</t>
    <phoneticPr fontId="12" type="noConversion"/>
  </si>
  <si>
    <t>納入執行，由新北市政府優先支應經費。
(新北巿政府捷運局)</t>
    <phoneticPr fontId="12" type="noConversion"/>
  </si>
  <si>
    <t>和平路180巷底橋面引接至台31線(高鐵南路七段)</t>
  </si>
  <si>
    <t>和平路180巷</t>
    <phoneticPr fontId="12" type="noConversion"/>
  </si>
  <si>
    <t>高鐵南路七段</t>
    <phoneticPr fontId="12" type="noConversion"/>
  </si>
  <si>
    <t>6.240,000</t>
  </si>
  <si>
    <t>評估沿東勢溪開闢道路(針對公有土地開闢)。
(周玉琴)</t>
    <phoneticPr fontId="12" type="noConversion"/>
  </si>
  <si>
    <t>(109.12.17)</t>
    <phoneticPr fontId="12" type="noConversion"/>
  </si>
  <si>
    <t>豐野里豐興街122巷前端瓶頸打通(原方案)</t>
    <phoneticPr fontId="12" type="noConversion"/>
  </si>
  <si>
    <t>1.信義街至豐興街</t>
    <phoneticPr fontId="12" type="noConversion"/>
  </si>
  <si>
    <t>2.豐興街122巷至富豐北路</t>
    <phoneticPr fontId="12" type="noConversion"/>
  </si>
  <si>
    <t>(楊梅區公所)</t>
    <phoneticPr fontId="12" type="noConversion"/>
  </si>
  <si>
    <t>楊梅區公所</t>
  </si>
  <si>
    <t>豐野里豐興街122巷前端瓶頸打通(建議方案)</t>
  </si>
  <si>
    <t>興豐街122巷</t>
    <phoneticPr fontId="12" type="noConversion"/>
  </si>
  <si>
    <t>富豐北路</t>
    <phoneticPr fontId="12" type="noConversion"/>
  </si>
  <si>
    <t>3.5~8</t>
  </si>
  <si>
    <t>優先打通富豐北街至豐興街。
(楊梅區公所)</t>
    <phoneticPr fontId="2" type="noConversion"/>
  </si>
  <si>
    <t>楊梅段7-61及7-62地號</t>
  </si>
  <si>
    <t>楊梅段7-61</t>
    <phoneticPr fontId="12" type="noConversion"/>
  </si>
  <si>
    <t>7-62地號土地</t>
    <phoneticPr fontId="12" type="noConversion"/>
  </si>
  <si>
    <t>先協調台鐵以代管方式無償取得土地使用權，倘台鐵不同意再辦理有償撥用。
(楊梅區公所)</t>
    <phoneticPr fontId="2" type="noConversion"/>
  </si>
  <si>
    <t>高山里高新街210巷三七北圳無名便橋瓶頸打通</t>
  </si>
  <si>
    <t>高新街210巷</t>
    <phoneticPr fontId="12" type="noConversion"/>
  </si>
  <si>
    <t>通過執行。
(楊梅區公所)</t>
    <phoneticPr fontId="12" type="noConversion"/>
  </si>
  <si>
    <t>(111.7.1)</t>
    <phoneticPr fontId="12" type="noConversion"/>
  </si>
  <si>
    <t>楊梅區日新街銜接仁美路橋梁拓寬</t>
  </si>
  <si>
    <t>日新街</t>
    <phoneticPr fontId="12" type="noConversion"/>
  </si>
  <si>
    <t>仁美路</t>
    <phoneticPr fontId="12" type="noConversion"/>
  </si>
  <si>
    <t>協調石門農田水利會無償使用土地，以改善橋梁。
(涂權吉)</t>
    <phoneticPr fontId="12" type="noConversion"/>
  </si>
  <si>
    <t>(109.7.29)</t>
    <phoneticPr fontId="12" type="noConversion"/>
  </si>
  <si>
    <t>涂權吉</t>
  </si>
  <si>
    <t>楊湖路一段676巷拓寬</t>
    <phoneticPr fontId="12" type="noConversion"/>
  </si>
  <si>
    <t>1.楊湖路一段654巷81弄路口</t>
    <phoneticPr fontId="12" type="noConversion"/>
  </si>
  <si>
    <t>2.楊湖路一段654巷81弄至楊湖路一段676巷</t>
    <phoneticPr fontId="12" type="noConversion"/>
  </si>
  <si>
    <t>3.5~4.5</t>
  </si>
  <si>
    <t>核定執行
(108.12.6)</t>
    <phoneticPr fontId="12" type="noConversion"/>
  </si>
  <si>
    <t>協調石門農田水利會無償使用土地，以改善路口。</t>
    <phoneticPr fontId="12" type="noConversion"/>
  </si>
  <si>
    <t>(110.8.27)</t>
    <phoneticPr fontId="2" type="noConversion"/>
  </si>
  <si>
    <t>龍安街二段與龍林街(過涵洞)</t>
  </si>
  <si>
    <t>龍安街二段</t>
    <phoneticPr fontId="12" type="noConversion"/>
  </si>
  <si>
    <t>國道一號涵洞</t>
    <phoneticPr fontId="12" type="noConversion"/>
  </si>
  <si>
    <t>通過執行。
(許清順)</t>
    <phoneticPr fontId="12" type="noConversion"/>
  </si>
  <si>
    <t>(110.12.9)</t>
    <phoneticPr fontId="12" type="noConversion"/>
  </si>
  <si>
    <t>許清順</t>
  </si>
  <si>
    <t>拔子林一路91巷43號前道路改善工程</t>
  </si>
  <si>
    <t>拔子林一路91巷43號</t>
    <phoneticPr fontId="12" type="noConversion"/>
  </si>
  <si>
    <t>1.本案道路倘有指示建築線，則依法辦理地上物排除。
2.倘本案道路未指示建築線，再協調地主以1.2被公告現值協議價購。(游吾和)</t>
    <phoneticPr fontId="12" type="noConversion"/>
  </si>
  <si>
    <t>(109.11.12)</t>
    <phoneticPr fontId="12" type="noConversion"/>
  </si>
  <si>
    <t>游吾和</t>
  </si>
  <si>
    <t>平南路口拓寬工程</t>
  </si>
  <si>
    <t>平南路</t>
    <phoneticPr fontId="12" type="noConversion"/>
  </si>
  <si>
    <t>和平西路一段</t>
    <phoneticPr fontId="12" type="noConversion"/>
  </si>
  <si>
    <t>納入執行。
(徐其萬)</t>
    <phoneticPr fontId="2" type="noConversion"/>
  </si>
  <si>
    <t>和平西路一段與平成路道路拓寬</t>
  </si>
  <si>
    <t>平成路</t>
    <phoneticPr fontId="12" type="noConversion"/>
  </si>
  <si>
    <t>本案倘土地所有權人同意以1.2被公告現值協議價購，再續辦理。
(徐其萬)</t>
    <phoneticPr fontId="12" type="noConversion"/>
  </si>
  <si>
    <t>徐其萬</t>
    <phoneticPr fontId="2" type="noConversion"/>
  </si>
  <si>
    <t>民富街</t>
  </si>
  <si>
    <t>民富街</t>
    <phoneticPr fontId="12" type="noConversion"/>
  </si>
  <si>
    <t>民生街</t>
    <phoneticPr fontId="12" type="noConversion"/>
  </si>
  <si>
    <t>執行經費較高或優先度較低，俟必要性及可行性提高後，滾動檢討再議。
(龜山區公所)</t>
    <phoneticPr fontId="12" type="noConversion"/>
  </si>
  <si>
    <t>龜山區公所</t>
    <phoneticPr fontId="2" type="noConversion"/>
  </si>
  <si>
    <t>光峰路131巷與長峰路口</t>
  </si>
  <si>
    <t>光峰路131巷</t>
    <phoneticPr fontId="12" type="noConversion"/>
  </si>
  <si>
    <t>長峰路</t>
    <phoneticPr fontId="12" type="noConversion"/>
  </si>
  <si>
    <t>納入執行。
(林正峰)</t>
    <phoneticPr fontId="12" type="noConversion"/>
  </si>
  <si>
    <t>林正峰</t>
    <phoneticPr fontId="2" type="noConversion"/>
  </si>
  <si>
    <t>宏慶街31巷</t>
  </si>
  <si>
    <t>宏慶街31巷</t>
    <phoneticPr fontId="12" type="noConversion"/>
  </si>
  <si>
    <t>宏慶街34巷</t>
    <phoneticPr fontId="12" type="noConversion"/>
  </si>
  <si>
    <t>2.5-2.8</t>
  </si>
  <si>
    <t>通過執行。
(龜山區公所)</t>
    <phoneticPr fontId="12" type="noConversion"/>
  </si>
  <si>
    <t>(109.11.6)</t>
    <phoneticPr fontId="12" type="noConversion"/>
  </si>
  <si>
    <t>龜山區公所</t>
  </si>
  <si>
    <t>大同路130巷及90巷口</t>
  </si>
  <si>
    <t>大同路130巷及90巷交會處</t>
    <phoneticPr fontId="12" type="noConversion"/>
  </si>
  <si>
    <t>請工務局協調土地所有權人了解案情由來。
(龍潭區公所)</t>
    <phoneticPr fontId="12" type="noConversion"/>
  </si>
  <si>
    <t>龍潭區公所</t>
  </si>
  <si>
    <t>聖亭路300巷口</t>
  </si>
  <si>
    <t>聖亭路300巷巷口</t>
    <phoneticPr fontId="12" type="noConversion"/>
  </si>
  <si>
    <t>執行經費較高或優先度較低，俟必要性及可行性提高後，滾動檢討再議。
(徐玉樹)</t>
    <phoneticPr fontId="12" type="noConversion"/>
  </si>
  <si>
    <t>工務局專案
(110.6.30)</t>
    <phoneticPr fontId="12" type="noConversion"/>
  </si>
  <si>
    <t>徐玉樹</t>
  </si>
  <si>
    <t>民豐一街與中興路54巷</t>
  </si>
  <si>
    <t>民豐一街</t>
    <phoneticPr fontId="12" type="noConversion"/>
  </si>
  <si>
    <t>民主街、中興路54巷</t>
    <phoneticPr fontId="12" type="noConversion"/>
  </si>
  <si>
    <t>21、16</t>
  </si>
  <si>
    <t>8.3、5.2</t>
  </si>
  <si>
    <t>10.5、7.5</t>
  </si>
  <si>
    <t>通過執行。
(龍潭區公所)</t>
    <phoneticPr fontId="12" type="noConversion"/>
  </si>
  <si>
    <t>(110.2.9)</t>
    <phoneticPr fontId="12" type="noConversion"/>
  </si>
  <si>
    <t>富華街口</t>
  </si>
  <si>
    <t>富華街</t>
    <phoneticPr fontId="12" type="noConversion"/>
  </si>
  <si>
    <t>龍華路交叉口</t>
    <phoneticPr fontId="12" type="noConversion"/>
  </si>
  <si>
    <t>協調石門農田水利會無償使用土地，以改善路口。
(林昭賢)</t>
    <phoneticPr fontId="12" type="noConversion"/>
  </si>
  <si>
    <t>林昭賢</t>
    <phoneticPr fontId="2" type="noConversion"/>
  </si>
  <si>
    <t>中豐路上林段705巷口改善</t>
    <phoneticPr fontId="12" type="noConversion"/>
  </si>
  <si>
    <t>中豐路上林段705巷</t>
    <phoneticPr fontId="12" type="noConversion"/>
  </si>
  <si>
    <t>先針對工程可行性進行評估後再議。</t>
    <phoneticPr fontId="12" type="noConversion"/>
  </si>
  <si>
    <t>新文路道路新闢工程</t>
  </si>
  <si>
    <t>新文路</t>
    <phoneticPr fontId="12" type="noConversion"/>
  </si>
  <si>
    <t>暫緩辦理
(108.12.6)</t>
    <phoneticPr fontId="12" type="noConversion"/>
  </si>
  <si>
    <t>俟必要性及可行性提高後，滾動檢討再議。
(民眾陳情)</t>
    <phoneticPr fontId="12" type="noConversion"/>
  </si>
  <si>
    <t>民眾陳情</t>
    <phoneticPr fontId="2" type="noConversion"/>
  </si>
  <si>
    <t>民有五街(寶山街至民光東路)</t>
  </si>
  <si>
    <t>寶山街</t>
    <phoneticPr fontId="12" type="noConversion"/>
  </si>
  <si>
    <t xml:space="preserve">民光東路 </t>
    <phoneticPr fontId="12" type="noConversion"/>
  </si>
  <si>
    <t>暫緩辦理
(108.7.3)</t>
    <phoneticPr fontId="2" type="noConversion"/>
  </si>
  <si>
    <t>俟必要性及可行性提高後，滾動檢討再議。
開闢優限度較低。(陳美梅)</t>
    <phoneticPr fontId="2" type="noConversion"/>
  </si>
  <si>
    <t>民有五街(民光東路口至民富二街底)</t>
  </si>
  <si>
    <t>保留執行
(108.7.3)</t>
    <phoneticPr fontId="2" type="noConversion"/>
  </si>
  <si>
    <t>俟必要性及可行性提高後，滾動檢討再議。
拓寬經費過高。(陳美梅)</t>
    <phoneticPr fontId="12" type="noConversion"/>
  </si>
  <si>
    <t>育群街(接中山路)道路開闢工程</t>
    <phoneticPr fontId="2" type="noConversion"/>
  </si>
  <si>
    <t>育群街</t>
    <phoneticPr fontId="12" type="noConversion"/>
  </si>
  <si>
    <t>俟必要性及可行性提高後，滾動檢討再議。
拓寬經費過高。(黃婉如)</t>
    <phoneticPr fontId="12" type="noConversion"/>
  </si>
  <si>
    <t>黃婉如</t>
    <phoneticPr fontId="2" type="noConversion"/>
  </si>
  <si>
    <t xml:space="preserve">國強七街打通至中山路1308巷  </t>
    <phoneticPr fontId="12" type="noConversion"/>
  </si>
  <si>
    <t>國豐七街</t>
    <phoneticPr fontId="12" type="noConversion"/>
  </si>
  <si>
    <t>中山路1308巷</t>
    <phoneticPr fontId="12" type="noConversion"/>
  </si>
  <si>
    <t>俟必要性及可行性提高後，滾動檢討再議。
拓寬經費過高。(蘇家明、黃景熙)</t>
    <phoneticPr fontId="12" type="noConversion"/>
  </si>
  <si>
    <t>蘇家明、黃景熙</t>
    <phoneticPr fontId="2" type="noConversion"/>
  </si>
  <si>
    <t>富上街至富國路920巷(國道二號側與跨越茄苳溪)</t>
  </si>
  <si>
    <t>富國路861巷</t>
    <phoneticPr fontId="12" type="noConversion"/>
  </si>
  <si>
    <t>富國路920巷</t>
    <phoneticPr fontId="12" type="noConversion"/>
  </si>
  <si>
    <t>請都市發展局查詢高速公路邊道路是否納入公共設施檢討，變更都市計畫為綠帶或綠兼道，倘有納入都市計畫變更，本案俟都市計畫變更完成後再議。(褚春來)</t>
    <phoneticPr fontId="12" type="noConversion"/>
  </si>
  <si>
    <t>褚春來</t>
    <phoneticPr fontId="2" type="noConversion"/>
  </si>
  <si>
    <t>建新街(昆明路至建華二街)</t>
  </si>
  <si>
    <t>昆明路</t>
    <phoneticPr fontId="12" type="noConversion"/>
  </si>
  <si>
    <t>建華二街</t>
    <phoneticPr fontId="12" type="noConversion"/>
  </si>
  <si>
    <t>1.用地經費請再行確認。
2.本案由7公尺拓寬至8公尺效益不足，需再行評估。(李光達)</t>
    <phoneticPr fontId="12" type="noConversion"/>
  </si>
  <si>
    <t>(109.11.19)
工務局專案</t>
    <phoneticPr fontId="2" type="noConversion"/>
  </si>
  <si>
    <t>李光達</t>
  </si>
  <si>
    <t>天祥一街(經國路至同安街)</t>
  </si>
  <si>
    <t>經國路</t>
    <phoneticPr fontId="12" type="noConversion"/>
  </si>
  <si>
    <t>同安街</t>
    <phoneticPr fontId="12" type="noConversion"/>
  </si>
  <si>
    <t>俟必要性及可行性提高後，滾動檢討再議。
拓寬經費過高。(黃婉如、詹江村)</t>
    <phoneticPr fontId="12" type="noConversion"/>
  </si>
  <si>
    <t>黃婉如、詹江村</t>
    <phoneticPr fontId="2" type="noConversion"/>
  </si>
  <si>
    <t>國際路一段(246號前至101巷)</t>
  </si>
  <si>
    <t>國際路一段246號</t>
    <phoneticPr fontId="12" type="noConversion"/>
  </si>
  <si>
    <t>101巷</t>
    <phoneticPr fontId="12" type="noConversion"/>
  </si>
  <si>
    <t>7~12</t>
  </si>
  <si>
    <t>俟必要性及可行性提高後，滾動檢討再議。
拓寬經費過高。(民眾陳情)</t>
    <phoneticPr fontId="12" type="noConversion"/>
  </si>
  <si>
    <t>經國路208巷22弄至大興西路一段</t>
  </si>
  <si>
    <t>經國路208巷22弄</t>
    <phoneticPr fontId="12" type="noConversion"/>
  </si>
  <si>
    <t>大興西路</t>
    <phoneticPr fontId="12" type="noConversion"/>
  </si>
  <si>
    <t>車棚</t>
  </si>
  <si>
    <t>俟必要性及可行性提高後，滾動檢討再議。
拓寬經費過高。(黃景熙、陳美梅)</t>
    <phoneticPr fontId="12" type="noConversion"/>
  </si>
  <si>
    <t>黃景熙、陳美梅</t>
    <phoneticPr fontId="2" type="noConversion"/>
  </si>
  <si>
    <t>永安路往莊敬路二段道路延伸及瓶頸打通(方案1)</t>
  </si>
  <si>
    <t>大竹路1巷</t>
    <phoneticPr fontId="12" type="noConversion"/>
  </si>
  <si>
    <t>莊敬路</t>
    <phoneticPr fontId="12" type="noConversion"/>
  </si>
  <si>
    <t>專案報告
(108.7.3)</t>
  </si>
  <si>
    <t>請交通局另外召開專案報告會議討論。
(交通局、李曉鐘)</t>
    <phoneticPr fontId="2" type="noConversion"/>
  </si>
  <si>
    <t>交通局、李曉鐘</t>
  </si>
  <si>
    <t>永安路往莊敬路二段道路延伸及瓶頸打通(方案2)</t>
  </si>
  <si>
    <t>永安路</t>
    <phoneticPr fontId="12" type="noConversion"/>
  </si>
  <si>
    <t>永安路往莊敬路二段道路延伸及瓶頸打通(方案3)</t>
  </si>
  <si>
    <t>北區客家會館基地聯外道路</t>
  </si>
  <si>
    <t>新霄裡段4地號</t>
    <phoneticPr fontId="12" type="noConversion"/>
  </si>
  <si>
    <t>崁頂路</t>
    <phoneticPr fontId="12" type="noConversion"/>
  </si>
  <si>
    <t>核定執行
(108.7.3)</t>
    <phoneticPr fontId="2" type="noConversion"/>
  </si>
  <si>
    <t>請客家事務局辦理北區客家會館公園設計時納入開闢。
(客家事務局)</t>
    <phoneticPr fontId="12" type="noConversion"/>
  </si>
  <si>
    <t>(110.5.7)</t>
    <phoneticPr fontId="12" type="noConversion"/>
  </si>
  <si>
    <t>客家事務局</t>
  </si>
  <si>
    <t>新埔三街(同德二街至同德一街)</t>
  </si>
  <si>
    <t>同德一街</t>
    <phoneticPr fontId="12" type="noConversion"/>
  </si>
  <si>
    <t>本案未容積移轉之土地倘可無償取得，才同意開闢。
(李曉鐘副議長)</t>
    <phoneticPr fontId="12" type="noConversion"/>
  </si>
  <si>
    <t>(111.10.9)</t>
    <phoneticPr fontId="12" type="noConversion"/>
  </si>
  <si>
    <t>李曉鐘</t>
    <phoneticPr fontId="2" type="noConversion"/>
  </si>
  <si>
    <t>綠116開闢供道路使用(西半側)</t>
    <phoneticPr fontId="12" type="noConversion"/>
  </si>
  <si>
    <t>綠116西半側</t>
    <phoneticPr fontId="12" type="noConversion"/>
  </si>
  <si>
    <t>通過執行，辦理都市計畫變更為綠地用地(兼供道路使用)。</t>
    <phoneticPr fontId="12" type="noConversion"/>
  </si>
  <si>
    <t>(112.7.12)</t>
    <phoneticPr fontId="2" type="noConversion"/>
  </si>
  <si>
    <t>綠116開闢供道路使用(全部)</t>
    <phoneticPr fontId="12" type="noConversion"/>
  </si>
  <si>
    <t>綠116全部</t>
    <phoneticPr fontId="12" type="noConversion"/>
  </si>
  <si>
    <t>(南埔里里長)</t>
    <phoneticPr fontId="12" type="noConversion"/>
  </si>
  <si>
    <t>南埔里里長</t>
    <phoneticPr fontId="2" type="noConversion"/>
  </si>
  <si>
    <t>龍安五街(龍興路至龍慈路)</t>
  </si>
  <si>
    <t>龍安一街</t>
    <phoneticPr fontId="12" type="noConversion"/>
  </si>
  <si>
    <t>(王浩宇)</t>
    <phoneticPr fontId="12" type="noConversion"/>
  </si>
  <si>
    <t>興隆六街</t>
  </si>
  <si>
    <t>國隆三街</t>
    <phoneticPr fontId="12" type="noConversion"/>
  </si>
  <si>
    <t>永豐街</t>
    <phoneticPr fontId="12" type="noConversion"/>
  </si>
  <si>
    <t>俟必要性及可行性提高後，滾動檢討再議。
拓寬經費過高。(里長、學校)</t>
    <phoneticPr fontId="12" type="noConversion"/>
  </si>
  <si>
    <t>里長、學校</t>
  </si>
  <si>
    <t>游泳路(龍慈路延伸段至龍岡路三段)</t>
    <phoneticPr fontId="12" type="noConversion"/>
  </si>
  <si>
    <t>龍慈路延伸段</t>
    <phoneticPr fontId="12" type="noConversion"/>
  </si>
  <si>
    <t>龍岡路三段</t>
    <phoneticPr fontId="12" type="noConversion"/>
  </si>
  <si>
    <t>保留核定
(108.7.3)</t>
    <phoneticPr fontId="12" type="noConversion"/>
  </si>
  <si>
    <t>俟龍慈路延伸段開闢完成後再議。</t>
    <phoneticPr fontId="12" type="noConversion"/>
  </si>
  <si>
    <t>游泳路(龍岡大操場周邊至龍岡路三段)(第2方案)</t>
    <phoneticPr fontId="12" type="noConversion"/>
  </si>
  <si>
    <t>龍岡大操場周邊</t>
    <phoneticPr fontId="12" type="noConversion"/>
  </si>
  <si>
    <t>7~9</t>
  </si>
  <si>
    <t>15
(維持原路寬)</t>
  </si>
  <si>
    <t>通過執行。
(都市發展局)</t>
    <phoneticPr fontId="12" type="noConversion"/>
  </si>
  <si>
    <t>(109.6.15)</t>
    <phoneticPr fontId="12" type="noConversion"/>
  </si>
  <si>
    <t>都市發展局</t>
  </si>
  <si>
    <t>龍興路(桃77)</t>
  </si>
  <si>
    <t>後興路二段</t>
    <phoneticPr fontId="12" type="noConversion"/>
  </si>
  <si>
    <t>至龍慈路</t>
  </si>
  <si>
    <t>有關淹水問題未來可配合體育園區30公尺寬，都市計畫道路開闢時辦理改善，目前先以施作道路側溝的方式進行。(吳嘉和、彭俊豪)</t>
    <phoneticPr fontId="12" type="noConversion"/>
  </si>
  <si>
    <t>吳嘉和、彭俊豪</t>
    <phoneticPr fontId="2" type="noConversion"/>
  </si>
  <si>
    <t>華美三路(原方案)</t>
  </si>
  <si>
    <t>340巷</t>
    <phoneticPr fontId="12" type="noConversion"/>
  </si>
  <si>
    <t>(邱奕勝)</t>
    <phoneticPr fontId="12" type="noConversion"/>
  </si>
  <si>
    <t>邱奕勝</t>
    <phoneticPr fontId="2" type="noConversion"/>
  </si>
  <si>
    <t>華美三路(建議方案)</t>
  </si>
  <si>
    <t>採8公尺路寬方案辦理。</t>
    <phoneticPr fontId="12" type="noConversion"/>
  </si>
  <si>
    <t>(111.7.23)</t>
    <phoneticPr fontId="12" type="noConversion"/>
  </si>
  <si>
    <t>同慶路(仁德街至仁福四街)(原方案)</t>
  </si>
  <si>
    <t>仁德街</t>
    <phoneticPr fontId="12" type="noConversion"/>
  </si>
  <si>
    <t>仁福四街</t>
    <phoneticPr fontId="12" type="noConversion"/>
  </si>
  <si>
    <t>俟必要性及可行性提高後，滾動檢討再議。
拓寬經費過高。(陳學聖、吳志揚、魯明哲、彭俊豪)</t>
    <phoneticPr fontId="12" type="noConversion"/>
  </si>
  <si>
    <t>陳學聖、吳志揚、魯明哲、彭俊豪</t>
    <phoneticPr fontId="2" type="noConversion"/>
  </si>
  <si>
    <t>同慶路(仁德街至仁福四街)(建議方案)</t>
  </si>
  <si>
    <t>俟必要性及可行性提高後，滾動檢討再議。</t>
  </si>
  <si>
    <t>龍門街201巷開闢</t>
  </si>
  <si>
    <t>龍門街</t>
    <phoneticPr fontId="12" type="noConversion"/>
  </si>
  <si>
    <t>龍門街173巷</t>
    <phoneticPr fontId="12" type="noConversion"/>
  </si>
  <si>
    <t>俟必要性及可行性提高後，滾動檢討再議。
開闢效益不足。(民眾陳情)</t>
    <phoneticPr fontId="12" type="noConversion"/>
  </si>
  <si>
    <t>復華六街(原方案)</t>
  </si>
  <si>
    <t>(彭俊豪、張運炳)</t>
    <phoneticPr fontId="2" type="noConversion"/>
  </si>
  <si>
    <t>彭俊豪、張運炳</t>
    <phoneticPr fontId="2" type="noConversion"/>
  </si>
  <si>
    <t>復華六街(建議方案)</t>
  </si>
  <si>
    <t>復華五街</t>
    <phoneticPr fontId="12" type="noConversion"/>
  </si>
  <si>
    <t>採開闢復華街至復華五街方案辦理。
(彭俊豪、張運炳)</t>
    <phoneticPr fontId="2" type="noConversion"/>
  </si>
  <si>
    <t>彭俊豪、張運炳</t>
  </si>
  <si>
    <t>中庸路一段接南豐路新闢與道路拓寬</t>
  </si>
  <si>
    <t>中庸路一段</t>
    <phoneticPr fontId="12" type="noConversion"/>
  </si>
  <si>
    <t>請交通局另外召開專案報告會議討論。
(交通局)</t>
    <phoneticPr fontId="2" type="noConversion"/>
  </si>
  <si>
    <t>交通局</t>
  </si>
  <si>
    <t>湧光路打通暨拓寬(聖亭路-金陵路)</t>
  </si>
  <si>
    <t>聖亭路</t>
    <phoneticPr fontId="12" type="noConversion"/>
  </si>
  <si>
    <t>福龍路一段</t>
    <phoneticPr fontId="12" type="noConversion"/>
  </si>
  <si>
    <t>5~7</t>
  </si>
  <si>
    <t>興安路202號至南平路道路開闢</t>
  </si>
  <si>
    <t>興安路202號前</t>
    <phoneticPr fontId="12" type="noConversion"/>
  </si>
  <si>
    <t>南平路</t>
    <phoneticPr fontId="12" type="noConversion"/>
  </si>
  <si>
    <t>圍牆、車棚
解圍籬</t>
  </si>
  <si>
    <t>俟南平路交通量完成分流後再議。
(平鎮區公所)</t>
    <phoneticPr fontId="12" type="noConversion"/>
  </si>
  <si>
    <t>平鎮區公所</t>
    <phoneticPr fontId="2" type="noConversion"/>
  </si>
  <si>
    <t>大坑缺溪土地公前道路拓寬</t>
  </si>
  <si>
    <t>南平路二段516巷</t>
    <phoneticPr fontId="12" type="noConversion"/>
  </si>
  <si>
    <t>396巷</t>
    <phoneticPr fontId="12" type="noConversion"/>
  </si>
  <si>
    <t>1~3</t>
  </si>
  <si>
    <t>俟必要性及可行性提高後，滾動檢討再議。
拓寬效益不足。(劉仁照)</t>
    <phoneticPr fontId="12" type="noConversion"/>
  </si>
  <si>
    <t>東光路201巷道路開闢</t>
  </si>
  <si>
    <t>俟必要性及可行性提高後，滾動檢討再議。
拓寬經費過高。(黃敬平)</t>
    <phoneticPr fontId="2" type="noConversion"/>
  </si>
  <si>
    <t>黃敬平</t>
  </si>
  <si>
    <t>新華北路打通至龍南路</t>
  </si>
  <si>
    <t>新華北路</t>
    <phoneticPr fontId="12" type="noConversion"/>
  </si>
  <si>
    <t>俟必要性及可行性提高後，滾動檢討再議。
拓寬經費過高。(交通局)</t>
    <phoneticPr fontId="2" type="noConversion"/>
  </si>
  <si>
    <t>永安街(108年N案)</t>
  </si>
  <si>
    <t>永福西街</t>
    <phoneticPr fontId="12" type="noConversion"/>
  </si>
  <si>
    <t>陸光街</t>
    <phoneticPr fontId="12" type="noConversion"/>
  </si>
  <si>
    <t>專案瓶頸
(108.7.3)</t>
  </si>
  <si>
    <t>以打通瓶頸路段為優先。(列為專案瓶頸)。
(大智里辦公處)</t>
    <phoneticPr fontId="12" type="noConversion"/>
  </si>
  <si>
    <t>大智里辦公處</t>
  </si>
  <si>
    <t>介壽路一段86巷至瑞泰街19巷</t>
  </si>
  <si>
    <t>介壽路一段16巷</t>
    <phoneticPr fontId="12" type="noConversion"/>
  </si>
  <si>
    <t>86巷</t>
    <phoneticPr fontId="12" type="noConversion"/>
  </si>
  <si>
    <t>俟必要性及可行性提高後，滾動檢討再議。
拓寬經費過高。(呂林小鳳)</t>
    <phoneticPr fontId="12" type="noConversion"/>
  </si>
  <si>
    <t>永豐路(近茄苳國小)截彎取直</t>
  </si>
  <si>
    <t>茄苳國小前</t>
    <phoneticPr fontId="12" type="noConversion"/>
  </si>
  <si>
    <t>可協調校方同意先行施作，都市計畫變更同步辦理。
(劉茂群、蔡永芳、呂林小鳳)</t>
    <phoneticPr fontId="12" type="noConversion"/>
  </si>
  <si>
    <t>劉茂群、蔡永芳、呂林小鳳</t>
  </si>
  <si>
    <t>忠勇街427巷至忠勇西街</t>
  </si>
  <si>
    <t>忠勇街427巷</t>
    <phoneticPr fontId="12" type="noConversion"/>
  </si>
  <si>
    <t>忠勇西街</t>
    <phoneticPr fontId="12" type="noConversion"/>
  </si>
  <si>
    <t>俟必要性及可行性提高後，滾動檢討再議。
開闢效益不足。(呂林小鳳)</t>
    <phoneticPr fontId="12" type="noConversion"/>
  </si>
  <si>
    <t>山下街打通至新興路</t>
  </si>
  <si>
    <t>今年先完成定線。</t>
    <phoneticPr fontId="12" type="noConversion"/>
  </si>
  <si>
    <t>牲牲路至校前路新闢道路(甡甡路至秀才路)
(一期327公尺、二期1023公尺)</t>
    <phoneticPr fontId="2" type="noConversion"/>
  </si>
  <si>
    <t>甡甡路</t>
    <phoneticPr fontId="12" type="noConversion"/>
  </si>
  <si>
    <t>(113.1.8)</t>
    <phoneticPr fontId="12" type="noConversion"/>
  </si>
  <si>
    <t>牲牲路至校前路新闢道路(秀才路至校前路)</t>
    <phoneticPr fontId="2" type="noConversion"/>
  </si>
  <si>
    <t>校前路</t>
    <phoneticPr fontId="12" type="noConversion"/>
  </si>
  <si>
    <t>一般
專簽</t>
  </si>
  <si>
    <t>牲牲路至校前路新闢道路(中山南路至甡甡路)(三期)</t>
    <phoneticPr fontId="2" type="noConversion"/>
  </si>
  <si>
    <t>中山南路</t>
    <phoneticPr fontId="12" type="noConversion"/>
  </si>
  <si>
    <t>秀才路178巷拓寬暨延伸道路</t>
  </si>
  <si>
    <t>秀才路178巷</t>
    <phoneticPr fontId="12" type="noConversion"/>
  </si>
  <si>
    <t>請交通局另外召開專案報告會議討論。
交通局專簽。(交通局)</t>
    <phoneticPr fontId="2" type="noConversion"/>
  </si>
  <si>
    <t>楊新路一段至大平路新闢道路</t>
  </si>
  <si>
    <t>大平街</t>
    <phoneticPr fontId="12" type="noConversion"/>
  </si>
  <si>
    <t>富聯路道路拓寬(原方案)</t>
  </si>
  <si>
    <t>中正路163號</t>
    <phoneticPr fontId="12" type="noConversion"/>
  </si>
  <si>
    <t>富聯路400號</t>
    <phoneticPr fontId="12" type="noConversion"/>
  </si>
  <si>
    <t>俟必要性及可行性提高後，滾動檢討再議。
(李家興)</t>
    <phoneticPr fontId="12" type="noConversion"/>
  </si>
  <si>
    <t>富聯路道路拓寬(建議方案)</t>
  </si>
  <si>
    <t>富聯路238號(三榮橡膠公司前)</t>
    <phoneticPr fontId="12" type="noConversion"/>
  </si>
  <si>
    <t>俟必要性及可行性提高後，滾動檢討再議。
瓶頸打通部分優先。(李家興)</t>
    <phoneticPr fontId="2" type="noConversion"/>
  </si>
  <si>
    <t>(111.3.16)</t>
    <phoneticPr fontId="12" type="noConversion"/>
  </si>
  <si>
    <t>欣興電子楊梅廠前都市計畫道路開闢</t>
  </si>
  <si>
    <t>梅獅路一段</t>
    <phoneticPr fontId="12" type="noConversion"/>
  </si>
  <si>
    <t>草湳坡段草湳坡小段74-13地號</t>
    <phoneticPr fontId="12" type="noConversion"/>
  </si>
  <si>
    <t>請經濟發展局協調欣興電子支應本案工程費用，工程委由本府工務局代辦。
拓寬經費過高。(台灣電路板協會)</t>
    <phoneticPr fontId="12" type="noConversion"/>
  </si>
  <si>
    <t>台灣電路板協會</t>
  </si>
  <si>
    <t>上竹路道路拓寬</t>
  </si>
  <si>
    <t>上竹二街</t>
    <phoneticPr fontId="12" type="noConversion"/>
  </si>
  <si>
    <t>愛國一路</t>
    <phoneticPr fontId="12" type="noConversion"/>
  </si>
  <si>
    <t>俟必要性及可行性提高後，滾動檢討再議。
拓寬經費過高。(劉勝全)</t>
    <phoneticPr fontId="12" type="noConversion"/>
  </si>
  <si>
    <t>劉勝全</t>
  </si>
  <si>
    <t>五福六路56巷27弄至五福六路</t>
  </si>
  <si>
    <t>五福六路56巷27弄</t>
    <phoneticPr fontId="12" type="noConversion"/>
  </si>
  <si>
    <t>五福六路</t>
    <phoneticPr fontId="12" type="noConversion"/>
  </si>
  <si>
    <t>俟必要性及可行性提高後，滾動檢討再議。
拓寬經費過高。(郭麗華)</t>
    <phoneticPr fontId="2" type="noConversion"/>
  </si>
  <si>
    <t>上興路延伸至龍安二街</t>
  </si>
  <si>
    <t>龍安二街</t>
    <phoneticPr fontId="12" type="noConversion"/>
  </si>
  <si>
    <t>大興路</t>
    <phoneticPr fontId="12" type="noConversion"/>
  </si>
  <si>
    <t>俟未來大竹重劃區擴大重劃後，一併辦理開闢。
(劉勝全、許清順)</t>
    <phoneticPr fontId="12" type="noConversion"/>
  </si>
  <si>
    <t>劉勝全、許清順</t>
  </si>
  <si>
    <t>大華北街道路拓寬工程</t>
  </si>
  <si>
    <t>大竹北路630巷巷口</t>
    <phoneticPr fontId="12" type="noConversion"/>
  </si>
  <si>
    <t>(蘆竹區公所)</t>
    <phoneticPr fontId="2" type="noConversion"/>
  </si>
  <si>
    <t>(110.2.8)</t>
    <phoneticPr fontId="12" type="noConversion"/>
  </si>
  <si>
    <t>蘆竹區公所</t>
  </si>
  <si>
    <t>小古山既有道路改善工程-第三工區</t>
  </si>
  <si>
    <t>0k+000</t>
    <phoneticPr fontId="12" type="noConversion"/>
  </si>
  <si>
    <t>1k+281.79</t>
    <phoneticPr fontId="12" type="noConversion"/>
  </si>
  <si>
    <t>本案倘爭取中央補助後再議。
(蘆竹區公所)</t>
    <phoneticPr fontId="12" type="noConversion"/>
  </si>
  <si>
    <t>埔頂路一段245巷道路拓寬工程</t>
  </si>
  <si>
    <t>埔頂路一段245巷538弄</t>
    <phoneticPr fontId="12" type="noConversion"/>
  </si>
  <si>
    <t>永昌路</t>
    <phoneticPr fontId="12" type="noConversion"/>
  </si>
  <si>
    <t>(李柏坊)</t>
    <phoneticPr fontId="12" type="noConversion"/>
  </si>
  <si>
    <t>李柏坊</t>
  </si>
  <si>
    <t>五青路(桃42)</t>
  </si>
  <si>
    <t>領航南路四段</t>
    <phoneticPr fontId="12" type="noConversion"/>
  </si>
  <si>
    <t>俟必要性及可行性提高後，滾動檢討再議。
拓寬經費過高。(游吾和)</t>
    <phoneticPr fontId="12" type="noConversion"/>
  </si>
  <si>
    <t>游吾和</t>
    <phoneticPr fontId="2" type="noConversion"/>
  </si>
  <si>
    <t>聖德北路拓寬工程(桃43-1)(原方案)</t>
  </si>
  <si>
    <t>和平溪路一段</t>
    <phoneticPr fontId="12" type="noConversion"/>
  </si>
  <si>
    <t>崙頂埤</t>
    <phoneticPr fontId="12" type="noConversion"/>
  </si>
  <si>
    <t>俟必要性及可行性提高後，滾動檢討再議。
拓寬效益不足。(徐其萬)</t>
    <phoneticPr fontId="2" type="noConversion"/>
  </si>
  <si>
    <t>聖德北路拓寬工程(桃43-1)(建議方案)</t>
  </si>
  <si>
    <t>俟必要性及可行性提高後，滾動檢討再議。
拓寬經費過高。(徐其萬)</t>
    <phoneticPr fontId="2" type="noConversion"/>
  </si>
  <si>
    <t>功學路140號前轉彎處截彎取直</t>
  </si>
  <si>
    <t>功學路140號前</t>
    <phoneticPr fontId="12" type="noConversion"/>
  </si>
  <si>
    <t>俟必要性及可行性提高後，滾動檢討再議。
拓寬經費過高。(游吾和)</t>
    <phoneticPr fontId="2" type="noConversion"/>
  </si>
  <si>
    <t>新生北路11巷至31巷(兒二公園)</t>
  </si>
  <si>
    <t>新生北路11巷</t>
    <phoneticPr fontId="12" type="noConversion"/>
  </si>
  <si>
    <t>31巷</t>
    <phoneticPr fontId="12" type="noConversion"/>
  </si>
  <si>
    <t>開闢經費太高且開闢效益不足，暫緩辦理。
(徐其萬)</t>
    <phoneticPr fontId="12" type="noConversion"/>
  </si>
  <si>
    <t>振興路23巷</t>
  </si>
  <si>
    <t>深入研究後再議。
(陳雅倫、林正峰)</t>
    <phoneticPr fontId="12" type="noConversion"/>
  </si>
  <si>
    <t>陳雅倫、林正峰</t>
    <phoneticPr fontId="2" type="noConversion"/>
  </si>
  <si>
    <t>自強南路</t>
    <phoneticPr fontId="12" type="noConversion"/>
  </si>
  <si>
    <t>俟必要性及可行性提高後，滾動檢討再議。
拓寬經費過高。(里長)</t>
    <phoneticPr fontId="12" type="noConversion"/>
  </si>
  <si>
    <t>里長</t>
  </si>
  <si>
    <t>南祥路</t>
    <phoneticPr fontId="12" type="noConversion"/>
  </si>
  <si>
    <t>南上路</t>
    <phoneticPr fontId="12" type="noConversion"/>
  </si>
  <si>
    <t>保留執行
(111.1.19)</t>
    <phoneticPr fontId="12" type="noConversion"/>
  </si>
  <si>
    <t>倘振興路 23 巷通過跨區容移，本案再比照辦理，保留執行。
(陳雅倫議員、牛煦庭議員)</t>
    <phoneticPr fontId="12" type="noConversion"/>
  </si>
  <si>
    <t>陳雅倫、牛煦庭</t>
    <phoneticPr fontId="2" type="noConversion"/>
  </si>
  <si>
    <t>龍平路1107巷至自由街</t>
  </si>
  <si>
    <t>龍平路1107巷</t>
    <phoneticPr fontId="12" type="noConversion"/>
  </si>
  <si>
    <t>自由街</t>
    <phoneticPr fontId="12" type="noConversion"/>
  </si>
  <si>
    <t>俟必要性及可行性提高後，滾動檢討再議。
拓寬效益不足。(徐玉樹)</t>
    <phoneticPr fontId="2" type="noConversion"/>
  </si>
  <si>
    <t>(112.8.31)</t>
    <phoneticPr fontId="2" type="noConversion"/>
  </si>
  <si>
    <t>民生路700巷</t>
    <phoneticPr fontId="12" type="noConversion"/>
  </si>
  <si>
    <t>民生路</t>
    <phoneticPr fontId="12" type="noConversion"/>
  </si>
  <si>
    <t>梅龍路至聖亭路300巷</t>
  </si>
  <si>
    <t>梅龍路</t>
    <phoneticPr fontId="12" type="noConversion"/>
  </si>
  <si>
    <t>聖亭路300巷</t>
    <phoneticPr fontId="12" type="noConversion"/>
  </si>
  <si>
    <t>一、梅龍路路口處增加1車道供梅龍路車輛右轉通行。
二、其餘路段向中央爭取經費施作人行道。</t>
    <phoneticPr fontId="12" type="noConversion"/>
  </si>
  <si>
    <t>(112.7.31)</t>
    <phoneticPr fontId="2" type="noConversion"/>
  </si>
  <si>
    <t>中山路765巷道路新闢工程</t>
  </si>
  <si>
    <t>成功路</t>
    <phoneticPr fontId="12" type="noConversion"/>
  </si>
  <si>
    <t>1.先徵詢地上物所有權人拆除意願。
2.研議是否能降低開第所需之經費。(新屋區公所)</t>
    <phoneticPr fontId="12" type="noConversion"/>
  </si>
  <si>
    <t>新屋區公所</t>
    <phoneticPr fontId="2" type="noConversion"/>
  </si>
  <si>
    <t>玉林路一段(白沙屯福德祠至黃氏祖塔)(桃32)(一期)</t>
  </si>
  <si>
    <t>白沙屯福德祠</t>
    <phoneticPr fontId="12" type="noConversion"/>
  </si>
  <si>
    <t>黃氏祖塔</t>
    <phoneticPr fontId="12" type="noConversion"/>
  </si>
  <si>
    <t>暫緩辦理
(108.7.3)</t>
    <phoneticPr fontId="12" type="noConversion"/>
  </si>
  <si>
    <t>俟必要性及可行性提高後，滾動檢討再議。
俟桃科二期完成後再議。(歐炳辰)</t>
    <phoneticPr fontId="12" type="noConversion"/>
  </si>
  <si>
    <t>歐炳辰</t>
    <phoneticPr fontId="2" type="noConversion"/>
  </si>
  <si>
    <t>民富三街(大業路口至大業路一段19巷)</t>
  </si>
  <si>
    <t>暫緩辦理
(109.10.22)</t>
    <phoneticPr fontId="12" type="noConversion"/>
  </si>
  <si>
    <t>執行經費較高或優先度較低，俟必要性及可行性提高後，滾動檢討再議。
(陳美梅、林政賢)</t>
    <phoneticPr fontId="12" type="noConversion"/>
  </si>
  <si>
    <t>陳美梅、林政賢</t>
    <phoneticPr fontId="2" type="noConversion"/>
  </si>
  <si>
    <t>執行經費較高或優先度較低，俟必要性及可行性提高後，滾動檢討再議。
(李光達、黃景熙)</t>
    <phoneticPr fontId="2" type="noConversion"/>
  </si>
  <si>
    <t>李光達、黃景熙</t>
    <phoneticPr fontId="2" type="noConversion"/>
  </si>
  <si>
    <t>永安路167巷(永安路至中福街)</t>
  </si>
  <si>
    <t>中福街間</t>
    <phoneticPr fontId="12" type="noConversion"/>
  </si>
  <si>
    <t>8~15</t>
  </si>
  <si>
    <t>祥鷺至夜鷺生態埤塘人行步道工程(路線1)</t>
  </si>
  <si>
    <t>與龍壽街206巷交接處旁</t>
    <phoneticPr fontId="12" type="noConversion"/>
  </si>
  <si>
    <t>現有通學步道</t>
    <phoneticPr fontId="12" type="noConversion"/>
  </si>
  <si>
    <t>保留執行
(109.10.22)</t>
    <phoneticPr fontId="12" type="noConversion"/>
  </si>
  <si>
    <t>路線2納入執行。
(黃婉如)</t>
    <phoneticPr fontId="2" type="noConversion"/>
  </si>
  <si>
    <t>祥鷺至夜鷺生態埤塘人行步道工程(路線2)</t>
  </si>
  <si>
    <t>祥鷺埤塘旁</t>
    <phoneticPr fontId="12" type="noConversion"/>
  </si>
  <si>
    <t>夜鷺埤塘旁環湖步道</t>
    <phoneticPr fontId="12" type="noConversion"/>
  </si>
  <si>
    <t>核定執行
(109.10.22)</t>
    <phoneticPr fontId="2" type="noConversion"/>
  </si>
  <si>
    <t>(111.11.15)</t>
    <phoneticPr fontId="12" type="noConversion"/>
  </si>
  <si>
    <t>龍川三街(龍昌路226巷底至216巷)</t>
  </si>
  <si>
    <t>龍昌路226巷底</t>
    <phoneticPr fontId="12" type="noConversion"/>
  </si>
  <si>
    <t>龍昌路216巷底</t>
    <phoneticPr fontId="12" type="noConversion"/>
  </si>
  <si>
    <t>後續倘有經費再議。
(邱奕勝、彭俊豪)</t>
    <phoneticPr fontId="2" type="noConversion"/>
  </si>
  <si>
    <t>(111.5.10)</t>
    <phoneticPr fontId="2" type="noConversion"/>
  </si>
  <si>
    <t>邱奕勝、彭俊豪</t>
    <phoneticPr fontId="2" type="noConversion"/>
  </si>
  <si>
    <t>中山東路三段331巷至中壢區仁德街11巷4弄瓶頸打通工程</t>
  </si>
  <si>
    <t>中山東路三段331巷</t>
    <phoneticPr fontId="12" type="noConversion"/>
  </si>
  <si>
    <t>仁德街11巷4弄</t>
    <phoneticPr fontId="12" type="noConversion"/>
  </si>
  <si>
    <t>8、10</t>
  </si>
  <si>
    <t>納入執行，經費由住宅基金支應。
(住宅發展處)</t>
    <phoneticPr fontId="2" type="noConversion"/>
  </si>
  <si>
    <t>(111.10.26)</t>
    <phoneticPr fontId="12" type="noConversion"/>
  </si>
  <si>
    <t>住宅發展處</t>
    <phoneticPr fontId="2" type="noConversion"/>
  </si>
  <si>
    <t>慈惠三街</t>
  </si>
  <si>
    <t>慈惠三街底</t>
    <phoneticPr fontId="12" type="noConversion"/>
  </si>
  <si>
    <t>慈惠三街54號前</t>
    <phoneticPr fontId="12" type="noConversion"/>
  </si>
  <si>
    <t>執行經費較高或優先度較低，俟必要性及可行性提高後，滾動檢討再議。
(彭俊豪)</t>
    <phoneticPr fontId="2" type="noConversion"/>
  </si>
  <si>
    <t>彭俊豪</t>
    <phoneticPr fontId="2" type="noConversion"/>
  </si>
  <si>
    <t>南昌街27巷至南昌街64巷瓶頸道路打通</t>
  </si>
  <si>
    <t>南昌街27巷</t>
    <phoneticPr fontId="12" type="noConversion"/>
  </si>
  <si>
    <t>南昌街64巷</t>
    <phoneticPr fontId="12" type="noConversion"/>
  </si>
  <si>
    <t>納入執行。
(平安里辦公處)</t>
    <phoneticPr fontId="2" type="noConversion"/>
  </si>
  <si>
    <t>(110.7.16)</t>
    <phoneticPr fontId="12" type="noConversion"/>
  </si>
  <si>
    <t>平安里辦公處</t>
    <phoneticPr fontId="2" type="noConversion"/>
  </si>
  <si>
    <t>東豐路133巷21弄道路拓寬</t>
  </si>
  <si>
    <t>東豐路133巷</t>
    <phoneticPr fontId="12" type="noConversion"/>
  </si>
  <si>
    <t>東豐路133巷21弄</t>
    <phoneticPr fontId="12" type="noConversion"/>
  </si>
  <si>
    <t>納入執行。
(黃敬平)</t>
    <phoneticPr fontId="2" type="noConversion"/>
  </si>
  <si>
    <t>黃敬平</t>
    <phoneticPr fontId="2" type="noConversion"/>
  </si>
  <si>
    <t>廣泰路232巷道路瓶頸打通工程</t>
  </si>
  <si>
    <t>廣泰路232巷</t>
    <phoneticPr fontId="12" type="noConversion"/>
  </si>
  <si>
    <t>納入執行。
(楊家俍)</t>
    <phoneticPr fontId="2" type="noConversion"/>
  </si>
  <si>
    <t>楊家俍</t>
    <phoneticPr fontId="2" type="noConversion"/>
  </si>
  <si>
    <t>忠孝路195巷至廣明路21巷</t>
  </si>
  <si>
    <t>忠孝路195巷</t>
    <phoneticPr fontId="12" type="noConversion"/>
  </si>
  <si>
    <t>廣明路21巷</t>
    <phoneticPr fontId="12" type="noConversion"/>
  </si>
  <si>
    <t>後續倘有經費再議。
(黃敬平)</t>
    <phoneticPr fontId="2" type="noConversion"/>
  </si>
  <si>
    <t>忠孝路194巷至育達路106巷道路瓶頸打通</t>
  </si>
  <si>
    <t>忠孝路194巷</t>
    <phoneticPr fontId="12" type="noConversion"/>
  </si>
  <si>
    <t>育達路106巷</t>
    <phoneticPr fontId="12" type="noConversion"/>
  </si>
  <si>
    <t>後續倘有經費再議。
(厝興里辦公處)</t>
    <phoneticPr fontId="2" type="noConversion"/>
  </si>
  <si>
    <t>厝興里辦公處</t>
    <phoneticPr fontId="2" type="noConversion"/>
  </si>
  <si>
    <t>福羚路銜接中興路截彎取直</t>
  </si>
  <si>
    <t>福羚路</t>
    <phoneticPr fontId="12" type="noConversion"/>
  </si>
  <si>
    <t>納入執行。
(李家興)</t>
    <phoneticPr fontId="2" type="noConversion"/>
  </si>
  <si>
    <t>(111.10.7)</t>
    <phoneticPr fontId="12" type="noConversion"/>
  </si>
  <si>
    <t>李家興</t>
    <phoneticPr fontId="2" type="noConversion"/>
  </si>
  <si>
    <t>環南路66巷17弄14衖</t>
  </si>
  <si>
    <t>廣德路口</t>
    <phoneticPr fontId="12" type="noConversion"/>
  </si>
  <si>
    <t>環南路66巷</t>
    <phoneticPr fontId="12" type="noConversion"/>
  </si>
  <si>
    <t>納入執行。</t>
    <phoneticPr fontId="2" type="noConversion"/>
  </si>
  <si>
    <t>廣興路108巷道路開闢工程</t>
  </si>
  <si>
    <t>廣興路</t>
    <phoneticPr fontId="12" type="noConversion"/>
  </si>
  <si>
    <t>建國路91巷28弄</t>
    <phoneticPr fontId="12" type="noConversion"/>
  </si>
  <si>
    <t>部份開闢5m</t>
  </si>
  <si>
    <t>永美路445巷96弄道路</t>
  </si>
  <si>
    <t>永美路445巷96弄</t>
    <phoneticPr fontId="12" type="noConversion"/>
  </si>
  <si>
    <t>瑞福街</t>
    <phoneticPr fontId="12" type="noConversion"/>
  </si>
  <si>
    <t>執行經費較高或優先度較低，俟必要性及可行性提高後，滾動檢討再議。
(鄭淑方、周玉琴)</t>
    <phoneticPr fontId="2" type="noConversion"/>
  </si>
  <si>
    <t>(112.5.17)</t>
    <phoneticPr fontId="2" type="noConversion"/>
  </si>
  <si>
    <t>鄭淑方、周玉琴</t>
  </si>
  <si>
    <t>高獅路824號至830號瓶頸道路拓寬</t>
  </si>
  <si>
    <t>高獅路824號</t>
    <phoneticPr fontId="12" type="noConversion"/>
  </si>
  <si>
    <t>高獅路830號</t>
    <phoneticPr fontId="12" type="noConversion"/>
  </si>
  <si>
    <t>電桿、圍牆</t>
  </si>
  <si>
    <t>納入執行。
(經濟發展局)</t>
    <phoneticPr fontId="2" type="noConversion"/>
  </si>
  <si>
    <t>經濟發展局</t>
  </si>
  <si>
    <t>楊湖路一段至中山南路瓶頸打通</t>
  </si>
  <si>
    <t>楊湖路一段</t>
    <phoneticPr fontId="12" type="noConversion"/>
  </si>
  <si>
    <t>經濟發展局</t>
    <phoneticPr fontId="2" type="noConversion"/>
  </si>
  <si>
    <t>環南路75巷打通</t>
  </si>
  <si>
    <t>環南路75巷自校前路254巷</t>
    <phoneticPr fontId="12" type="noConversion"/>
  </si>
  <si>
    <t>環南路75巷36弄間</t>
  </si>
  <si>
    <t>保留執行
(109.10.22)</t>
    <phoneticPr fontId="2" type="noConversion"/>
  </si>
  <si>
    <t>滾動檢討並研議改善方案。
(周玉琴)</t>
    <phoneticPr fontId="2" type="noConversion"/>
  </si>
  <si>
    <t>周玉琴</t>
    <phoneticPr fontId="2" type="noConversion"/>
  </si>
  <si>
    <t>上竹一街與大竹路口狹窄段拓寬改善工程</t>
  </si>
  <si>
    <t>上竹一街</t>
    <phoneticPr fontId="12" type="noConversion"/>
  </si>
  <si>
    <t>大竹路口</t>
    <phoneticPr fontId="12" type="noConversion"/>
  </si>
  <si>
    <t>納入執行。
(民眾陳情)</t>
    <phoneticPr fontId="2" type="noConversion"/>
  </si>
  <si>
    <t>復興路一段1093巷道路拓寬(以公有土地辦理拓寬)</t>
  </si>
  <si>
    <t>復興路一段1093巷</t>
    <phoneticPr fontId="12" type="noConversion"/>
  </si>
  <si>
    <t>經費分攤需再研議。
(李柏坊)</t>
    <phoneticPr fontId="2" type="noConversion"/>
  </si>
  <si>
    <t>李柏坊</t>
    <phoneticPr fontId="2" type="noConversion"/>
  </si>
  <si>
    <t>文化街</t>
    <phoneticPr fontId="12" type="noConversion"/>
  </si>
  <si>
    <t>執行經費較高或優先度較低，俟必要性及可行性提高後，滾動檢討再議。
(徐其萬)</t>
    <phoneticPr fontId="2" type="noConversion"/>
  </si>
  <si>
    <t>執行經費較高或優先度較低，俟必要性及可行性提高後，滾動檢討再議。
(林正峰)</t>
    <phoneticPr fontId="2" type="noConversion"/>
  </si>
  <si>
    <t>民生路往中豐路髮夾彎</t>
  </si>
  <si>
    <t>民生路(桃66線)往中豐路終點
前205~305公尺2處髮夾彎)</t>
    <phoneticPr fontId="12" type="noConversion"/>
  </si>
  <si>
    <t>以局部改善方式，納入執行。
(徐玉樹)</t>
    <phoneticPr fontId="2" type="noConversion"/>
  </si>
  <si>
    <t>龍潭區梅龍路(馮屋大埤)</t>
  </si>
  <si>
    <t>梅龍路700巷附近</t>
    <phoneticPr fontId="12" type="noConversion"/>
  </si>
  <si>
    <t>保留再研議。
(立法委員湯蕙禎)</t>
    <phoneticPr fontId="2" type="noConversion"/>
  </si>
  <si>
    <t>湯蕙禎</t>
  </si>
  <si>
    <t>龍潭區梅龍路(梅龍路464巷)</t>
  </si>
  <si>
    <t>梅龍路464巷路口</t>
    <phoneticPr fontId="12" type="noConversion"/>
  </si>
  <si>
    <t>龍潭區梅龍路(梅龍路581號至龍園一路)</t>
  </si>
  <si>
    <t>梅龍路581號</t>
    <phoneticPr fontId="12" type="noConversion"/>
  </si>
  <si>
    <t>龍園一路</t>
    <phoneticPr fontId="12" type="noConversion"/>
  </si>
  <si>
    <t>湯蕙禎</t>
    <phoneticPr fontId="2" type="noConversion"/>
  </si>
  <si>
    <t>新文路道路新闢工程(109年N案)</t>
  </si>
  <si>
    <t>納入執行。
(新屋區公所)</t>
    <phoneticPr fontId="2" type="noConversion"/>
  </si>
  <si>
    <t>新屋區公所</t>
  </si>
  <si>
    <t>觀音里仁愛路往仁愛公園</t>
  </si>
  <si>
    <t>仁愛公園</t>
    <phoneticPr fontId="12" type="noConversion"/>
  </si>
  <si>
    <t>納入執行。
(觀音區公所)</t>
    <phoneticPr fontId="2" type="noConversion"/>
  </si>
  <si>
    <t>觀音區公所</t>
  </si>
  <si>
    <t>民豐一街至民主街</t>
  </si>
  <si>
    <t>民主街</t>
    <phoneticPr fontId="12" type="noConversion"/>
  </si>
  <si>
    <t>繼續協調地主同意，以較低價格取得土地。
(龍潭區公所)</t>
    <phoneticPr fontId="2" type="noConversion"/>
  </si>
  <si>
    <t>(112.6.15)</t>
    <phoneticPr fontId="12" type="noConversion"/>
  </si>
  <si>
    <t>福德一路177巷(第一階段)</t>
  </si>
  <si>
    <t>福德一路</t>
    <phoneticPr fontId="12" type="noConversion"/>
  </si>
  <si>
    <t>保留至北桃平台討論。</t>
    <phoneticPr fontId="2" type="noConversion"/>
  </si>
  <si>
    <t>福德一路177巷(第二階段)</t>
  </si>
  <si>
    <t>山下街打通至新興路道路新闢工程</t>
  </si>
  <si>
    <t>山下街底</t>
    <phoneticPr fontId="12" type="noConversion"/>
  </si>
  <si>
    <t>核定執行
(109.12.31)</t>
    <phoneticPr fontId="2" type="noConversion"/>
  </si>
  <si>
    <t>步道</t>
  </si>
  <si>
    <t>北客霄裡國小學通學步道</t>
  </si>
  <si>
    <t>北客霄裡國小學通學步道</t>
    <phoneticPr fontId="12" type="noConversion"/>
  </si>
  <si>
    <t>(111.4.29)</t>
    <phoneticPr fontId="12" type="noConversion"/>
  </si>
  <si>
    <t>金陵路5、6段替代道路</t>
  </si>
  <si>
    <t>平東一路一段路口</t>
    <phoneticPr fontId="12" type="noConversion"/>
  </si>
  <si>
    <t>台66橋下路口</t>
    <phoneticPr fontId="12" type="noConversion"/>
  </si>
  <si>
    <t>保留執行
(109.12.31)</t>
    <phoneticPr fontId="2" type="noConversion"/>
  </si>
  <si>
    <t>1.先定線，俟爭取中央補助再納入執行。
2.112/3/1規設申請內政部營建署[生活圈道路系統建設計畫(市區道路)提案計畫]補助</t>
  </si>
  <si>
    <t>生活圈二號道路(優先開闢:中正路-民權路)</t>
  </si>
  <si>
    <t>評估中</t>
  </si>
  <si>
    <t>1.都市計畫變更先完成。
2.本案專案執行，先請秘書長主持都發局與工務局內部商討會議後再另案裁示(專案容移)。
3.優先開闢中正路至A20區徵案，並配合交通局內壢交流道改善方案。
4.爭取營建署補助。</t>
    <phoneticPr fontId="2" type="noConversion"/>
  </si>
  <si>
    <t>梅龍路瓶頸1-馮屋大埤</t>
  </si>
  <si>
    <t>1.專案討論。
2.該埤塘係屬私人產權，請工務局協調水利署石門管理處以綠美化方式、縮減水域及減少使用私人土地為原則辦理馮屋大埤整體改善計畫。</t>
    <phoneticPr fontId="2" type="noConversion"/>
  </si>
  <si>
    <t>梅龍路瓶頸2-梅龍路464巷</t>
  </si>
  <si>
    <t>俟爭取科技部補助後。再納入執行。</t>
    <phoneticPr fontId="2" type="noConversion"/>
  </si>
  <si>
    <t>梅龍路瓶頸3-梅龍路581號至龍園一路</t>
  </si>
  <si>
    <t>1.用地部分持續協調地主以1.2倍公告現值為限協議價購。
2.俟用地取得後再納入執行。</t>
    <phoneticPr fontId="2" type="noConversion"/>
  </si>
  <si>
    <t>福德一路177巷道路拓寬(第一階段)</t>
  </si>
  <si>
    <t>待估</t>
  </si>
  <si>
    <t>1.納入北桃合作交流平臺討論。
2.專案爭取中央預算(交通部)。</t>
    <phoneticPr fontId="2" type="noConversion"/>
  </si>
  <si>
    <t>交通部</t>
  </si>
  <si>
    <t>福德一路177巷道路拓寬(第二階段)</t>
  </si>
  <si>
    <t>興豐路</t>
  </si>
  <si>
    <t>大坡腳營區聯外道路</t>
  </si>
  <si>
    <t>觀音區中山路一段967巷</t>
    <phoneticPr fontId="12" type="noConversion"/>
  </si>
  <si>
    <t>1.本案暫無急迫性，可先行規劃並配合大坡腳樂活園區開發期程，再納入執行。
2.用地部分持續與地主進行協議價購(以1.2倍公告現值為限)。</t>
    <phoneticPr fontId="2" type="noConversion"/>
  </si>
  <si>
    <t>中原路三段(福源路~市界)</t>
  </si>
  <si>
    <t>福源路</t>
    <phoneticPr fontId="12" type="noConversion"/>
  </si>
  <si>
    <t>桃園新竹交界</t>
    <phoneticPr fontId="12" type="noConversion"/>
  </si>
  <si>
    <t>暫緩辦理
(108.12.31)</t>
    <phoneticPr fontId="2" type="noConversion"/>
  </si>
  <si>
    <t>剔除本案，俟新竹市有拓寬需求再提案。</t>
    <phoneticPr fontId="2" type="noConversion"/>
  </si>
  <si>
    <t>圓光路道路拓寬工程(高鐵南路三段-聖德路一段)</t>
  </si>
  <si>
    <t>高鐵南路三段</t>
    <phoneticPr fontId="12" type="noConversion"/>
  </si>
  <si>
    <t>勝德路一段</t>
    <phoneticPr fontId="12" type="noConversion"/>
  </si>
  <si>
    <t>剔除本案，該路口先以增設號誌方式改善。</t>
    <phoneticPr fontId="2" type="noConversion"/>
  </si>
  <si>
    <t>和平路991巷(和平路-延平路)</t>
  </si>
  <si>
    <t>延平路延伸</t>
    <phoneticPr fontId="12" type="noConversion"/>
  </si>
  <si>
    <t>1.先辦理定線作業。
2.俟爭取中央補助後再納入執行。(呂淑真)</t>
    <phoneticPr fontId="2" type="noConversion"/>
  </si>
  <si>
    <t>呂淑真</t>
    <phoneticPr fontId="2" type="noConversion"/>
  </si>
  <si>
    <t>大華北街銜接光華街路口拓寬</t>
  </si>
  <si>
    <t>大華北街</t>
    <phoneticPr fontId="12" type="noConversion"/>
  </si>
  <si>
    <t>光華街路口</t>
    <phoneticPr fontId="12" type="noConversion"/>
  </si>
  <si>
    <t>納入執行。
(劉勝全)</t>
    <phoneticPr fontId="2" type="noConversion"/>
  </si>
  <si>
    <t>(111.11.3)</t>
    <phoneticPr fontId="12" type="noConversion"/>
  </si>
  <si>
    <t>劉勝全</t>
    <phoneticPr fontId="2" type="noConversion"/>
  </si>
  <si>
    <t>上興路85號旁連接中興路120巷銜接打通</t>
    <phoneticPr fontId="2" type="noConversion"/>
  </si>
  <si>
    <t>上興路85號旁</t>
    <phoneticPr fontId="12" type="noConversion"/>
  </si>
  <si>
    <t>中興路120巷</t>
    <phoneticPr fontId="12" type="noConversion"/>
  </si>
  <si>
    <t>請工務局協調屋主自行拆除地上物，或地上物補償費用至合理價金再納入執行。
(郭麗華)</t>
    <phoneticPr fontId="2" type="noConversion"/>
  </si>
  <si>
    <t>(111.10.1)</t>
    <phoneticPr fontId="12" type="noConversion"/>
  </si>
  <si>
    <t>郭麗華</t>
    <phoneticPr fontId="2" type="noConversion"/>
  </si>
  <si>
    <t>高鐵站前西路三段至中正東路三段一般道路開闢</t>
  </si>
  <si>
    <t>高鐵站前西路三段打通</t>
    <phoneticPr fontId="12" type="noConversion"/>
  </si>
  <si>
    <t>中正東路三段</t>
    <phoneticPr fontId="12" type="noConversion"/>
  </si>
  <si>
    <t>併同內壢交流道北側改善案討論，先予保留。
111/10/19富邦媒體無意願協購。
(黃世杰)</t>
    <phoneticPr fontId="2" type="noConversion"/>
  </si>
  <si>
    <t>黃世杰</t>
    <phoneticPr fontId="2" type="noConversion"/>
  </si>
  <si>
    <t>環湖路(復興路二段起算80公尺)</t>
  </si>
  <si>
    <t>復興二路口轉環湖路約80公尺</t>
    <phoneticPr fontId="12" type="noConversion"/>
  </si>
  <si>
    <t>納入執行。
(李柏坊)</t>
    <phoneticPr fontId="2" type="noConversion"/>
  </si>
  <si>
    <t>(111.5.10)</t>
    <phoneticPr fontId="12" type="noConversion"/>
  </si>
  <si>
    <t>復華六街(復華街-復華一街)</t>
  </si>
  <si>
    <t>用地部分持續與地主進行協議價購(以1.2倍公告現值為限)，先予保留。
(邱奕勝/彭俊豪/劉曾玉春/張運炳/黃傅淑香)</t>
    <phoneticPr fontId="2" type="noConversion"/>
  </si>
  <si>
    <t>邱奕勝、彭俊豪、劉曾玉春、張運炳、黃傅淑香</t>
    <phoneticPr fontId="2" type="noConversion"/>
  </si>
  <si>
    <t>跨越新街溪便橋(中園路二段303巷至萬大路342巷)</t>
  </si>
  <si>
    <t>中園路二段303巷</t>
    <phoneticPr fontId="12" type="noConversion"/>
  </si>
  <si>
    <t>萬大路342巷</t>
    <phoneticPr fontId="12" type="noConversion"/>
  </si>
  <si>
    <t>0~2</t>
  </si>
  <si>
    <t>俟新街溪防汛工程定案後再研議，先予保留。
(邱奕勝)</t>
    <phoneticPr fontId="2" type="noConversion"/>
  </si>
  <si>
    <t>游泳路(自5巷口沿著37巷口)通往龍慈路拓寬工程</t>
  </si>
  <si>
    <t>游泳路5巷</t>
    <phoneticPr fontId="12" type="noConversion"/>
  </si>
  <si>
    <t>納入執行，土地部分與軍方協調。
(陳萬得/呂昱玲)</t>
    <phoneticPr fontId="2" type="noConversion"/>
  </si>
  <si>
    <t>陳萬得、呂昱玲</t>
    <phoneticPr fontId="2" type="noConversion"/>
  </si>
  <si>
    <t>民族路三段與復旦路三段間國一高速公路旁道路開闢</t>
  </si>
  <si>
    <t>1.民族路三段1巷至長安路339巷</t>
    <phoneticPr fontId="12" type="noConversion"/>
  </si>
  <si>
    <t>2.過嶺支渠步道至復旦路四段</t>
    <phoneticPr fontId="12" type="noConversion"/>
  </si>
  <si>
    <t>0~4</t>
  </si>
  <si>
    <t>俟爭取到中央補助後再納入執行。
(黃敬平)</t>
    <phoneticPr fontId="2" type="noConversion"/>
  </si>
  <si>
    <t>富豐南路109巷(富豐南路至富元街)</t>
  </si>
  <si>
    <t>富豐南路109巷</t>
    <phoneticPr fontId="12" type="noConversion"/>
  </si>
  <si>
    <t>富元街</t>
    <phoneticPr fontId="12" type="noConversion"/>
  </si>
  <si>
    <t>本案尚未決議，先予保留。
(周玉琴)</t>
    <phoneticPr fontId="2" type="noConversion"/>
  </si>
  <si>
    <t>育樂街(中豐路-干城路)</t>
  </si>
  <si>
    <t>干城路口</t>
    <phoneticPr fontId="12" type="noConversion"/>
  </si>
  <si>
    <t>納入執行。
(林昭賢)</t>
    <phoneticPr fontId="2" type="noConversion"/>
  </si>
  <si>
    <t>(112.7.5)</t>
    <phoneticPr fontId="2" type="noConversion"/>
  </si>
  <si>
    <t>東龍路至神龍路一般道路開闢</t>
  </si>
  <si>
    <t>神龍路</t>
    <phoneticPr fontId="12" type="noConversion"/>
  </si>
  <si>
    <t>東龍路</t>
    <phoneticPr fontId="12" type="noConversion"/>
  </si>
  <si>
    <t>本案暫無急迫性，待日後經費充足再議，先予保留。
(湯惠禎)</t>
    <phoneticPr fontId="2" type="noConversion"/>
  </si>
  <si>
    <t>湯惠禎</t>
    <phoneticPr fontId="2" type="noConversion"/>
  </si>
  <si>
    <t>復興區</t>
  </si>
  <si>
    <t>羅浮部落道路開闢工程</t>
  </si>
  <si>
    <t>北橫台7線</t>
    <phoneticPr fontId="12" type="noConversion"/>
  </si>
  <si>
    <t>22+4未登錄</t>
  </si>
  <si>
    <t>配合小烏來風景特定區計畫市地重劃，將本案一併開發。
(蘇志強)</t>
    <phoneticPr fontId="2" type="noConversion"/>
  </si>
  <si>
    <t>蘇志強</t>
    <phoneticPr fontId="2" type="noConversion"/>
  </si>
  <si>
    <t>館後一街(國土改革館)</t>
    <phoneticPr fontId="12" type="noConversion"/>
  </si>
  <si>
    <t>納入執行，並與里長協調拓寬後有無劃設紅線或留停車位問題。
(黃家齊)</t>
    <phoneticPr fontId="2" type="noConversion"/>
  </si>
  <si>
    <t>(111.10.13)</t>
    <phoneticPr fontId="12" type="noConversion"/>
  </si>
  <si>
    <t>黃家齊</t>
    <phoneticPr fontId="2" type="noConversion"/>
  </si>
  <si>
    <t>(邱奕勝、彭俊豪)</t>
    <phoneticPr fontId="2" type="noConversion"/>
  </si>
  <si>
    <t>邱奕勝、彭俊豪</t>
  </si>
  <si>
    <t>(黃敬平)</t>
    <phoneticPr fontId="2" type="noConversion"/>
  </si>
  <si>
    <t>忠孝路194巷至育達路106巷</t>
  </si>
  <si>
    <t>(厝興里辦公處)</t>
    <phoneticPr fontId="2" type="noConversion"/>
  </si>
  <si>
    <t>環南路75巷36弄間</t>
    <phoneticPr fontId="12" type="noConversion"/>
  </si>
  <si>
    <t>(周玉琴、呂淑真)</t>
    <phoneticPr fontId="2" type="noConversion"/>
  </si>
  <si>
    <t>周玉琴、呂淑真</t>
    <phoneticPr fontId="2" type="noConversion"/>
  </si>
  <si>
    <t>復興路一段1093巷道路拓寬(公有土地拓寬)</t>
  </si>
  <si>
    <t>(李柏坊)</t>
    <phoneticPr fontId="2" type="noConversion"/>
  </si>
  <si>
    <t>國際路延伸至南平路</t>
  </si>
  <si>
    <t>自國際路二段起，往北方穿越中埔國小</t>
    <phoneticPr fontId="12" type="noConversion"/>
  </si>
  <si>
    <t>南平復興二路口</t>
    <phoneticPr fontId="12" type="noConversion"/>
  </si>
  <si>
    <t>(黃景熙、陳美梅)</t>
    <phoneticPr fontId="2" type="noConversion"/>
  </si>
  <si>
    <t>綠116(大興西路二段139巷至中正路)</t>
  </si>
  <si>
    <t>大興西路二段139巷</t>
    <phoneticPr fontId="12" type="noConversion"/>
  </si>
  <si>
    <t>中正路(東半部)</t>
    <phoneticPr fontId="12" type="noConversion"/>
  </si>
  <si>
    <t>(桃園農會常務監事)</t>
    <phoneticPr fontId="2" type="noConversion"/>
  </si>
  <si>
    <t>桃園農會常務監事</t>
    <phoneticPr fontId="2" type="noConversion"/>
  </si>
  <si>
    <t>(林正峰)</t>
    <phoneticPr fontId="2" type="noConversion"/>
  </si>
  <si>
    <t>航空城對外聯絡道路(溪海花卉園區)第一期:田溪路
(華興路二段至聖德北路間)</t>
  </si>
  <si>
    <t>聖德北路間</t>
    <phoneticPr fontId="12" type="noConversion"/>
  </si>
  <si>
    <t>(徐其萬)</t>
    <phoneticPr fontId="2" type="noConversion"/>
  </si>
  <si>
    <t>航空城對外聯絡道路(溪海花卉園區)第二期:中山南路二段56巷(海峰橋(都外)至華興路二段間)</t>
  </si>
  <si>
    <t>中山南路二段56巷</t>
    <phoneticPr fontId="12" type="noConversion"/>
  </si>
  <si>
    <t>華興路二段間</t>
    <phoneticPr fontId="12" type="noConversion"/>
  </si>
  <si>
    <t>航空城對外聯絡道路(溪海花卉園區)第三期:田溪路沿平成路往和平西路二段止</t>
  </si>
  <si>
    <t>田溪路沿平成路</t>
    <phoneticPr fontId="12" type="noConversion"/>
  </si>
  <si>
    <t>和平西路二段止</t>
    <phoneticPr fontId="12" type="noConversion"/>
  </si>
  <si>
    <t>中山路（龍平路口-貿東路口）道路拓寬</t>
  </si>
  <si>
    <t>龍平路口</t>
    <phoneticPr fontId="12" type="noConversion"/>
  </si>
  <si>
    <t>貿東路口</t>
    <phoneticPr fontId="12" type="noConversion"/>
  </si>
  <si>
    <t>8~10</t>
  </si>
  <si>
    <t>(舒翠玲)</t>
    <phoneticPr fontId="2" type="noConversion"/>
  </si>
  <si>
    <t>舒翠玲</t>
    <phoneticPr fontId="2" type="noConversion"/>
  </si>
  <si>
    <t>平鎮區-貿東路(中山路至中正一路))</t>
  </si>
  <si>
    <t>中正一路</t>
    <phoneticPr fontId="12" type="noConversion"/>
  </si>
  <si>
    <t>(舒翠玲、財政部國產署)</t>
    <phoneticPr fontId="2" type="noConversion"/>
  </si>
  <si>
    <t>舒翠玲、財政部國產署</t>
    <phoneticPr fontId="2" type="noConversion"/>
  </si>
  <si>
    <t>塔腳路與塔腳一路</t>
  </si>
  <si>
    <t>塔腳路</t>
    <phoneticPr fontId="12" type="noConversion"/>
  </si>
  <si>
    <t>塔腳一路路口周邊</t>
    <phoneticPr fontId="12" type="noConversion"/>
  </si>
  <si>
    <t>95+75</t>
  </si>
  <si>
    <t>(邱奕勝)</t>
    <phoneticPr fontId="2" type="noConversion"/>
  </si>
  <si>
    <t>信義路983巷銜接至新北市三峽區弘道路</t>
  </si>
  <si>
    <t>信義路983巷銜接</t>
    <phoneticPr fontId="12" type="noConversion"/>
  </si>
  <si>
    <t>新北市三峽區弘道路</t>
    <phoneticPr fontId="12" type="noConversion"/>
  </si>
  <si>
    <t>0~5</t>
  </si>
  <si>
    <t>(陳治文)</t>
    <phoneticPr fontId="2" type="noConversion"/>
  </si>
  <si>
    <t>陳治文</t>
  </si>
  <si>
    <t>山大二路(月桃路至廣青路)</t>
  </si>
  <si>
    <t>(葉明月)</t>
    <phoneticPr fontId="2" type="noConversion"/>
  </si>
  <si>
    <t>葉明月</t>
    <phoneticPr fontId="2" type="noConversion"/>
  </si>
  <si>
    <t>圓光路道路拓寬工程(圓光禪寺旁)</t>
  </si>
  <si>
    <t>(王浩宇)</t>
    <phoneticPr fontId="2" type="noConversion"/>
  </si>
  <si>
    <t>王浩宇</t>
  </si>
  <si>
    <t>龍昌路(龍昌路180巷口至龍川街巷口)瓶頸打通</t>
  </si>
  <si>
    <t>(議長、彭俊豪、用地管制會副局長裁示)</t>
    <phoneticPr fontId="2" type="noConversion"/>
  </si>
  <si>
    <t>議長、彭俊豪、用地管制會副局長</t>
    <phoneticPr fontId="2" type="noConversion"/>
  </si>
  <si>
    <t>中山路（中山路與貿東路口至龍江路口）</t>
  </si>
  <si>
    <t>舒翠玲</t>
  </si>
  <si>
    <t>華美一路至榮民南路(華勛國小北側)</t>
  </si>
  <si>
    <t>(魯明哲)</t>
    <phoneticPr fontId="2" type="noConversion"/>
  </si>
  <si>
    <t>魯明哲</t>
  </si>
  <si>
    <t>平東路至東光路道路開闢</t>
  </si>
  <si>
    <t>延平路一段37巷</t>
  </si>
  <si>
    <t>13(3共有)</t>
  </si>
  <si>
    <t>(楊家俍、劉仁照、陳萬得)</t>
    <phoneticPr fontId="2" type="noConversion"/>
  </si>
  <si>
    <t>楊家俍、劉仁照、陳萬得</t>
    <phoneticPr fontId="2" type="noConversion"/>
  </si>
  <si>
    <t>陸光路道路拓寬</t>
  </si>
  <si>
    <t>8~9</t>
  </si>
  <si>
    <t>19(8共有)</t>
  </si>
  <si>
    <t>(劉仁照)</t>
    <phoneticPr fontId="2" type="noConversion"/>
  </si>
  <si>
    <t>劉仁照</t>
    <phoneticPr fontId="2" type="noConversion"/>
  </si>
  <si>
    <t>湧光路136巷72弄</t>
  </si>
  <si>
    <t>(楊家俍、陳萬得、呂玉玲立委)</t>
    <phoneticPr fontId="2" type="noConversion"/>
  </si>
  <si>
    <t>楊家俍、陳萬得、呂玉玲</t>
    <phoneticPr fontId="2" type="noConversion"/>
  </si>
  <si>
    <t>新光路五段接南豐路新闢道路工程</t>
  </si>
  <si>
    <t>(謝彰文)</t>
    <phoneticPr fontId="2" type="noConversion"/>
  </si>
  <si>
    <t>龍南路654巷與東光路內競合</t>
  </si>
  <si>
    <t>3.5~10</t>
  </si>
  <si>
    <t>福林街與介新街(建國國中旁)</t>
  </si>
  <si>
    <t>(呂淑真)</t>
    <phoneticPr fontId="2" type="noConversion"/>
  </si>
  <si>
    <t>呂淑真</t>
  </si>
  <si>
    <t>民生街(富豐北路民生路口至民生街249巷口)路肩拓寬</t>
  </si>
  <si>
    <t>(陳賴素美)</t>
    <phoneticPr fontId="2" type="noConversion"/>
  </si>
  <si>
    <t>陳賴素美</t>
    <phoneticPr fontId="2" type="noConversion"/>
  </si>
  <si>
    <t>高新街(梅高路口至鵬程萬里社區路段)道路拓寬工程</t>
  </si>
  <si>
    <t>5.2~5.8</t>
  </si>
  <si>
    <t>(周玉琴)</t>
    <phoneticPr fontId="2" type="noConversion"/>
  </si>
  <si>
    <t>復興路一段1093巷道路改善</t>
  </si>
  <si>
    <t>菓林路與菓林路370巷路口至菓林路370巷18弄</t>
  </si>
  <si>
    <t>橫20
縱80</t>
  </si>
  <si>
    <t>橫6
縱6</t>
  </si>
  <si>
    <t>橫6
縱10</t>
  </si>
  <si>
    <t>(林昭賢)</t>
    <phoneticPr fontId="2" type="noConversion"/>
  </si>
  <si>
    <t>三林里台65線</t>
  </si>
  <si>
    <t xml:space="preserve"> (三林里長)</t>
    <phoneticPr fontId="2" type="noConversion"/>
  </si>
  <si>
    <t>三林里長</t>
    <phoneticPr fontId="2" type="noConversion"/>
  </si>
  <si>
    <t>成功路</t>
  </si>
  <si>
    <t>(前議員 閻中傑)</t>
    <phoneticPr fontId="2" type="noConversion"/>
  </si>
  <si>
    <t>閻中傑</t>
  </si>
  <si>
    <t>金龍路350號打通延伸至台三線</t>
  </si>
  <si>
    <t>(前議員 張肇良)</t>
    <phoneticPr fontId="2" type="noConversion"/>
  </si>
  <si>
    <t>張肇良</t>
  </si>
  <si>
    <t>龍平路(福龍路2段至武中路)</t>
  </si>
  <si>
    <t>(徐玉樹)</t>
    <phoneticPr fontId="2" type="noConversion"/>
  </si>
  <si>
    <t>湧光路(聖亭路八德段至南圳橋橋頭)道路拓寬</t>
  </si>
  <si>
    <t>中華南路到台31路間段道路拓寬</t>
  </si>
  <si>
    <t>(邱佳亮)</t>
    <phoneticPr fontId="2" type="noConversion"/>
  </si>
  <si>
    <t>邱佳亮</t>
  </si>
  <si>
    <t>新富路一段</t>
  </si>
  <si>
    <t>8.2~10.5</t>
  </si>
  <si>
    <t>(陳情書)</t>
    <phoneticPr fontId="2" type="noConversion"/>
  </si>
  <si>
    <t>陳情書</t>
    <phoneticPr fontId="2" type="noConversion"/>
  </si>
  <si>
    <t>中山西路一段(中山西路一段2號至119號)</t>
  </si>
  <si>
    <t>邱佳亮</t>
    <phoneticPr fontId="2" type="noConversion"/>
  </si>
  <si>
    <t>榮和六街(中壢區及八德區)</t>
  </si>
  <si>
    <t>0~6.5</t>
  </si>
  <si>
    <t>中正東路</t>
  </si>
  <si>
    <t>17~20</t>
  </si>
  <si>
    <t>八德</t>
  </si>
  <si>
    <t>樹仔坡橋截彎取直工程</t>
    <phoneticPr fontId="12" type="noConversion"/>
  </si>
  <si>
    <t>成功街</t>
    <phoneticPr fontId="12" type="noConversion"/>
  </si>
  <si>
    <t>9~12</t>
  </si>
  <si>
    <t>核定執行
(110.5.18)</t>
    <phoneticPr fontId="12" type="noConversion"/>
  </si>
  <si>
    <t>核定優先執行。
(呂林小鳳議員)</t>
    <phoneticPr fontId="12" type="noConversion"/>
  </si>
  <si>
    <t>(112.5.18)</t>
    <phoneticPr fontId="12" type="noConversion"/>
  </si>
  <si>
    <t>平鎮</t>
  </si>
  <si>
    <t>龍平路忠貞路口瓶頸工程</t>
    <phoneticPr fontId="12" type="noConversion"/>
  </si>
  <si>
    <t>忠貞路、龍平路瓶頸處</t>
    <phoneticPr fontId="12" type="noConversion"/>
  </si>
  <si>
    <t>核定優先執行。
(魯明哲立法委員、呂玉玲立法委員、陳萬得議員)</t>
    <phoneticPr fontId="12" type="noConversion"/>
  </si>
  <si>
    <t>(111.8.29)</t>
    <phoneticPr fontId="12" type="noConversion"/>
  </si>
  <si>
    <t>魯明哲、呂玉玲、陳萬得</t>
    <phoneticPr fontId="2" type="noConversion"/>
  </si>
  <si>
    <t>龍潭</t>
  </si>
  <si>
    <t>龍平路(龍平路1107巷至自由街)道路拓寬工程</t>
    <phoneticPr fontId="12" type="noConversion"/>
  </si>
  <si>
    <t>保留執行
(110.5.18)</t>
    <phoneticPr fontId="12" type="noConversion"/>
  </si>
  <si>
    <t>考量拆遷問題以及6米至8米效益較低，採滾動式檢討評估。
(徐玉樹議員)</t>
    <phoneticPr fontId="12" type="noConversion"/>
  </si>
  <si>
    <t>徐玉樹</t>
    <phoneticPr fontId="2" type="noConversion"/>
  </si>
  <si>
    <t>中壢</t>
  </si>
  <si>
    <t>龍東路455巷道路拓寬工程</t>
    <phoneticPr fontId="12" type="noConversion"/>
  </si>
  <si>
    <t>龍東路455巷235弄</t>
    <phoneticPr fontId="12" type="noConversion"/>
  </si>
  <si>
    <t>土地無償再執行
(110.5.18)</t>
  </si>
  <si>
    <t>列次優先案，協商南亞技術學院以無償提供土地使用後，再由本府辦理道路拓寬及學校圍牆改建。
(謝美英議員)</t>
    <phoneticPr fontId="12" type="noConversion"/>
  </si>
  <si>
    <t>謝美英</t>
    <phoneticPr fontId="2" type="noConversion"/>
  </si>
  <si>
    <t>龍川三街(龍昌路226巷底至216巷)</t>
    <phoneticPr fontId="12" type="noConversion"/>
  </si>
  <si>
    <t>無</t>
  </si>
  <si>
    <t>核定優先執行。
(邱奕勝議長、彭俊豪議員、劉安琪議員)</t>
    <phoneticPr fontId="12" type="noConversion"/>
  </si>
  <si>
    <t>邱奕勝、彭俊豪、劉安琪</t>
    <phoneticPr fontId="2" type="noConversion"/>
  </si>
  <si>
    <t>龍昌路(龍門街至龍東13街)道路拓寬工程</t>
    <phoneticPr fontId="12" type="noConversion"/>
  </si>
  <si>
    <t>龍東13街</t>
    <phoneticPr fontId="12" type="noConversion"/>
  </si>
  <si>
    <t>6~15</t>
  </si>
  <si>
    <t>本案不影響周邊道路通行，視市府財源採滾動式檢討評估。
(吳嘉和議員、彭俊豪議員)</t>
    <phoneticPr fontId="12" type="noConversion"/>
  </si>
  <si>
    <t>楊梅</t>
  </si>
  <si>
    <t>環南路75巷打通</t>
    <phoneticPr fontId="12" type="noConversion"/>
  </si>
  <si>
    <t>建商開發時一併處理
(110.5.18)</t>
  </si>
  <si>
    <t>函請建管處要求建商於該路段範圍旁基地開發時，將其一併開闢為道路使用。
(鄭淑方議員、周玉琴議員)</t>
    <phoneticPr fontId="12" type="noConversion"/>
  </si>
  <si>
    <t>鄭淑方、周玉琴</t>
    <phoneticPr fontId="2" type="noConversion"/>
  </si>
  <si>
    <t>裕成路瓶頸打通工程</t>
    <phoneticPr fontId="12" type="noConversion"/>
  </si>
  <si>
    <t>國道一號下涵洞往北側約120公尺</t>
    <phoneticPr fontId="12" type="noConversion"/>
  </si>
  <si>
    <t>核定優先執行。
(周玉琴議員)</t>
    <phoneticPr fontId="12" type="noConversion"/>
  </si>
  <si>
    <t>大園</t>
  </si>
  <si>
    <t>五青路</t>
  </si>
  <si>
    <t>五青橋頭</t>
    <phoneticPr fontId="12" type="noConversion"/>
  </si>
  <si>
    <t>中正東路二段</t>
    <phoneticPr fontId="12" type="noConversion"/>
  </si>
  <si>
    <t>1.方案二瓶頸處優先改善執行。
2.另可評估規劃串聯青埔至大竹之聯絡幹道。
(游吾和議員、徐其萬議員)</t>
    <phoneticPr fontId="12" type="noConversion"/>
  </si>
  <si>
    <t>游吾和、徐其萬</t>
    <phoneticPr fontId="2" type="noConversion"/>
  </si>
  <si>
    <t>五青路及五福路口拓寬</t>
  </si>
  <si>
    <t>五福路</t>
    <phoneticPr fontId="12" type="noConversion"/>
  </si>
  <si>
    <t>平東路239巷94弄瓶頸打通</t>
  </si>
  <si>
    <t>平東路239巷94弄</t>
    <phoneticPr fontId="12" type="noConversion"/>
  </si>
  <si>
    <t>華安街</t>
    <phoneticPr fontId="12" type="noConversion"/>
  </si>
  <si>
    <t>本案不影響周邊道路通行，視市府財源採滾動式檢討評估。
(舒翠玲議員、劉仁照議員)</t>
    <phoneticPr fontId="12" type="noConversion"/>
  </si>
  <si>
    <t>舒翠玲、劉仁照</t>
    <phoneticPr fontId="2" type="noConversion"/>
  </si>
  <si>
    <t>平東路239巷120弄</t>
    <phoneticPr fontId="12" type="noConversion"/>
  </si>
  <si>
    <t>梅龍三街道路拓寬</t>
    <phoneticPr fontId="12" type="noConversion"/>
  </si>
  <si>
    <t>梅龍三街116巷</t>
    <phoneticPr fontId="12" type="noConversion"/>
  </si>
  <si>
    <t>至梅龍路</t>
  </si>
  <si>
    <t>優先執行，為爭取新竹科管局補助計畫(僅全額補助工程費)，用地取得、規劃作業盡速辦理。
(鄭淑方議員)</t>
    <phoneticPr fontId="12" type="noConversion"/>
  </si>
  <si>
    <t>鄭淑方</t>
  </si>
  <si>
    <t>月桃路一段381巷道路拓寬</t>
    <phoneticPr fontId="12" type="noConversion"/>
  </si>
  <si>
    <t>月桃路一段</t>
    <phoneticPr fontId="12" type="noConversion"/>
  </si>
  <si>
    <t>大莊路725巷</t>
    <phoneticPr fontId="12" type="noConversion"/>
  </si>
  <si>
    <t>先定線
(110.5.18)</t>
  </si>
  <si>
    <t>先行辦理定線，變更編定程序，俟月桃路一段(二期)拓寬完成後再行評估。</t>
    <phoneticPr fontId="12" type="noConversion"/>
  </si>
  <si>
    <t>(112.9.17)</t>
    <phoneticPr fontId="2" type="noConversion"/>
  </si>
  <si>
    <t>高新街道路拓寬工程</t>
    <phoneticPr fontId="12" type="noConversion"/>
  </si>
  <si>
    <t>梅高路二段</t>
    <phoneticPr fontId="12" type="noConversion"/>
  </si>
  <si>
    <t>鵬程萬里社區前</t>
    <phoneticPr fontId="12" type="noConversion"/>
  </si>
  <si>
    <t>協調土地所有權人以無償提供土地使用後，再辦理道路拓寬。
(周玉琴議員)</t>
    <phoneticPr fontId="12" type="noConversion"/>
  </si>
  <si>
    <t>龜山</t>
  </si>
  <si>
    <t>振興路23巷道路拓寬</t>
    <phoneticPr fontId="12" type="noConversion"/>
  </si>
  <si>
    <t>有辦法跨區容移再執行
(110.5.18)</t>
  </si>
  <si>
    <t>以跨區容移方式辦理土地取得後，再行辦理道路拓寬。
(林正峰議員、陳雅倫議員)</t>
    <phoneticPr fontId="12" type="noConversion"/>
  </si>
  <si>
    <t>林正峰、陳雅倫</t>
    <phoneticPr fontId="2" type="noConversion"/>
  </si>
  <si>
    <t>桃園</t>
  </si>
  <si>
    <t>國際路延伸至南平路</t>
    <phoneticPr fontId="12" type="noConversion"/>
  </si>
  <si>
    <t>國際路二段起，往北方穿越中埔國小，銜接</t>
    <phoneticPr fontId="12" type="noConversion"/>
  </si>
  <si>
    <t>先行辦理「中埔國小校舍擴大案」後再行評估本案延伸作業。
(黃景熙議員、陳美梅議員)</t>
    <phoneticPr fontId="12" type="noConversion"/>
  </si>
  <si>
    <t>觀音</t>
  </si>
  <si>
    <t>玉林路一段拓寬工程</t>
    <phoneticPr fontId="12" type="noConversion"/>
  </si>
  <si>
    <t>桃科六路</t>
    <phoneticPr fontId="12" type="noConversion"/>
  </si>
  <si>
    <t>桃科十二路</t>
    <phoneticPr fontId="12" type="noConversion"/>
  </si>
  <si>
    <t>?</t>
  </si>
  <si>
    <t>取得補助後再執行
(110.5.18)</t>
  </si>
  <si>
    <t>經費較龐大，爭取中央專案經費補助後，再行辦理。
(郭蔡美英議員)</t>
    <phoneticPr fontId="12" type="noConversion"/>
  </si>
  <si>
    <t>郭蔡美英</t>
    <phoneticPr fontId="2" type="noConversion"/>
  </si>
  <si>
    <t>塔腳路及塔腳一路</t>
  </si>
  <si>
    <t>先行完成定線作業後再評估。
(規設科定線後專簽續辦用地取得111/10/18)
(邱奕勝議長)</t>
    <phoneticPr fontId="12" type="noConversion"/>
  </si>
  <si>
    <t>航空城對外聯絡道路(溪海花卉園區) –田溪路拓寬工程</t>
    <phoneticPr fontId="12" type="noConversion"/>
  </si>
  <si>
    <t>海峰大橋</t>
    <phoneticPr fontId="12" type="noConversion"/>
  </si>
  <si>
    <t>第二期(華興路二段至聖德北路)先行辦理定線作業，並以爭取中央補助方式辦理。</t>
    <phoneticPr fontId="12" type="noConversion"/>
  </si>
  <si>
    <t>聖德北路</t>
    <phoneticPr fontId="12" type="noConversion"/>
  </si>
  <si>
    <t>和平西路二段</t>
    <phoneticPr fontId="12" type="noConversion"/>
  </si>
  <si>
    <t>大溪</t>
  </si>
  <si>
    <t>信義路983巷打通至三峽區弘道路</t>
    <phoneticPr fontId="12" type="noConversion"/>
  </si>
  <si>
    <t>考量開闢效益較低，視市府財源採滾動式檢討評估。
(趙正宇立委、陳治文議員)</t>
    <phoneticPr fontId="12" type="noConversion"/>
  </si>
  <si>
    <t>趙正宇、陳治文</t>
    <phoneticPr fontId="2" type="noConversion"/>
  </si>
  <si>
    <t>高城八街瓶頸打通</t>
    <phoneticPr fontId="12" type="noConversion"/>
  </si>
  <si>
    <t>高城八街</t>
    <phoneticPr fontId="12" type="noConversion"/>
  </si>
  <si>
    <t>永興街125巷</t>
    <phoneticPr fontId="12" type="noConversion"/>
  </si>
  <si>
    <t>0</t>
  </si>
  <si>
    <t>8</t>
  </si>
  <si>
    <t>本府辦理土地取得流程作業，並協調由建商負擔開闢費用(捐贈法源未定、暫緩)</t>
    <phoneticPr fontId="2" type="noConversion"/>
  </si>
  <si>
    <t>區公所自辦
(107.6.28)</t>
    <phoneticPr fontId="12" type="noConversion"/>
  </si>
  <si>
    <t>中壢區龍東路445巷道路拓寬工程</t>
  </si>
  <si>
    <t>暫緩辦理
(111.1.19)</t>
    <phoneticPr fontId="12" type="noConversion"/>
  </si>
  <si>
    <t>考量由 6 公尺拓寬至 8 公尺效益較低，暫緩辦理。
(謝美英議員)</t>
    <phoneticPr fontId="12" type="noConversion"/>
  </si>
  <si>
    <t>八德區中華路5巷道路瓶頸打通工程</t>
  </si>
  <si>
    <t>中華路5巷</t>
    <phoneticPr fontId="12" type="noConversion"/>
  </si>
  <si>
    <t>中華路31巷</t>
    <phoneticPr fontId="12" type="noConversion"/>
  </si>
  <si>
    <t>核定執行
(111.1.19)</t>
    <phoneticPr fontId="12" type="noConversion"/>
  </si>
  <si>
    <t>皆為公有土地，又工程費用低，優先執行。
(呂林小鳳議員)</t>
    <phoneticPr fontId="12" type="noConversion"/>
  </si>
  <si>
    <t>(112.2.16)</t>
    <phoneticPr fontId="12" type="noConversion"/>
  </si>
  <si>
    <t>呂林小鳳</t>
    <phoneticPr fontId="2" type="noConversion"/>
  </si>
  <si>
    <t>廣福路879巷口瓶頸打通工程</t>
  </si>
  <si>
    <t>廣福路</t>
    <phoneticPr fontId="12" type="noConversion"/>
  </si>
  <si>
    <t>廣福路879巷轉角處</t>
    <phoneticPr fontId="12" type="noConversion"/>
  </si>
  <si>
    <t>周邊工廠多拓寬可增加行車安全，優先執行。
(呂林小鳳議員)</t>
    <phoneticPr fontId="12" type="noConversion"/>
  </si>
  <si>
    <t xml:space="preserve">楊梅區中正路228巷瓶頸打通工程 </t>
  </si>
  <si>
    <t>中正路228巷</t>
    <phoneticPr fontId="12" type="noConversion"/>
  </si>
  <si>
    <t>本案可分流富聯路車流，優先執行，拓寬時需配合前段評估交通改善方式。
(湯蕙禎立委)</t>
    <phoneticPr fontId="12" type="noConversion"/>
  </si>
  <si>
    <t>(112.6.30)</t>
    <phoneticPr fontId="12" type="noConversion"/>
  </si>
  <si>
    <t>甡甡路秀才路口瓶頸打通</t>
    <phoneticPr fontId="2" type="noConversion"/>
  </si>
  <si>
    <t>甡甡路8號</t>
    <phoneticPr fontId="12" type="noConversion"/>
  </si>
  <si>
    <t>屬瓶頸路口打通用地又為公有地，優先執行。 111/1/12簽准N案(1120010328)
(劉熒隆議員)</t>
    <phoneticPr fontId="12" type="noConversion"/>
  </si>
  <si>
    <t>劉熒隆</t>
    <phoneticPr fontId="2" type="noConversion"/>
  </si>
  <si>
    <t>永美路445巷96弄瓶頸打通工程</t>
  </si>
  <si>
    <t>請工務局盡量壓低用地費用，優先執行。
(鄭淑方議員)</t>
    <phoneticPr fontId="12" type="noConversion"/>
  </si>
  <si>
    <t>(112.5.17)</t>
    <phoneticPr fontId="12" type="noConversion"/>
  </si>
  <si>
    <t>鄭淑方</t>
    <phoneticPr fontId="2" type="noConversion"/>
  </si>
  <si>
    <t>龜山區民生北路一段40巷瓶頸改善工程</t>
  </si>
  <si>
    <t>民生北路一段38-1號</t>
    <phoneticPr fontId="12" type="noConversion"/>
  </si>
  <si>
    <t>執行預算較低，優先執行。
地主不同意，納入N案。
(鄭運鵬立委)</t>
    <phoneticPr fontId="12" type="noConversion"/>
  </si>
  <si>
    <t>鄭運鵬</t>
    <phoneticPr fontId="2" type="noConversion"/>
  </si>
  <si>
    <t xml:space="preserve">龍潭區武中路道路瓶頸改善工程 </t>
    <phoneticPr fontId="2" type="noConversion"/>
  </si>
  <si>
    <t>中興路392巷</t>
    <phoneticPr fontId="12" type="noConversion"/>
  </si>
  <si>
    <t>武中路56號</t>
    <phoneticPr fontId="12" type="noConversion"/>
  </si>
  <si>
    <t>避免拆遷方式拓寬，以提升社區出入通行之交通水準，優先執行。
(劉熒隆議員)</t>
    <phoneticPr fontId="12" type="noConversion"/>
  </si>
  <si>
    <t xml:space="preserve">龍潭區龍平路道路瓶頸改善工程 </t>
  </si>
  <si>
    <t>暫緩辦理
(111.1.19)</t>
  </si>
  <si>
    <t>非計畫道路房屋拆遷有難度，效益較低，暫緩辦理。 
(徐玉樹議員)</t>
    <phoneticPr fontId="12" type="noConversion"/>
  </si>
  <si>
    <t>蘆竹</t>
  </si>
  <si>
    <t>蘆竹區西康路路口瓶頸改善工程(第二期)</t>
    <phoneticPr fontId="12" type="noConversion"/>
  </si>
  <si>
    <t>10、6</t>
  </si>
  <si>
    <t>打通後道路較有一致性，優先執行。
(里長)</t>
    <phoneticPr fontId="12" type="noConversion"/>
  </si>
  <si>
    <t>(112.11.16)</t>
    <phoneticPr fontId="2" type="noConversion"/>
  </si>
  <si>
    <t>蘆竹區油管路二段截彎取直工程</t>
  </si>
  <si>
    <t>油管路二段</t>
    <phoneticPr fontId="12" type="noConversion"/>
  </si>
  <si>
    <t>大有街24巷</t>
    <phoneticPr fontId="12" type="noConversion"/>
  </si>
  <si>
    <t>雙丁字路口改善能交通安全問題，優先執行。
(劉勝全議員)</t>
    <phoneticPr fontId="12" type="noConversion"/>
  </si>
  <si>
    <t>(111.11.11)</t>
    <phoneticPr fontId="12" type="noConversion"/>
  </si>
  <si>
    <t>平鎮區金陵路三段273巷瓶頸改善工程(營德路打通)</t>
  </si>
  <si>
    <t>金陵路三段</t>
    <phoneticPr fontId="12" type="noConversion"/>
  </si>
  <si>
    <t>金陵路三段273巷</t>
    <phoneticPr fontId="12" type="noConversion"/>
  </si>
  <si>
    <t>請平鎮區公所先行鑑界公有地及拆遷範圍，再評估是否拓寬，保留執行。
(舒翠玲議員、黃敬平議員)</t>
    <phoneticPr fontId="12" type="noConversion"/>
  </si>
  <si>
    <t>舒翠玲、黃敬平</t>
    <phoneticPr fontId="2" type="noConversion"/>
  </si>
  <si>
    <t>觀音區金華路截彎取直工程</t>
  </si>
  <si>
    <t>金華路381巷旁</t>
    <phoneticPr fontId="12" type="noConversion"/>
  </si>
  <si>
    <t>車流量低，開闢必要性低，暫緩辦理。
(藍埔里長陳奕欽)</t>
    <phoneticPr fontId="12" type="noConversion"/>
  </si>
  <si>
    <t>藍埔里長陳奕欽</t>
    <phoneticPr fontId="2" type="noConversion"/>
  </si>
  <si>
    <t>大溪區仁和路二段375巷225弄瓶頸打通工程</t>
  </si>
  <si>
    <t>仁和路二段375巷225弄號</t>
    <phoneticPr fontId="12" type="noConversion"/>
  </si>
  <si>
    <t>仁和路二段517巷</t>
  </si>
  <si>
    <t>可改善社區交通，優先執行。
(李柏坊議員)</t>
    <phoneticPr fontId="12" type="noConversion"/>
  </si>
  <si>
    <t>龜山區長慶一街瓶頸打通工程</t>
  </si>
  <si>
    <t>長庚路</t>
    <phoneticPr fontId="12" type="noConversion"/>
  </si>
  <si>
    <t>長慶一街</t>
    <phoneticPr fontId="12" type="noConversion"/>
  </si>
  <si>
    <t>打通後可有效提升交通環境，先行辦理都市計畫變更後，優先執行。
(陳雅倫議員)</t>
    <phoneticPr fontId="12" type="noConversion"/>
  </si>
  <si>
    <t>陳雅倫</t>
    <phoneticPr fontId="2" type="noConversion"/>
  </si>
  <si>
    <t>龍潭區中豐路268巷瓶頸改善工程</t>
  </si>
  <si>
    <t>中豐路268巷9弄</t>
    <phoneticPr fontId="12" type="noConversion"/>
  </si>
  <si>
    <t>開闢費用低，可行性高，優先執行。
(徐玉樹議員)</t>
    <phoneticPr fontId="12" type="noConversion"/>
  </si>
  <si>
    <t>(112.7.5)</t>
    <phoneticPr fontId="12" type="noConversion"/>
  </si>
  <si>
    <t>大園區和平西路一段278巷瓶頸改善工程</t>
  </si>
  <si>
    <t>和平西路一段延伸</t>
    <phoneticPr fontId="12" type="noConversion"/>
  </si>
  <si>
    <t>較無開闢效益，暫緩辦理。
(游吾和議員)</t>
    <phoneticPr fontId="12" type="noConversion"/>
  </si>
  <si>
    <t>蘆竹區大竹二街55巷瓶頸打通工程</t>
  </si>
  <si>
    <t>大福路</t>
    <phoneticPr fontId="12" type="noConversion"/>
  </si>
  <si>
    <t>大竹二街55巷</t>
    <phoneticPr fontId="12" type="noConversion"/>
  </si>
  <si>
    <t>不影響周邊社區通行，較無急迫性，暫緩辦理。
(劉勝全議員)</t>
    <phoneticPr fontId="12" type="noConversion"/>
  </si>
  <si>
    <t>榮民南路往台貿一街、台貿二街瓶頸打通工程</t>
  </si>
  <si>
    <t>台貿一、二街路口處</t>
    <phoneticPr fontId="12" type="noConversion"/>
  </si>
  <si>
    <t>優先執行台貿一街拓寬作業，倘不可行再辦理台貿二街。
(邱奕勝議長、吳嘉和議員)</t>
    <phoneticPr fontId="12" type="noConversion"/>
  </si>
  <si>
    <t>邱奕勝、吳嘉和</t>
    <phoneticPr fontId="2" type="noConversion"/>
  </si>
  <si>
    <t>頂興路83巷與中興自辦重劃區銜接</t>
  </si>
  <si>
    <t>頂興路83巷</t>
    <phoneticPr fontId="12" type="noConversion"/>
  </si>
  <si>
    <t>中興自辦重劃區</t>
    <phoneticPr fontId="12" type="noConversion"/>
  </si>
  <si>
    <t>0~6</t>
  </si>
  <si>
    <t>俟中興自辦重劃完成後再研議是否開闢，保留執行。
(林俐玲議員)</t>
    <phoneticPr fontId="12" type="noConversion"/>
  </si>
  <si>
    <t>林俐玲</t>
    <phoneticPr fontId="2" type="noConversion"/>
  </si>
  <si>
    <t>介壽路二段67號旁計畫道路打通工程(計畫道路新闢)</t>
    <phoneticPr fontId="2" type="noConversion"/>
  </si>
  <si>
    <t>納入 G04 聯開附帶條件併入開發，請捷工局找相關單位召開專案會議討論，保留執行。
(呂林小鳳議員、蔡永芳議員)</t>
    <phoneticPr fontId="12" type="noConversion"/>
  </si>
  <si>
    <t>呂林小鳳、蔡永芳</t>
    <phoneticPr fontId="2" type="noConversion"/>
  </si>
  <si>
    <t>介壽路二段67號旁計畫道路打通工程(人行步道新闢)</t>
  </si>
  <si>
    <t>介壽路二段67號旁計畫道路打通工程(介壽路二段133巷拓寬)</t>
  </si>
  <si>
    <t>介壽路二段</t>
    <phoneticPr fontId="12" type="noConversion"/>
  </si>
  <si>
    <t>介壽路二段133巷</t>
    <phoneticPr fontId="12" type="noConversion"/>
  </si>
  <si>
    <t>民有十街拓寬(方案一)</t>
  </si>
  <si>
    <t>民富十三街</t>
    <phoneticPr fontId="12" type="noConversion"/>
  </si>
  <si>
    <t>民有東路</t>
    <phoneticPr fontId="12" type="noConversion"/>
  </si>
  <si>
    <t>方案二優先執行，另請工務局找相關單位召開專案會議討論周邊交通改善方式及停車需求。
(簡智翔議員、黃家齊議員)</t>
    <phoneticPr fontId="12" type="noConversion"/>
  </si>
  <si>
    <t>簡智翔、黃家齊</t>
    <phoneticPr fontId="2" type="noConversion"/>
  </si>
  <si>
    <t>民有十街瓶頸打通(方案二)</t>
  </si>
  <si>
    <t>民有十街底</t>
    <phoneticPr fontId="12" type="noConversion"/>
  </si>
  <si>
    <t>德育路二段124巷對面</t>
  </si>
  <si>
    <t>德育路二段124巷</t>
    <phoneticPr fontId="12" type="noConversion"/>
  </si>
  <si>
    <t>振平街</t>
    <phoneticPr fontId="12" type="noConversion"/>
  </si>
  <si>
    <t>周邊已有其他道路可通行，不引響周邊社區出入通行，效益較低，暫緩辦理。
(楊家俍議員、劉仁照議員)</t>
    <phoneticPr fontId="12" type="noConversion"/>
  </si>
  <si>
    <t>楊家俍、劉仁照</t>
    <phoneticPr fontId="2" type="noConversion"/>
  </si>
  <si>
    <t>功學路道路拓寬</t>
  </si>
  <si>
    <t>功學路75巷</t>
    <phoneticPr fontId="12" type="noConversion"/>
  </si>
  <si>
    <t>功學路168巷</t>
    <phoneticPr fontId="12" type="noConversion"/>
  </si>
  <si>
    <t>現況已有路且交通量不大，由 5 公尺拓寬至 8 公尺效益較低，暫緩辦理。
(游吾和議員)</t>
    <phoneticPr fontId="12" type="noConversion"/>
  </si>
  <si>
    <t xml:space="preserve">中壢區龍昌路道路瓶頸改善工程 </t>
  </si>
  <si>
    <t>龍東路255巷</t>
    <phoneticPr fontId="12" type="noConversion"/>
  </si>
  <si>
    <t>倘地主願以 1.2 被協議價購再開，請再與地主協商，保留執行。
(吳嘉和議員、彭俊豪議員)</t>
    <phoneticPr fontId="12" type="noConversion"/>
  </si>
  <si>
    <t>龍安五、六街拓寬工程</t>
    <phoneticPr fontId="12" type="noConversion"/>
  </si>
  <si>
    <t>龍興路經龍安六街</t>
    <phoneticPr fontId="12" type="noConversion"/>
  </si>
  <si>
    <t>10、8</t>
  </si>
  <si>
    <t>請中壢公所評估龍安五街至龍慈路公有地代管之可行性，保留執行。
(吳嘉和議員)</t>
    <phoneticPr fontId="12" type="noConversion"/>
  </si>
  <si>
    <t>吳嘉和</t>
    <phoneticPr fontId="2" type="noConversion"/>
  </si>
  <si>
    <t>中和南路打通</t>
  </si>
  <si>
    <t>萬壽路二段1199巷</t>
    <phoneticPr fontId="12" type="noConversion"/>
  </si>
  <si>
    <t>仁美路打通至中興路</t>
    <phoneticPr fontId="12" type="noConversion"/>
  </si>
  <si>
    <t>開發成本較高，視本府財源檢討評估，暫緩辦理。
(涂權吉議員、李家興議員)</t>
    <phoneticPr fontId="12" type="noConversion"/>
  </si>
  <si>
    <t>涂權吉、李家興</t>
    <phoneticPr fontId="2" type="noConversion"/>
  </si>
  <si>
    <t>平鎮區雙福路一段拓寬工程</t>
  </si>
  <si>
    <t>民族路雙連一段</t>
    <phoneticPr fontId="12" type="noConversion"/>
  </si>
  <si>
    <t>雙福路一段25號</t>
    <phoneticPr fontId="12" type="noConversion"/>
  </si>
  <si>
    <t>旨道路主要供物流公司通行，倘該公司有出資意願再行拓寬，保留執行。
(楊家俍議員、劉里長)</t>
    <phoneticPr fontId="12" type="noConversion"/>
  </si>
  <si>
    <t>楊家俍、劉里長</t>
    <phoneticPr fontId="2" type="noConversion"/>
  </si>
  <si>
    <t>桃園區上海路260號旁道路開闢工程</t>
  </si>
  <si>
    <t>上海路260號旁段</t>
    <phoneticPr fontId="12" type="noConversion"/>
  </si>
  <si>
    <t>路底</t>
    <phoneticPr fontId="12" type="noConversion"/>
  </si>
  <si>
    <t>現況路已開闢，無須辦理土地取得，應以幼兒園土地或公有地開闢水溝，請桃園公所改善排水問題，
優先執行。(陳美梅議員)</t>
    <phoneticPr fontId="12" type="noConversion"/>
  </si>
  <si>
    <t>(111.3.23)</t>
    <phoneticPr fontId="12" type="noConversion"/>
  </si>
  <si>
    <t>中正東路10巷拓寬</t>
  </si>
  <si>
    <t>和平二街(中山南路75巷)</t>
    <phoneticPr fontId="12" type="noConversion"/>
  </si>
  <si>
    <t>調查中</t>
  </si>
  <si>
    <t>較無開闢效益，暫緩辦理。
(徐其萬議員)</t>
    <phoneticPr fontId="12" type="noConversion"/>
  </si>
  <si>
    <t>新農街379巷45弄</t>
  </si>
  <si>
    <t>新農街379巷45弄</t>
    <phoneticPr fontId="12" type="noConversion"/>
  </si>
  <si>
    <t>13弄</t>
    <phoneticPr fontId="12" type="noConversion"/>
  </si>
  <si>
    <t>不影響周邊社區通行，較無急迫性，暫緩辦理。
(周玉琴議員)</t>
    <phoneticPr fontId="12" type="noConversion"/>
  </si>
  <si>
    <t>蘆竹區上興路道路開闢工程</t>
  </si>
  <si>
    <t>納入大竹擴大重劃時一併開闢，不列入開瓶計畫，暫緩辦理。
(郭麗華議員)</t>
    <phoneticPr fontId="12" type="noConversion"/>
  </si>
  <si>
    <t>廣玉路(桃39)道路拓寬</t>
  </si>
  <si>
    <t>台15線</t>
    <phoneticPr fontId="12" type="noConversion"/>
  </si>
  <si>
    <t>玉林路一段</t>
    <phoneticPr fontId="12" type="noConversion"/>
  </si>
  <si>
    <t>納入大竹擴大重劃時一併開闢，不列入開瓶計畫，暫緩辦理。
(郭蔡美英議員)</t>
    <phoneticPr fontId="12" type="noConversion"/>
  </si>
  <si>
    <t>郭蔡美英</t>
  </si>
  <si>
    <t>榮和六街道路打通</t>
  </si>
  <si>
    <t>興仁路二段</t>
    <phoneticPr fontId="12" type="noConversion"/>
  </si>
  <si>
    <t>榮和六街</t>
    <phoneticPr fontId="12" type="noConversion"/>
  </si>
  <si>
    <t>開發成本較高，視本府財源檢討評估，暫緩辦理。
(劉安祺議員)</t>
    <phoneticPr fontId="12" type="noConversion"/>
  </si>
  <si>
    <t>劉安祺</t>
    <phoneticPr fontId="2" type="noConversion"/>
  </si>
  <si>
    <t>專簽</t>
  </si>
  <si>
    <t>桃園區春日路1528巷道路瓶頸改善工程</t>
  </si>
  <si>
    <t>續辦理用地取得及後續工程事宜。
(鄭運鵬立委、劉仁照議員)</t>
    <phoneticPr fontId="12" type="noConversion"/>
  </si>
  <si>
    <t>工務局專簽
(112.2.24)</t>
    <phoneticPr fontId="12" type="noConversion"/>
  </si>
  <si>
    <t>鄭運鵬、劉仁照</t>
    <phoneticPr fontId="2" type="noConversion"/>
  </si>
  <si>
    <t>龍潭區南坑路1075巷瓶頸打通</t>
  </si>
  <si>
    <t>續辦理用地取得及後續工程事宜。
(林昭賢議員)</t>
    <phoneticPr fontId="12" type="noConversion"/>
  </si>
  <si>
    <t>林昭賢</t>
  </si>
  <si>
    <t>平鎮區龍南路654巷道路瓶頸改善工程</t>
  </si>
  <si>
    <t>續辦理用地取得及後續工程事宜。
(黃敬平議員)</t>
    <phoneticPr fontId="12" type="noConversion"/>
  </si>
  <si>
    <t>(111.8.30)</t>
    <phoneticPr fontId="12" type="noConversion"/>
  </si>
  <si>
    <t>平鎮區忠孝路瓶頸改善工程</t>
  </si>
  <si>
    <t>現階段已可通行，開闢效益較低，倘周邊有公共建設再行研議開闢，暫緩辦理。
(舒翠玲議員)</t>
    <phoneticPr fontId="12" type="noConversion"/>
  </si>
  <si>
    <t>大園區北園段社會宅籌備基地聯外道路打通</t>
  </si>
  <si>
    <t>續由工務局續辦理用地取得，土地取得後由交通局開闢道路及停車場。
(財政局)</t>
    <phoneticPr fontId="12" type="noConversion"/>
  </si>
  <si>
    <t>財政局</t>
  </si>
  <si>
    <t>平鎮區忠孝路194巷至育達路106巷瓶頸打通</t>
  </si>
  <si>
    <t>廣福路879巷192弄打通至永豐南路31巷</t>
    <phoneticPr fontId="12" type="noConversion"/>
  </si>
  <si>
    <t>(呂林小鳳議員)</t>
    <phoneticPr fontId="12" type="noConversion"/>
  </si>
  <si>
    <t>仁和路二段246巷(仁和路二段232號至仁和路二段246巷)</t>
  </si>
  <si>
    <t>(李柏坊議員)</t>
    <phoneticPr fontId="12" type="noConversion"/>
  </si>
  <si>
    <t>中華南路二段430巷瓶頸道路拓寬</t>
  </si>
  <si>
    <t>(鄭淑方議員)</t>
    <phoneticPr fontId="12" type="noConversion"/>
  </si>
  <si>
    <t>永平路</t>
  </si>
  <si>
    <t>德湖街拓寬</t>
  </si>
  <si>
    <t>(本府顧問張肇良、湯蕙禎立委)</t>
    <phoneticPr fontId="12" type="noConversion"/>
  </si>
  <si>
    <t>張肇良、湯蕙禎</t>
    <phoneticPr fontId="2" type="noConversion"/>
  </si>
  <si>
    <t>民生北路一段54巷底打通連接原桃林鐵路</t>
  </si>
  <si>
    <t>南崁路二段297巷水利溝加蓋</t>
  </si>
  <si>
    <t>(郭麗華議員)</t>
    <phoneticPr fontId="12" type="noConversion"/>
  </si>
  <si>
    <t>桃大路瓶頸打通</t>
  </si>
  <si>
    <t>(吳宗憲議員)</t>
    <phoneticPr fontId="12" type="noConversion"/>
  </si>
  <si>
    <t>吳宗憲</t>
  </si>
  <si>
    <t>海山路、油管路口</t>
  </si>
  <si>
    <t>(張桂棉議員)</t>
    <phoneticPr fontId="12" type="noConversion"/>
  </si>
  <si>
    <t>張桂棉</t>
  </si>
  <si>
    <t>十一分路與中正路佳安路段路口道路瓶頸</t>
  </si>
  <si>
    <t>(林昭賢議員)</t>
    <phoneticPr fontId="12" type="noConversion"/>
  </si>
  <si>
    <t>龍清街瓶頸打通</t>
  </si>
  <si>
    <t>(吳嘉和議員)</t>
    <phoneticPr fontId="12" type="noConversion"/>
  </si>
  <si>
    <t>吳嘉和</t>
  </si>
  <si>
    <t>大古路拓寛</t>
  </si>
  <si>
    <t>1,164,360(無償使用)</t>
  </si>
  <si>
    <t>松仁路連接至雙塘路(同111松仁路瓶頸打通工程)</t>
  </si>
  <si>
    <t>暫緩辦理
(111.6.27)</t>
    <phoneticPr fontId="12" type="noConversion"/>
  </si>
  <si>
    <t>(徐景文議員)</t>
    <phoneticPr fontId="12" type="noConversion"/>
  </si>
  <si>
    <t>徐景文</t>
    <phoneticPr fontId="2" type="noConversion"/>
  </si>
  <si>
    <t>外社家畜市場道路拓寬</t>
  </si>
  <si>
    <t>桃科十路拓寬</t>
  </si>
  <si>
    <t>龍福路與龍德路口瓶頸道路拓寬</t>
  </si>
  <si>
    <t>(舒翠玲議員)</t>
    <phoneticPr fontId="12" type="noConversion"/>
  </si>
  <si>
    <t>富榮街拓寬</t>
  </si>
  <si>
    <t>(蔡永芳議員)</t>
    <phoneticPr fontId="12" type="noConversion"/>
  </si>
  <si>
    <t>廣福路879巷瓶頸打通</t>
  </si>
  <si>
    <t>忠愛莊營區旁小路拓寬</t>
  </si>
  <si>
    <t>金城街</t>
  </si>
  <si>
    <t>介壽路一段364巷瓶頸</t>
  </si>
  <si>
    <t>(大正里長郭明法)</t>
    <phoneticPr fontId="12" type="noConversion"/>
  </si>
  <si>
    <t>大正里長郭明法</t>
    <phoneticPr fontId="2" type="noConversion"/>
  </si>
  <si>
    <t>新農街318巷至金山街路瓶頸打通</t>
  </si>
  <si>
    <t>(周玉琴議員)</t>
    <phoneticPr fontId="12" type="noConversion"/>
  </si>
  <si>
    <t>大福街9巷瓶頸打通</t>
  </si>
  <si>
    <t>(段樹文議員)</t>
    <phoneticPr fontId="12" type="noConversion"/>
  </si>
  <si>
    <t>段樹文</t>
  </si>
  <si>
    <t>中壢區華安二路</t>
  </si>
  <si>
    <t>(邱奕勝議長、劉安祺議員)</t>
    <phoneticPr fontId="12" type="noConversion"/>
  </si>
  <si>
    <t>邱奕勝、劉安祺</t>
    <phoneticPr fontId="2" type="noConversion"/>
  </si>
  <si>
    <t>中正路632巷(富聯路238號 )</t>
  </si>
  <si>
    <t>興平路拓寬(興平路60號前)</t>
  </si>
  <si>
    <t>(邱奕勝議長、水尾里辦公處)</t>
    <phoneticPr fontId="12" type="noConversion"/>
  </si>
  <si>
    <t>邱奕勝、水尾里辦公處</t>
    <phoneticPr fontId="2" type="noConversion"/>
  </si>
  <si>
    <t>介壽路一段86巷拓寬</t>
  </si>
  <si>
    <t>(呂淑真議員)</t>
    <phoneticPr fontId="12" type="noConversion"/>
  </si>
  <si>
    <t>龍和三街(龍慈路635巷至龍川街)</t>
  </si>
  <si>
    <t>(彭俊豪議員)</t>
    <phoneticPr fontId="12" type="noConversion"/>
  </si>
  <si>
    <t>龍和三街(後寮二路至龍川四街)</t>
  </si>
  <si>
    <t>八德區忠勇街瓶頸改善工程</t>
  </si>
  <si>
    <t>段樹文</t>
    <phoneticPr fontId="2" type="noConversion"/>
  </si>
  <si>
    <t>向善街道路拓寬</t>
  </si>
  <si>
    <t>(黃婉如議員)</t>
    <phoneticPr fontId="12" type="noConversion"/>
  </si>
  <si>
    <t>新屋</t>
  </si>
  <si>
    <t>112/3/1規設申請內政部營建署[生活圈道路系統建設計畫(市區道路)提案計畫]補助
(邱佳亮議員)</t>
    <phoneticPr fontId="12" type="noConversion"/>
  </si>
  <si>
    <t>培英路拓寬</t>
  </si>
  <si>
    <t>楓樹七街一般道路開闢</t>
    <phoneticPr fontId="12" type="noConversion"/>
  </si>
  <si>
    <t>(林俐玲議員、陳雅倫議員)</t>
    <phoneticPr fontId="12" type="noConversion"/>
  </si>
  <si>
    <t>林俐玲、陳雅倫</t>
    <phoneticPr fontId="2" type="noConversion"/>
  </si>
  <si>
    <t>楓樹七街一般道路開闢(部分)</t>
  </si>
  <si>
    <t>聖亭路八德段408巷</t>
  </si>
  <si>
    <t>湳窩路截彎取直</t>
  </si>
  <si>
    <t>(民眾)</t>
    <phoneticPr fontId="12" type="noConversion"/>
  </si>
  <si>
    <t>民眾</t>
  </si>
  <si>
    <t>楊銅路二段562巷</t>
  </si>
  <si>
    <t>楊梅區桃71線</t>
  </si>
  <si>
    <t>中興路拓寬</t>
  </si>
  <si>
    <t>(白玉里長黃謀境)</t>
    <phoneticPr fontId="12" type="noConversion"/>
  </si>
  <si>
    <t>白玉里長黃謀境</t>
    <phoneticPr fontId="2" type="noConversion"/>
  </si>
  <si>
    <t>湧光路</t>
  </si>
  <si>
    <t>新龍路</t>
  </si>
  <si>
    <t>中山北路1段12巷4弄道路拓寬</t>
  </si>
  <si>
    <t>(中山里辦公處)</t>
    <phoneticPr fontId="12" type="noConversion"/>
  </si>
  <si>
    <t>中山里辦公處</t>
    <phoneticPr fontId="2" type="noConversion"/>
  </si>
  <si>
    <t>武漢路拓寬</t>
  </si>
  <si>
    <t>(徐玉樹議員)</t>
    <phoneticPr fontId="12" type="noConversion"/>
  </si>
  <si>
    <t>新屋區中山東路一段767巷旁替代道路</t>
  </si>
  <si>
    <t>(九斗里辦公處)</t>
    <phoneticPr fontId="12" type="noConversion"/>
  </si>
  <si>
    <t>九斗里辦公處</t>
    <phoneticPr fontId="2" type="noConversion"/>
  </si>
  <si>
    <t>南豐路93巷9弄</t>
  </si>
  <si>
    <t>(陳萬得議員)</t>
    <phoneticPr fontId="12" type="noConversion"/>
  </si>
  <si>
    <t>陳萬得</t>
    <phoneticPr fontId="2" type="noConversion"/>
  </si>
  <si>
    <t>正光路71巷</t>
  </si>
  <si>
    <t>(住宅發展處)</t>
    <phoneticPr fontId="12" type="noConversion"/>
  </si>
  <si>
    <t>(劉曾玉春議員)</t>
    <phoneticPr fontId="12" type="noConversion"/>
  </si>
  <si>
    <t>劉曾玉春</t>
    <phoneticPr fontId="2" type="noConversion"/>
  </si>
  <si>
    <t>龍平路道路延伸至東龍街</t>
  </si>
  <si>
    <t>(呂玉玲立法委員)</t>
    <phoneticPr fontId="12" type="noConversion"/>
  </si>
  <si>
    <t>呂玉玲</t>
    <phoneticPr fontId="2" type="noConversion"/>
  </si>
  <si>
    <t>民族路三段362巷</t>
  </si>
  <si>
    <t>龍興路至龍慈路計畫道路開闢工程</t>
  </si>
  <si>
    <t xml:space="preserve">(後寮里辦公處) </t>
    <phoneticPr fontId="12" type="noConversion"/>
  </si>
  <si>
    <t>後寮里辦公處</t>
    <phoneticPr fontId="2" type="noConversion"/>
  </si>
  <si>
    <t>拔子林三路周邊</t>
  </si>
  <si>
    <t>(徐其萬議員)</t>
    <phoneticPr fontId="12" type="noConversion"/>
  </si>
  <si>
    <t>大新路461巷</t>
  </si>
  <si>
    <t>(市長裁示綠地活化)</t>
    <phoneticPr fontId="12" type="noConversion"/>
  </si>
  <si>
    <t>經國路198巷</t>
  </si>
  <si>
    <t>(陳美梅議員)</t>
    <phoneticPr fontId="12" type="noConversion"/>
  </si>
  <si>
    <t>陳美梅</t>
    <phoneticPr fontId="2" type="noConversion"/>
  </si>
  <si>
    <t>新富路一段拓寬</t>
  </si>
  <si>
    <t>(里長)</t>
    <phoneticPr fontId="12" type="noConversion"/>
  </si>
  <si>
    <t>里長</t>
    <phoneticPr fontId="2" type="noConversion"/>
  </si>
  <si>
    <t>新生北路31巷至中山北路(人行道與計畫道路)</t>
  </si>
  <si>
    <t>平東路239巷85弄打通至華安街</t>
  </si>
  <si>
    <t>(舒翠玲議員、黃敬平議員)</t>
    <phoneticPr fontId="12" type="noConversion"/>
  </si>
  <si>
    <t>華美一路</t>
  </si>
  <si>
    <t>同慶路周邊道路開闢</t>
  </si>
  <si>
    <t>(邱奕勝議長、吳嘉和議員</t>
    <phoneticPr fontId="12" type="noConversion"/>
  </si>
  <si>
    <t>新光路</t>
  </si>
  <si>
    <t>好事多旁計畫道路開闢工程</t>
  </si>
  <si>
    <t>專報</t>
  </si>
  <si>
    <t>環東路150巷銜接至110巷道路拓寬工程(交通局專報)</t>
  </si>
  <si>
    <t>(李家興議員)</t>
    <phoneticPr fontId="12" type="noConversion"/>
  </si>
  <si>
    <t>茄苳路91巷瓶頸打通工程</t>
    <phoneticPr fontId="2" type="noConversion"/>
  </si>
  <si>
    <t>茄苳路91巷底</t>
    <phoneticPr fontId="12" type="noConversion"/>
  </si>
  <si>
    <t>國二橋下道路</t>
    <phoneticPr fontId="12" type="noConversion"/>
  </si>
  <si>
    <t>核定執行
(111.6.27)</t>
    <phoneticPr fontId="12" type="noConversion"/>
  </si>
  <si>
    <t>優先執行，倘用地取得有問題，則納入公設通檢執行。
(呂林小鳳議員)</t>
    <phoneticPr fontId="12" type="noConversion"/>
  </si>
  <si>
    <t>富榮街瓶頸改善工程</t>
  </si>
  <si>
    <t>富榮街4巷</t>
    <phoneticPr fontId="12" type="noConversion"/>
  </si>
  <si>
    <t>暫緩辦理
(111.6.27)</t>
  </si>
  <si>
    <t>已可雙向通行且要拆遷民房，暫緩辦理。
(蔡永芳議員)</t>
    <phoneticPr fontId="12" type="noConversion"/>
  </si>
  <si>
    <t>蔡永芳</t>
    <phoneticPr fontId="2" type="noConversion"/>
  </si>
  <si>
    <t>華安路(晉元路至華勛街163巷)</t>
  </si>
  <si>
    <t>晉元路</t>
    <phoneticPr fontId="12" type="noConversion"/>
  </si>
  <si>
    <t>至華安路</t>
    <phoneticPr fontId="12" type="noConversion"/>
  </si>
  <si>
    <t>保留執行
(111.6.27)</t>
    <phoneticPr fontId="12" type="noConversion"/>
  </si>
  <si>
    <t>僅單邊拓寬不合理且缺乏公平性，倘協調可雙邊拓寬再執行，保留執行。
(邱奕勝議長)</t>
    <phoneticPr fontId="12" type="noConversion"/>
  </si>
  <si>
    <t>龍東路445巷道路拓寬工程(龍昌路至龍東路445巷235弄)</t>
  </si>
  <si>
    <t>龍東路445巷235弄</t>
    <phoneticPr fontId="12" type="noConversion"/>
  </si>
  <si>
    <t>校方已同意以公告1.2倍協議價購，優先執行。(謝美英議員)
112/3/1規設申請內政部營建署111~116年度[生活圈道路系統建設計畫(市區道路)提案計畫]補助(申請工程費中)</t>
    <phoneticPr fontId="12" type="noConversion"/>
  </si>
  <si>
    <t>(112.9.18)</t>
    <phoneticPr fontId="2" type="noConversion"/>
  </si>
  <si>
    <t>華仁街78巷</t>
    <phoneticPr fontId="12" type="noConversion"/>
  </si>
  <si>
    <t>華勛街309巷35弄</t>
    <phoneticPr fontId="12" type="noConversion"/>
  </si>
  <si>
    <t>優先執行，並視本府預算執行，倘今年度預算不足，可明年度再啟動。
(邱奕勝議長、劉安祺議員、吳嘉和議員)</t>
    <phoneticPr fontId="12" type="noConversion"/>
  </si>
  <si>
    <t>邱奕勝、劉安祺、吳嘉和</t>
    <phoneticPr fontId="2" type="noConversion"/>
  </si>
  <si>
    <t>松仁路瓶頸打通工程</t>
  </si>
  <si>
    <t>松平路</t>
    <phoneticPr fontId="12" type="noConversion"/>
  </si>
  <si>
    <t>雙塘路</t>
    <phoneticPr fontId="12" type="noConversion"/>
  </si>
  <si>
    <t>現況已有道路，請中壢區公所與建商協調道路接管，不以開瓶計畫執行，暫緩辦理。
(徐景文議員)</t>
    <phoneticPr fontId="12" type="noConversion"/>
  </si>
  <si>
    <t>中壢區中大一路瓶頸打通工程</t>
    <phoneticPr fontId="12" type="noConversion"/>
  </si>
  <si>
    <t>中大一路82號前</t>
    <phoneticPr fontId="12" type="noConversion"/>
  </si>
  <si>
    <t>俟都市計畫變更通過後再行辦理，先辦理個案變更，保留執行。
(劉安祺議員、黃家齊議員)</t>
    <phoneticPr fontId="12" type="noConversion"/>
  </si>
  <si>
    <t>劉安祺、黃家齊</t>
    <phoneticPr fontId="2" type="noConversion"/>
  </si>
  <si>
    <t>中山東路三段429巷57弄瓶頸打通工程</t>
  </si>
  <si>
    <t>中山東路三段429巷</t>
    <phoneticPr fontId="12" type="noConversion"/>
  </si>
  <si>
    <t>331巷</t>
    <phoneticPr fontId="12" type="noConversion"/>
  </si>
  <si>
    <t>本案經費較高，且涉及較多拆遷戶，請另開專報討論，保留執行。
(謝美英議員)</t>
    <phoneticPr fontId="12" type="noConversion"/>
  </si>
  <si>
    <t>南安路60巷與南京路111巷道路瓶頸打通案</t>
  </si>
  <si>
    <t>南安路60巷</t>
    <phoneticPr fontId="12" type="noConversion"/>
  </si>
  <si>
    <t>南京路111巷</t>
    <phoneticPr fontId="12" type="noConversion"/>
  </si>
  <si>
    <t>地主有意願協議價購又為道路頸瓶優先執行。
(楊家俍議員)</t>
    <phoneticPr fontId="12" type="noConversion"/>
  </si>
  <si>
    <t>(111.10.20)</t>
    <phoneticPr fontId="12" type="noConversion"/>
  </si>
  <si>
    <t>龍安路至平東路瓶頸打通</t>
  </si>
  <si>
    <t>龍安路</t>
    <phoneticPr fontId="12" type="noConversion"/>
  </si>
  <si>
    <t>倘建商願意容移，且鐵皮屋主願意協議價購後，再行辦理，保留執行。
(舒翠玲議員)</t>
    <phoneticPr fontId="12" type="noConversion"/>
  </si>
  <si>
    <t>慈華街瓶頸打通工程</t>
  </si>
  <si>
    <t>慈光路</t>
    <phoneticPr fontId="12" type="noConversion"/>
  </si>
  <si>
    <t>協調地主以容移方式取得土地後再行辦理，保留執行。
(李曉鐘副議長、李光達議員)</t>
    <phoneticPr fontId="12" type="noConversion"/>
  </si>
  <si>
    <t>李曉鐘、李光達</t>
    <phoneticPr fontId="2" type="noConversion"/>
  </si>
  <si>
    <t>秀才里山麓5B池旁(秀才路485巷)道路拓寬</t>
  </si>
  <si>
    <t>秀才5B埤塘旁</t>
    <phoneticPr fontId="12" type="noConversion"/>
  </si>
  <si>
    <t>可提升秀才5B埤塘觀光風氣，倘土地以無償方式取得再行辦理，保留執行。
(李家興議員)</t>
    <phoneticPr fontId="12" type="noConversion"/>
  </si>
  <si>
    <t>幼獅路三段、青年路二段口瓶頸改善工程</t>
  </si>
  <si>
    <t>青年路二段</t>
    <phoneticPr fontId="12" type="noConversion"/>
  </si>
  <si>
    <t>幼獅路二段550巷</t>
    <phoneticPr fontId="12" type="noConversion"/>
  </si>
  <si>
    <t>屬危險路口改善，優先執行。
(李家興議員)</t>
    <phoneticPr fontId="12" type="noConversion"/>
  </si>
  <si>
    <t>(112.8.16)</t>
    <phoneticPr fontId="2" type="noConversion"/>
  </si>
  <si>
    <t>高青路瓶頸打通工程</t>
    <phoneticPr fontId="12" type="noConversion"/>
  </si>
  <si>
    <t>高青路底</t>
    <phoneticPr fontId="12" type="noConversion"/>
  </si>
  <si>
    <t>高獅路</t>
    <phoneticPr fontId="12" type="noConversion"/>
  </si>
  <si>
    <t>涉及廠房拆遷執行有難度，暫緩辦理。</t>
    <phoneticPr fontId="12" type="noConversion"/>
  </si>
  <si>
    <t xml:space="preserve">龍平路道路瓶頸改善工程 </t>
  </si>
  <si>
    <t>可改善道路無法會車問題，優先執行。
(徐玉樹議員)</t>
    <phoneticPr fontId="12" type="noConversion"/>
  </si>
  <si>
    <t>楓樹七街道路拓寬工程</t>
  </si>
  <si>
    <t>楓樹七街</t>
    <phoneticPr fontId="12" type="noConversion"/>
  </si>
  <si>
    <t>長壽路</t>
    <phoneticPr fontId="12" type="noConversion"/>
  </si>
  <si>
    <t>以工業區重劃辦理，不以開瓶計畫執行，暫緩辦理。
(林俐玲議員、陳雅倫議員)</t>
    <phoneticPr fontId="12" type="noConversion"/>
  </si>
  <si>
    <t>外社家畜市場聯外道路瓶頸改善工程</t>
  </si>
  <si>
    <t>山林路二段</t>
    <phoneticPr fontId="12" type="noConversion"/>
  </si>
  <si>
    <t>山外路</t>
    <phoneticPr fontId="12" type="noConversion"/>
  </si>
  <si>
    <t>市場對外車流量大，改善後具有效益，優先執行。
(劉勝全議員)</t>
    <phoneticPr fontId="12" type="noConversion"/>
  </si>
  <si>
    <t>經國路198巷道路新闢工程</t>
  </si>
  <si>
    <t>大興路一段</t>
    <phoneticPr fontId="12" type="noConversion"/>
  </si>
  <si>
    <t>經國路198巷</t>
    <phoneticPr fontId="12" type="noConversion"/>
  </si>
  <si>
    <t>本案土地大多都為建商所有，倘地主願意容移再行評估，暫緩辦理。
(陳美梅議員)</t>
    <phoneticPr fontId="12" type="noConversion"/>
  </si>
  <si>
    <t>大興橋拓寬工程</t>
  </si>
  <si>
    <t>民生路735巷</t>
    <phoneticPr fontId="12" type="noConversion"/>
  </si>
  <si>
    <t>涉及都市計畫變更、民房拆遷、橋下便道調整等議題，經費龐大且執行有難度，暫緩辦理。
(詹江村議員)</t>
    <phoneticPr fontId="12" type="noConversion"/>
  </si>
  <si>
    <t>詹江村</t>
    <phoneticPr fontId="2" type="noConversion"/>
  </si>
  <si>
    <t>環中路105巷17弄瓶頸道路打通工程</t>
  </si>
  <si>
    <t>中山路二段及環中路</t>
    <phoneticPr fontId="12" type="noConversion"/>
  </si>
  <si>
    <t>文中路</t>
    <phoneticPr fontId="12" type="noConversion"/>
  </si>
  <si>
    <t>以打通中山路二段至環中路之計畫道路優先執行，往文中路路段暫不執行。
(郭蔡美英議員、黃世杰立委)</t>
    <phoneticPr fontId="12" type="noConversion"/>
  </si>
  <si>
    <t>郭蔡美英、黃世杰</t>
    <phoneticPr fontId="2" type="noConversion"/>
  </si>
  <si>
    <t>楊梅區(縣115)楊新路二段五號橋</t>
  </si>
  <si>
    <t>工務局專簽
(111.9.26)</t>
  </si>
  <si>
    <t>工程用地科專簽</t>
    <phoneticPr fontId="12" type="noConversion"/>
  </si>
  <si>
    <t>用地科專簽</t>
    <phoneticPr fontId="2" type="noConversion"/>
  </si>
  <si>
    <t>大溪區大漢溪左岸新闢道路工程(大鶯路1020巷70號旁至中庄調整池西南側)</t>
  </si>
  <si>
    <t>交通局專簽
(111.10.18)</t>
  </si>
  <si>
    <t>規劃設計科定線，核定辦理用地取得。</t>
  </si>
  <si>
    <t>規設科</t>
  </si>
  <si>
    <t>楊梅</t>
    <phoneticPr fontId="2" type="noConversion"/>
  </si>
  <si>
    <t>秀才路178巷拓寬暨延伸至中山南路道路</t>
    <phoneticPr fontId="2" type="noConversion"/>
  </si>
  <si>
    <t>秀才路178巷(石門大圳)</t>
    <phoneticPr fontId="12" type="noConversion"/>
  </si>
  <si>
    <t>3~5</t>
    <phoneticPr fontId="2" type="noConversion"/>
  </si>
  <si>
    <t>1(磚造)</t>
    <phoneticPr fontId="2" type="noConversion"/>
  </si>
  <si>
    <t>工務局專簽核定
(111.5.11)</t>
    <phoneticPr fontId="2" type="noConversion"/>
  </si>
  <si>
    <t>楊梅區中山南路(台1線)至甡甡路道路新闢工程(第三期)(垂直段)</t>
    <phoneticPr fontId="2" type="noConversion"/>
  </si>
  <si>
    <t>甡甡路與國道1號涵洞口止</t>
    <phoneticPr fontId="12" type="noConversion"/>
  </si>
  <si>
    <t>工務局專簽核定
(111.11.15)</t>
    <phoneticPr fontId="2" type="noConversion"/>
  </si>
  <si>
    <t>規設科</t>
    <phoneticPr fontId="2" type="noConversion"/>
  </si>
  <si>
    <t>桃園區民有十街(民有東路至大有梯田公園)</t>
    <phoneticPr fontId="12" type="noConversion"/>
  </si>
  <si>
    <t>大有梯田公園</t>
    <phoneticPr fontId="12" type="noConversion"/>
  </si>
  <si>
    <t>5/0</t>
  </si>
  <si>
    <t>核定執行
(112.7.10)</t>
    <phoneticPr fontId="2" type="noConversion"/>
  </si>
  <si>
    <t>(黃瓊慧議員等)</t>
  </si>
  <si>
    <t>黃瓊慧</t>
    <phoneticPr fontId="2" type="noConversion"/>
  </si>
  <si>
    <t>桃園區兒28周邊道路(龍泉五街至大慶街)</t>
  </si>
  <si>
    <t>龍泉五街</t>
    <phoneticPr fontId="12" type="noConversion"/>
  </si>
  <si>
    <t>大慶街</t>
    <phoneticPr fontId="12" type="noConversion"/>
  </si>
  <si>
    <t>核定執行
(112.7.10)</t>
  </si>
  <si>
    <t>v縱貫公路桃園內壢間都市計畫容移代金補助用地費。
(黃婉如議員)</t>
    <phoneticPr fontId="2" type="noConversion"/>
  </si>
  <si>
    <t>桃園區龍城六街(龍泉五街至龍壽街140巷)</t>
    <phoneticPr fontId="2" type="noConversion"/>
  </si>
  <si>
    <t>龍壽街140巷</t>
    <phoneticPr fontId="12" type="noConversion"/>
  </si>
  <si>
    <t>4
(公私2)</t>
  </si>
  <si>
    <t>v縱貫公路桃園內壢間都市計畫容移代金補助用地費。
(黃瓊慧議員)</t>
    <phoneticPr fontId="2" type="noConversion"/>
  </si>
  <si>
    <t>桃園區經國路198巷</t>
  </si>
  <si>
    <t>大興西路一段</t>
    <phoneticPr fontId="12" type="noConversion"/>
  </si>
  <si>
    <t>5
(公私3)</t>
  </si>
  <si>
    <t>暫緩辦理
(112.7.10)</t>
    <phoneticPr fontId="2" type="noConversion"/>
  </si>
  <si>
    <t>視本府財源檢討評估，暫緩辦理。
(陳美梅議員)</t>
    <phoneticPr fontId="2" type="noConversion"/>
  </si>
  <si>
    <t>八德區新生路至中壢區龍江路73巷底</t>
  </si>
  <si>
    <t>龍江路73巷底</t>
    <phoneticPr fontId="12" type="noConversion"/>
  </si>
  <si>
    <t>有條件執行
(112.7.10)</t>
  </si>
  <si>
    <t>配合以公園整體規劃方式辦理。
(邱奕勝議長)</t>
    <phoneticPr fontId="2" type="noConversion"/>
  </si>
  <si>
    <t>八德區廣福路879巷192弄打通至永豐南路31巷</t>
  </si>
  <si>
    <t>廣福路879巷192弄</t>
    <phoneticPr fontId="12" type="noConversion"/>
  </si>
  <si>
    <t>永豐南路31巷</t>
    <phoneticPr fontId="12" type="noConversion"/>
  </si>
  <si>
    <t>(呂林小鳳議員)</t>
    <phoneticPr fontId="2" type="noConversion"/>
  </si>
  <si>
    <t>八德區和平路573巷</t>
  </si>
  <si>
    <t>和平路573巷口</t>
    <phoneticPr fontId="12" type="noConversion"/>
  </si>
  <si>
    <t>(楊朝偉議員)</t>
    <phoneticPr fontId="2" type="noConversion"/>
  </si>
  <si>
    <t>楊朝偉</t>
    <phoneticPr fontId="2" type="noConversion"/>
  </si>
  <si>
    <t>八德區金城街至山下街新闢道路</t>
  </si>
  <si>
    <t>金城街</t>
    <phoneticPr fontId="12" type="noConversion"/>
  </si>
  <si>
    <t>1
(公私)</t>
  </si>
  <si>
    <t>(段樹文議員)</t>
    <phoneticPr fontId="2" type="noConversion"/>
  </si>
  <si>
    <t>蘆竹區海山路二段 156巷道路障礙瓶頸打通工程</t>
    <phoneticPr fontId="2" type="noConversion"/>
  </si>
  <si>
    <t>海山路二段156巷22號華膳空廚</t>
    <phoneticPr fontId="12" type="noConversion"/>
  </si>
  <si>
    <t>中圳街口</t>
    <phoneticPr fontId="12" type="noConversion"/>
  </si>
  <si>
    <t>暫緩辦理
(112.7.10)</t>
  </si>
  <si>
    <t>視本府財源檢討評估，暫緩辦理。
(蘆竹公所)</t>
    <phoneticPr fontId="2" type="noConversion"/>
  </si>
  <si>
    <t>蘆竹公所</t>
  </si>
  <si>
    <t>蘆竹區外社家畜市場聯外道路</t>
  </si>
  <si>
    <t>視本府財源檢討評估，暫緩辦理。
(劉勝全議員)</t>
    <phoneticPr fontId="2" type="noConversion"/>
  </si>
  <si>
    <t>大溪區員東路橋改善工程(瑞福宮前)</t>
  </si>
  <si>
    <t>瑞福宮前</t>
    <phoneticPr fontId="12" type="noConversion"/>
  </si>
  <si>
    <t>以架高工程方式改善，以不遷移管線方式方同意辦理。
(李柏坊議員)</t>
    <phoneticPr fontId="2" type="noConversion"/>
  </si>
  <si>
    <t>中壢區龍岡路/4-1-10M計畫道路路口A</t>
    <phoneticPr fontId="2" type="noConversion"/>
  </si>
  <si>
    <t>龍岡路二段(中油龍岡站旁)</t>
    <phoneticPr fontId="12" type="noConversion"/>
  </si>
  <si>
    <t>區徵4-1-10M計畫道路路口</t>
    <phoneticPr fontId="12" type="noConversion"/>
  </si>
  <si>
    <t>2
(公私1)</t>
  </si>
  <si>
    <t>1.v中壢平鎮都市計畫容移代金補助用地費。
2.區徵及重劃區聯外道路，爾後請地政局納入區徵或重劃一併辦理。
(新工處)</t>
    <phoneticPr fontId="2" type="noConversion"/>
  </si>
  <si>
    <t>新工處</t>
  </si>
  <si>
    <t>中壢區龍岡路二段321巷39弄/5-1-8M計畫道路路口B</t>
  </si>
  <si>
    <t>龍岡路二段321巷39弄</t>
    <phoneticPr fontId="12" type="noConversion"/>
  </si>
  <si>
    <t>區徵3-1-15M計畫道路路口</t>
    <phoneticPr fontId="12" type="noConversion"/>
  </si>
  <si>
    <t>區徵及重劃區聯外道路，爾後請地政局納入區徵或重劃一併辦理。
(新工處)</t>
  </si>
  <si>
    <t>中壢區龍岡路二段357巷21弄(22弄18衖)/3-1-15M計畫道路D</t>
  </si>
  <si>
    <t>龍岡路二段357巷22弄18衖</t>
    <phoneticPr fontId="12" type="noConversion"/>
  </si>
  <si>
    <t>區徵及重劃區聯外道路，爾後請地政局納入區徵或重劃一併辦理。
(新工處)</t>
    <phoneticPr fontId="2" type="noConversion"/>
  </si>
  <si>
    <t>中壢區華安二路(華祥二街至華安三路)</t>
    <phoneticPr fontId="12" type="noConversion"/>
  </si>
  <si>
    <t>華祥二街</t>
    <phoneticPr fontId="12" type="noConversion"/>
  </si>
  <si>
    <t>華安三路</t>
    <phoneticPr fontId="12" type="noConversion"/>
  </si>
  <si>
    <t>視本府財源檢討評估，暫緩辦理。
(邱奕勝議長、劉安祺議員、吳嘉和議員)</t>
    <phoneticPr fontId="12" type="noConversion"/>
  </si>
  <si>
    <t>中壢區華美三路(榮德街至晉元路)(二期)</t>
  </si>
  <si>
    <t>榮德街</t>
    <phoneticPr fontId="12" type="noConversion"/>
  </si>
  <si>
    <t>(邱奕勝議長)</t>
    <phoneticPr fontId="12" type="noConversion"/>
  </si>
  <si>
    <t>中壢區興隆街(興隆街三街至永豐街)</t>
  </si>
  <si>
    <t>興隆三街</t>
    <phoneticPr fontId="12" type="noConversion"/>
  </si>
  <si>
    <t>有條件執行
(112.7.10)</t>
    <phoneticPr fontId="2" type="noConversion"/>
  </si>
  <si>
    <t>1.以1.2倍方同意協議價購。
2.v中壢平鎮都市計畫容移代金補助用地費。(吳嘉和議員)</t>
    <phoneticPr fontId="2" type="noConversion"/>
  </si>
  <si>
    <t>平鎮區龍平路215號(國旗屋)瓶頸打通</t>
    <phoneticPr fontId="2" type="noConversion"/>
  </si>
  <si>
    <t>龍平路251號</t>
    <phoneticPr fontId="12" type="noConversion"/>
  </si>
  <si>
    <t>中山路7號(忠貞市場豬肉攤)</t>
    <phoneticPr fontId="12" type="noConversion"/>
  </si>
  <si>
    <t>另案請經濟發展局及交通局研議配合忠貞市場用地，整體規劃完成後方辦理。(里長)</t>
    <phoneticPr fontId="2" type="noConversion"/>
  </si>
  <si>
    <t>龜山區振興路打通至青山路</t>
  </si>
  <si>
    <t>青山路二段</t>
    <phoneticPr fontId="12" type="noConversion"/>
  </si>
  <si>
    <t>1.另案討論，同意先辦理用地取得。
2.v林口特定區都市計畫容移代金補助用地費。(陳雅倫議員、牛煦庭議員)</t>
    <phoneticPr fontId="2" type="noConversion"/>
  </si>
  <si>
    <t>八德區新生路至龍江路</t>
  </si>
  <si>
    <t>龍江路</t>
    <phoneticPr fontId="12" type="noConversion"/>
  </si>
  <si>
    <t>(邱奕勝議長)</t>
  </si>
  <si>
    <t>中壢區華安路(晉元路至華勛街163巷)</t>
    <phoneticPr fontId="12" type="noConversion"/>
  </si>
  <si>
    <t>華勛街163巷</t>
    <phoneticPr fontId="12" type="noConversion"/>
  </si>
  <si>
    <t>核定執行
(112.7.10)</t>
    <phoneticPr fontId="12" type="noConversion"/>
  </si>
  <si>
    <t>平鎮區東光路201巷(自龍南路728巷至龍南路)(一期)</t>
  </si>
  <si>
    <t>龍南路728巷</t>
    <phoneticPr fontId="12" type="noConversion"/>
  </si>
  <si>
    <t>(黃敬平議員)</t>
    <phoneticPr fontId="2" type="noConversion"/>
  </si>
  <si>
    <t>龍潭區高揚南路(桃67)改道工程</t>
  </si>
  <si>
    <t>高揚南路520號</t>
    <phoneticPr fontId="12" type="noConversion"/>
  </si>
  <si>
    <t>6~6.5</t>
  </si>
  <si>
    <t>(邱奕勝議長)</t>
    <phoneticPr fontId="2" type="noConversion"/>
  </si>
  <si>
    <t>溝渠</t>
  </si>
  <si>
    <t>桃園區中山路956巷溝渠加蓋</t>
  </si>
  <si>
    <t>國強一街與中山路956巷正交口</t>
    <phoneticPr fontId="12" type="noConversion"/>
  </si>
  <si>
    <t>2
(公私)</t>
  </si>
  <si>
    <t>(凌濤議員)</t>
    <phoneticPr fontId="2" type="noConversion"/>
  </si>
  <si>
    <t>(113.02.02)</t>
    <phoneticPr fontId="2" type="noConversion"/>
  </si>
  <si>
    <t>凌濤</t>
    <phoneticPr fontId="2" type="noConversion"/>
  </si>
  <si>
    <t>公園</t>
  </si>
  <si>
    <t>桃園區兒28(龍泉五街至大慶街)</t>
    <phoneticPr fontId="2" type="noConversion"/>
  </si>
  <si>
    <t>面積2671.96㎡</t>
  </si>
  <si>
    <t>v縱貫公路桃園內壢間都市計畫容移代金補助用地費。
(黃婉如議員)</t>
    <phoneticPr fontId="12" type="noConversion"/>
  </si>
  <si>
    <t>龜山區大坪頂公九公園(18筆土地)(方案二)</t>
  </si>
  <si>
    <t>面積11342.01㎡</t>
  </si>
  <si>
    <t>1.先行辦理用地取得，另案請地政局研議都市計畫變更以市地重劃方式辦理。
2.v林口特定區都市計畫容移代金補助用地費。
(牛煦庭議員、陳雅倫議員)</t>
    <phoneticPr fontId="2" type="noConversion"/>
  </si>
  <si>
    <t>牛煦庭、陳雅倫</t>
    <phoneticPr fontId="2" type="noConversion"/>
  </si>
  <si>
    <t>蘆竹區兒一及周邊綠地</t>
  </si>
  <si>
    <t>歐楓街</t>
    <phoneticPr fontId="12" type="noConversion"/>
  </si>
  <si>
    <t>營盤溪</t>
    <phoneticPr fontId="12" type="noConversion"/>
  </si>
  <si>
    <t>面積3517.08㎡</t>
  </si>
  <si>
    <t>v南崁地區都市計畫容移代金補助用地費。
(錢龍議員)</t>
    <phoneticPr fontId="2" type="noConversion"/>
  </si>
  <si>
    <t>錢龍</t>
    <phoneticPr fontId="2" type="noConversion"/>
  </si>
  <si>
    <t>楊梅區中山北路一段465巷道路拓寬</t>
    <phoneticPr fontId="12" type="noConversion"/>
  </si>
  <si>
    <t>台一線</t>
    <phoneticPr fontId="12" type="noConversion"/>
  </si>
  <si>
    <t>裕成路涵洞口</t>
    <phoneticPr fontId="12" type="noConversion"/>
  </si>
  <si>
    <t>2.5~4</t>
  </si>
  <si>
    <t>保留執行
(112.8.10)</t>
  </si>
  <si>
    <t>先行辦理定線及都市計畫變更後，再行研議辦理。
(鄭淑方議員)</t>
    <phoneticPr fontId="12" type="noConversion"/>
  </si>
  <si>
    <t>龍潭區龍平路道路延伸至東龍街</t>
  </si>
  <si>
    <t>龍平路(中興路九龍段340巷75號旁)</t>
    <phoneticPr fontId="12" type="noConversion"/>
  </si>
  <si>
    <t>至東龍街(231巷旁)</t>
    <phoneticPr fontId="12" type="noConversion"/>
  </si>
  <si>
    <t>有條件執行
(112.8.10)</t>
    <phoneticPr fontId="12" type="noConversion"/>
  </si>
  <si>
    <t>視財源籌措情形辦理。
(呂玉玲立委、徐玉樹議員)</t>
    <phoneticPr fontId="12" type="noConversion"/>
  </si>
  <si>
    <t>呂玉玲、徐玉樹</t>
    <phoneticPr fontId="2" type="noConversion"/>
  </si>
  <si>
    <t>桃園區國強二街</t>
  </si>
  <si>
    <t>中山路1288巷13弄</t>
    <phoneticPr fontId="12" type="noConversion"/>
  </si>
  <si>
    <t>核定執行
(112.8.10)</t>
    <phoneticPr fontId="2" type="noConversion"/>
  </si>
  <si>
    <t>中壢區大華路(內定一街至大華路361巷)</t>
    <phoneticPr fontId="12" type="noConversion"/>
  </si>
  <si>
    <t>內定一街</t>
    <phoneticPr fontId="12" type="noConversion"/>
  </si>
  <si>
    <t>大華路361巷</t>
    <phoneticPr fontId="12" type="noConversion"/>
  </si>
  <si>
    <t>3、0</t>
  </si>
  <si>
    <t>保留執行
(112.8.10)</t>
    <phoneticPr fontId="12" type="noConversion"/>
  </si>
  <si>
    <t>先行辦理定線後，再行研議辦理。
(葉明月議員、邱奕勝議長)</t>
    <phoneticPr fontId="2" type="noConversion"/>
  </si>
  <si>
    <t>葉明月、邱奕勝</t>
    <phoneticPr fontId="2" type="noConversion"/>
  </si>
  <si>
    <t>平鎮</t>
    <phoneticPr fontId="12" type="noConversion"/>
  </si>
  <si>
    <t>平鎮區平東路239巷85弄至華安街</t>
    <phoneticPr fontId="12" type="noConversion"/>
  </si>
  <si>
    <t>平東路239巷85弄</t>
    <phoneticPr fontId="12" type="noConversion"/>
  </si>
  <si>
    <t>申請中央經費補助，倘爭取中央經費補助後再行研議辦理。
(黃敬平議員)</t>
    <phoneticPr fontId="12" type="noConversion"/>
  </si>
  <si>
    <t>平鎮區平東路239巷94弄至華安街</t>
  </si>
  <si>
    <t>申請中央經費補助，倘爭取中央經費補助後再行研議辦理。
(舒翠玲議員)</t>
    <phoneticPr fontId="2" type="noConversion"/>
  </si>
  <si>
    <t>平鎮區平東路至東光路201巷(二期)</t>
    <phoneticPr fontId="12" type="noConversion"/>
  </si>
  <si>
    <t>平東路97號</t>
    <phoneticPr fontId="12" type="noConversion"/>
  </si>
  <si>
    <t>東光路201巷</t>
    <phoneticPr fontId="12" type="noConversion"/>
  </si>
  <si>
    <t>申請中央經費補助，倘爭取中央經費補助後再行研議辦理。
(黃敬平議員)</t>
  </si>
  <si>
    <t>平鎮區金陵路五、六段替代道路</t>
  </si>
  <si>
    <t>平東路一段與廟前路口</t>
    <phoneticPr fontId="12" type="noConversion"/>
  </si>
  <si>
    <t>快速路一段986巷</t>
    <phoneticPr fontId="12" type="noConversion"/>
  </si>
  <si>
    <t>先行規劃編號道路，以利持續申請中央經費補助，倘爭取中央經費補助後再行研議辦理。(黃敬平議員、王珮毓議員)</t>
    <phoneticPr fontId="12" type="noConversion"/>
  </si>
  <si>
    <t>黃敬平、王珮毓</t>
    <phoneticPr fontId="2" type="noConversion"/>
  </si>
  <si>
    <t>平鎮區民族路三段與復旦路三段間國一高速公路旁道路開闢</t>
    <phoneticPr fontId="2" type="noConversion"/>
  </si>
  <si>
    <t>復旦路四段</t>
    <phoneticPr fontId="12" type="noConversion"/>
  </si>
  <si>
    <t>先行辦理定線及都市計畫變更後，再行研議辦理。
(黃敬平議員)</t>
    <phoneticPr fontId="2" type="noConversion"/>
  </si>
  <si>
    <t>新屋區中華南路一段(福九路至高鐵南路七段高鐵橋下[楊梅區楊新路(一期)]</t>
    <phoneticPr fontId="12" type="noConversion"/>
  </si>
  <si>
    <t>福九路</t>
    <phoneticPr fontId="12" type="noConversion"/>
  </si>
  <si>
    <t>台31線高鐵南路七段高鐵橋下</t>
    <phoneticPr fontId="12" type="noConversion"/>
  </si>
  <si>
    <t>核定執行
(112.8.10)</t>
  </si>
  <si>
    <t>中央已核定工程經費，工務局配合編列用地經費。
112/3/1規設申請內政部營建署[生活圈道路系統建設計畫(市區道路)提案計畫]補助
(邱佳亮議員、黃世杰立委)</t>
    <phoneticPr fontId="12" type="noConversion"/>
  </si>
  <si>
    <t>邱佳亮、黃世杰</t>
    <phoneticPr fontId="2" type="noConversion"/>
  </si>
  <si>
    <t>楊梅區楊新路(高鐵南路七段高鐵橋下至老飯店橋)道路拓寬工程(二期)</t>
    <phoneticPr fontId="12" type="noConversion"/>
  </si>
  <si>
    <t>高鐵南路七段高鐵橋下</t>
    <phoneticPr fontId="12" type="noConversion"/>
  </si>
  <si>
    <t>老飯店橋</t>
    <phoneticPr fontId="12" type="noConversion"/>
  </si>
  <si>
    <t>15
(公私2)</t>
  </si>
  <si>
    <t>先行辦理定線並申請中央經費補助，倘爭取中央經費補助後再行研議辦理。(延續新屋區中華南路一段(楊梅區楊新路(一期))(黃世杰立委)</t>
    <phoneticPr fontId="12" type="noConversion"/>
  </si>
  <si>
    <t>黃世杰</t>
  </si>
  <si>
    <t>楊梅區榮平路(幼獅路二段至台66快速路五段)</t>
  </si>
  <si>
    <t>台66快速路五段</t>
    <phoneticPr fontId="12" type="noConversion"/>
  </si>
  <si>
    <t>先行辦理定線及都市計畫變更，短期以瓶頸路段之彎道改善及水溝加蓋等交通方式改善。
(李家興議員、周玉琴議員)</t>
    <phoneticPr fontId="2" type="noConversion"/>
  </si>
  <si>
    <t>李家興、周玉琴</t>
    <phoneticPr fontId="2" type="noConversion"/>
  </si>
  <si>
    <t>觀音區玉林路一段(桃科六路至白沙屯萬善祠)(一期)</t>
    <phoneticPr fontId="12" type="noConversion"/>
  </si>
  <si>
    <t>白沙屯萬善祠</t>
    <phoneticPr fontId="12" type="noConversion"/>
  </si>
  <si>
    <t>78
(公私11)</t>
  </si>
  <si>
    <t>工程經費以觀音區公所電廠回饋金支應，工務局配合編列用地經費。
(吳進昌議員)</t>
    <phoneticPr fontId="12" type="noConversion"/>
  </si>
  <si>
    <t>吳進昌</t>
    <phoneticPr fontId="2" type="noConversion"/>
  </si>
  <si>
    <t>觀音區玉林路(桃科十路至桃科十二路)(二期)</t>
    <phoneticPr fontId="12" type="noConversion"/>
  </si>
  <si>
    <t>桃科十路</t>
    <phoneticPr fontId="12" type="noConversion"/>
  </si>
  <si>
    <t>7~10</t>
  </si>
  <si>
    <t>持續協調地主先行辦理定線，並申請中央經費補助，倘爭取中央經費補助後再行研議辦理。(延續觀音區玉林路一段(一期))(吳進昌議員)</t>
    <phoneticPr fontId="12" type="noConversion"/>
  </si>
  <si>
    <t>大園區菓林市地重劃工程拔子林一路既有社區周邊道路</t>
  </si>
  <si>
    <t>拔子林一路</t>
    <phoneticPr fontId="12" type="noConversion"/>
  </si>
  <si>
    <t>區徵及重劃區聯外道路，爾後請地政局務必納入區徵或重劃一併辦理。(新建工程處)</t>
    <phoneticPr fontId="2" type="noConversion"/>
  </si>
  <si>
    <t>新建工程處</t>
    <phoneticPr fontId="2" type="noConversion"/>
  </si>
  <si>
    <t>蘆竹區南福街255巷道路拓寬</t>
    <phoneticPr fontId="2" type="noConversion"/>
  </si>
  <si>
    <t>自南前</t>
    <phoneticPr fontId="12" type="noConversion"/>
  </si>
  <si>
    <t>奉化路(奉化路253號)</t>
    <phoneticPr fontId="12" type="noConversion"/>
  </si>
  <si>
    <t>4~5.8</t>
  </si>
  <si>
    <t>3
(磚造)</t>
  </si>
  <si>
    <t>先行辦理定線及都市計畫變更後，再行研議辦理。
(劉勝全議員)</t>
    <phoneticPr fontId="2" type="noConversion"/>
  </si>
  <si>
    <t>八德區捷運綠線G02站橋下道路至瑞源街打通工程(原巧克力街方案變更)</t>
  </si>
  <si>
    <t>捷運綠線G02站橋下道路</t>
    <phoneticPr fontId="12" type="noConversion"/>
  </si>
  <si>
    <t>瑞源街</t>
    <phoneticPr fontId="12" type="noConversion"/>
  </si>
  <si>
    <t>有條件執行
(112.9.27)</t>
  </si>
  <si>
    <t>請捷工局先自建國路起開闢路寬8公尺道路(便道)至G02站，以承租方式辦理，同時配合捷運施工通行替代便道。(呂林小鳳議員)</t>
    <phoneticPr fontId="2" type="noConversion"/>
  </si>
  <si>
    <t>桃園區國際路一段(246號前至101巷)</t>
    <phoneticPr fontId="2" type="noConversion"/>
  </si>
  <si>
    <t>暫緩辦理
(112.9.27)</t>
  </si>
  <si>
    <t>視本府財源再持續滾動式檢討，暫緩辦理。
(余信憲議員)</t>
    <phoneticPr fontId="2" type="noConversion"/>
  </si>
  <si>
    <t>余信憲</t>
    <phoneticPr fontId="2" type="noConversion"/>
  </si>
  <si>
    <t>龜山區振興路23巷</t>
  </si>
  <si>
    <t>視本府財源再持續滾動式檢討，暫緩辦理。
(陳雅倫議員)</t>
    <phoneticPr fontId="2" type="noConversion"/>
  </si>
  <si>
    <t>八德區和平路991巷(國光路)</t>
  </si>
  <si>
    <t>延平路二期</t>
    <phoneticPr fontId="12" type="noConversion"/>
  </si>
  <si>
    <t>視本府財源再持續滾動式檢討，暫緩辦理。
(呂林小鳳議員)</t>
    <phoneticPr fontId="2" type="noConversion"/>
  </si>
  <si>
    <t>平鎮區新華北路接龍安路拓寬</t>
  </si>
  <si>
    <t>視本府財源再持續滾動式檢討，暫緩辦理。
(陳韋曄議員)</t>
    <phoneticPr fontId="2" type="noConversion"/>
  </si>
  <si>
    <t>陳韋曄</t>
    <phoneticPr fontId="2" type="noConversion"/>
  </si>
  <si>
    <t>平鎮區南平路二段(新光路四段至陸橋南路(台1線))</t>
  </si>
  <si>
    <t>新光路四段</t>
    <phoneticPr fontId="12" type="noConversion"/>
  </si>
  <si>
    <t>陸橋南路(台1線)</t>
    <phoneticPr fontId="12" type="noConversion"/>
  </si>
  <si>
    <t>都內20
都外15</t>
  </si>
  <si>
    <t>視本府財源再持續滾動式檢討，暫緩辦理。
(楊家俍議員、劉仁照議員、陳韋曄議員)</t>
    <phoneticPr fontId="2" type="noConversion"/>
  </si>
  <si>
    <t>楊家俍、劉仁照、陳韋曄</t>
    <phoneticPr fontId="2" type="noConversion"/>
  </si>
  <si>
    <t>平鎮區龍安路與平東路口</t>
  </si>
  <si>
    <t>視本府財源再持續滾動式檢討，暫緩辦理。
(舒翠玲議員)</t>
    <phoneticPr fontId="2" type="noConversion"/>
  </si>
  <si>
    <t>平鎮區賦梅路(復旦路二段至延平路三段104巷)(一期)</t>
  </si>
  <si>
    <t>復旦路二段</t>
    <phoneticPr fontId="12" type="noConversion"/>
  </si>
  <si>
    <t>延平路三段104巷</t>
    <phoneticPr fontId="12" type="noConversion"/>
  </si>
  <si>
    <t>請交通局先協助辦理交通流量評估或改善，如有需要再滾動式檢討提報。
(王佩毓議員)</t>
    <phoneticPr fontId="2" type="noConversion"/>
  </si>
  <si>
    <t>王佩毓</t>
  </si>
  <si>
    <t>平鎮區賦梅路(延平路三段104巷至快速路三段)(二期)</t>
  </si>
  <si>
    <t>快速路一段</t>
    <phoneticPr fontId="12" type="noConversion"/>
  </si>
  <si>
    <t>龍潭區神龍路至東龍路(龍潭高中游泳池旁)</t>
  </si>
  <si>
    <t>神龍路294號</t>
    <phoneticPr fontId="12" type="noConversion"/>
  </si>
  <si>
    <t>東龍路38號</t>
    <phoneticPr fontId="12" type="noConversion"/>
  </si>
  <si>
    <t>暫緩辦理
(112.9.27)</t>
    <phoneticPr fontId="12" type="noConversion"/>
  </si>
  <si>
    <t>視本府財源再持續滾動式檢討，暫緩辦理。
(龍潭公所)</t>
    <phoneticPr fontId="12" type="noConversion"/>
  </si>
  <si>
    <t>龍潭公所</t>
    <phoneticPr fontId="2" type="noConversion"/>
  </si>
  <si>
    <t>新屋區中山東路一段763號至台66橋下道路(新屋區富九段65地號等24筆)方案一</t>
  </si>
  <si>
    <t>中山東路一段763號</t>
    <phoneticPr fontId="12" type="noConversion"/>
  </si>
  <si>
    <t>台66橋下</t>
    <phoneticPr fontId="12" type="noConversion"/>
  </si>
  <si>
    <t>視本府財源再持續滾動式檢討，暫緩辦理。
(九斗里長)</t>
    <phoneticPr fontId="12" type="noConversion"/>
  </si>
  <si>
    <t>九斗里長</t>
  </si>
  <si>
    <t>新屋區中山東路一段763號至台66橋下道路(新屋區富九段65地號等24筆)方案二</t>
  </si>
  <si>
    <t>12
(公私2)</t>
  </si>
  <si>
    <t>視本府財源再持續滾動式檢討，暫緩辦理。
(九斗里長)</t>
    <phoneticPr fontId="2" type="noConversion"/>
  </si>
  <si>
    <t>九斗里長</t>
    <phoneticPr fontId="2" type="noConversion"/>
  </si>
  <si>
    <t>觀音區忠愛莊營區旁小路拓寬(忠愛路二段至忠富路崙坪段)</t>
  </si>
  <si>
    <t>忠愛路二段</t>
    <phoneticPr fontId="12" type="noConversion"/>
  </si>
  <si>
    <t>忠富路崙坪段</t>
    <phoneticPr fontId="12" type="noConversion"/>
  </si>
  <si>
    <t>視本府財源再持續滾動式檢討，暫緩辦理。
(吳進昌議員)</t>
    <phoneticPr fontId="12" type="noConversion"/>
  </si>
  <si>
    <t>大園區-航空城對外聯絡道路(溪海花卉園區)
第二期:田溪路(華興路二段至聖德北路)</t>
    <phoneticPr fontId="2" type="noConversion"/>
  </si>
  <si>
    <t>58
面積9,437.1㎡</t>
  </si>
  <si>
    <t>保留執行
(112.9.27)</t>
    <phoneticPr fontId="2" type="noConversion"/>
  </si>
  <si>
    <t>先行辦理定線，視財源籌措情形及航空城計畫，再行研議辦理。
(游吾和議員)</t>
    <phoneticPr fontId="2" type="noConversion"/>
  </si>
  <si>
    <t>工程費各階段909萬元</t>
  </si>
  <si>
    <t>楊梅區裕成南路銜接校前路</t>
  </si>
  <si>
    <t>裕成南路</t>
    <phoneticPr fontId="12" type="noConversion"/>
  </si>
  <si>
    <t>校前路319巷</t>
    <phoneticPr fontId="12" type="noConversion"/>
  </si>
  <si>
    <t>保留執行
(112.9.27)</t>
  </si>
  <si>
    <t>先行辦理定線及都市計畫變更，並申請中央經費補助辦理。
(楊梅區議員)</t>
    <phoneticPr fontId="12" type="noConversion"/>
  </si>
  <si>
    <t>楊梅區議員</t>
    <phoneticPr fontId="2" type="noConversion"/>
  </si>
  <si>
    <t>大溪區員林路一段(埔頂營區區徵聯外道路)</t>
    <phoneticPr fontId="12" type="noConversion"/>
  </si>
  <si>
    <t>仁和路一段與員林路一段路口</t>
    <phoneticPr fontId="12" type="noConversion"/>
  </si>
  <si>
    <t>員林路一段與員林路一段142巷止</t>
    <phoneticPr fontId="12" type="noConversion"/>
  </si>
  <si>
    <t>核定執行
(112.9.27)</t>
  </si>
  <si>
    <t>區徵聯外道路，由地政局納入平均地權基金財務規劃支出辦理。
(新建工程處)</t>
    <phoneticPr fontId="2" type="noConversion"/>
  </si>
  <si>
    <t>水圳</t>
  </si>
  <si>
    <t>中壢</t>
    <phoneticPr fontId="12" type="noConversion"/>
  </si>
  <si>
    <t>中壢區龍慈路635巷水利溝整建及道路拓寬工程</t>
    <phoneticPr fontId="12" type="noConversion"/>
  </si>
  <si>
    <t>本案無涉用地取得，另案請水務局研議規劃埔頂支渠雨水下水道系統配合箱涵施作期程，由區公所整合後取得農田水署同意後，逐年編列辦理工程施作。
石門大圳埔頂支渠屬石門管理處管轄，同意依農田水利法第12條規定檢附相關資料、維護管理計畫書及加蓋設施安全結構計畫等向該處提出申請作道路使用。
(吳嘉和議員)</t>
    <phoneticPr fontId="2" type="noConversion"/>
  </si>
  <si>
    <t>桃園</t>
    <phoneticPr fontId="12" type="noConversion"/>
  </si>
  <si>
    <t>桃園區大德三街(與大有路802巷底)通往至善街</t>
    <phoneticPr fontId="12" type="noConversion"/>
  </si>
  <si>
    <t>大德三街與大有路802巷底</t>
    <phoneticPr fontId="12" type="noConversion"/>
  </si>
  <si>
    <t>至善街</t>
    <phoneticPr fontId="12" type="noConversion"/>
  </si>
  <si>
    <t>核定執行
(113.1.29)</t>
    <phoneticPr fontId="12" type="noConversion"/>
  </si>
  <si>
    <t>(李光達議員)</t>
    <phoneticPr fontId="12" type="noConversion"/>
  </si>
  <si>
    <t>南崁地區都市計畫</t>
  </si>
  <si>
    <t>桃園區南山街120號貫通至前站道路</t>
    <phoneticPr fontId="12" type="noConversion"/>
  </si>
  <si>
    <t>南山街120號前</t>
    <phoneticPr fontId="12" type="noConversion"/>
  </si>
  <si>
    <t>鐵路用地前</t>
    <phoneticPr fontId="12" type="noConversion"/>
  </si>
  <si>
    <t>核定執行
(113.1.29)</t>
    <phoneticPr fontId="2" type="noConversion"/>
  </si>
  <si>
    <t>v桃園市都市計畫容移代金補助用地費。
(林政賢議員、黃家齊議員)</t>
    <phoneticPr fontId="12" type="noConversion"/>
  </si>
  <si>
    <t>桃園市都市計畫</t>
  </si>
  <si>
    <t>林政賢、黃家齊</t>
    <phoneticPr fontId="2" type="noConversion"/>
  </si>
  <si>
    <t>桃園區新埔三街43巷(同德一街至新埔三街)(一期)</t>
    <phoneticPr fontId="12" type="noConversion"/>
  </si>
  <si>
    <t>新埔三街43巷</t>
    <phoneticPr fontId="12" type="noConversion"/>
  </si>
  <si>
    <t>v南崁地區都市計畫容移代金補助用地費。
先行辦理一期用地取得，後由建商配合開闢；二期屬社區型道路，且用地費過高，待社區開發時，鼓勵建商採容積移轉方式配合開闢。
(李曉鐘副議長)</t>
    <phoneticPr fontId="12" type="noConversion"/>
  </si>
  <si>
    <t>桃園區新埔三街43巷(同德一街至新埔三街)(二期)</t>
    <phoneticPr fontId="12" type="noConversion"/>
  </si>
  <si>
    <t>3+1</t>
    <phoneticPr fontId="12" type="noConversion"/>
  </si>
  <si>
    <t>先行辦理一期
(113.1.29)</t>
    <phoneticPr fontId="12" type="noConversion"/>
  </si>
  <si>
    <t>蘆竹</t>
    <phoneticPr fontId="12" type="noConversion"/>
  </si>
  <si>
    <t>蘆竹區山腳里黃帝街與武聖街連通道路</t>
    <phoneticPr fontId="12" type="noConversion"/>
  </si>
  <si>
    <t>武聖街</t>
    <phoneticPr fontId="12" type="noConversion"/>
  </si>
  <si>
    <t>黃帝街田埂</t>
    <phoneticPr fontId="12" type="noConversion"/>
  </si>
  <si>
    <t>暫緩辦理
(113.1.29)</t>
  </si>
  <si>
    <t>視本府財源再持續滾動式檢討，暫緩辦理。
(錢龍議員)</t>
    <phoneticPr fontId="12" type="noConversion"/>
  </si>
  <si>
    <t>林口特定區計畫(桃園市部分)</t>
  </si>
  <si>
    <t>中壢區龍昌路拓寬(龍東路445巷至龍昌路223巷)方案一</t>
    <phoneticPr fontId="12" type="noConversion"/>
  </si>
  <si>
    <t>龍昌路223巷口</t>
    <phoneticPr fontId="12" type="noConversion"/>
  </si>
  <si>
    <t>9~13</t>
    <phoneticPr fontId="12" type="noConversion"/>
  </si>
  <si>
    <t>保留執行
(113.1.29)</t>
    <phoneticPr fontId="2" type="noConversion"/>
  </si>
  <si>
    <t>先行協調地主南亞技術學院多退縮學校用地後，再研議以人本交通整體規劃車流及通學廊道。
(謝美英議員)</t>
    <phoneticPr fontId="12" type="noConversion"/>
  </si>
  <si>
    <t>中壢(龍岡地區)都市計畫</t>
  </si>
  <si>
    <t>謝美英</t>
  </si>
  <si>
    <t>中壢區龍昌路拓寬(龍東路445巷至龍昌路223巷)方案二</t>
    <phoneticPr fontId="12" type="noConversion"/>
  </si>
  <si>
    <t>保留執行
(113.1.29)</t>
  </si>
  <si>
    <t>中壢區成功路94巷至122巷間道路拓寬</t>
    <phoneticPr fontId="12" type="noConversion"/>
  </si>
  <si>
    <t>成功路94巷</t>
    <phoneticPr fontId="12" type="noConversion"/>
  </si>
  <si>
    <t>成功路122巷</t>
    <phoneticPr fontId="12" type="noConversion"/>
  </si>
  <si>
    <t>5~7</t>
    <phoneticPr fontId="12" type="noConversion"/>
  </si>
  <si>
    <t>(吳嘉和議員、葉明月議員)</t>
    <phoneticPr fontId="12" type="noConversion"/>
  </si>
  <si>
    <t>中壢平鎮都市計畫</t>
  </si>
  <si>
    <t>吳嘉和、葉明月</t>
    <phoneticPr fontId="2" type="noConversion"/>
  </si>
  <si>
    <t>平鎮區復旦路三段136巷道路截彎取直</t>
    <phoneticPr fontId="12" type="noConversion"/>
  </si>
  <si>
    <t>賦梅北路</t>
    <phoneticPr fontId="12" type="noConversion"/>
  </si>
  <si>
    <t>復旦路三段136巷</t>
    <phoneticPr fontId="12" type="noConversion"/>
  </si>
  <si>
    <t>請交通局、工務局、都市發展局先評估周邊交通路網及都市計畫改善，再行研議辦理。
(陳韋曄議員)</t>
    <phoneticPr fontId="12" type="noConversion"/>
  </si>
  <si>
    <t>高速公路中壢及內壢交流道附近特定區計畫</t>
  </si>
  <si>
    <t>平鎮區賦梅路一期(改善方案)(復旦路二段至賦梅路48巷)</t>
    <phoneticPr fontId="12" type="noConversion"/>
  </si>
  <si>
    <t>賦梅路48巷</t>
    <phoneticPr fontId="12" type="noConversion"/>
  </si>
  <si>
    <t>核定執行
(113.1.29)</t>
  </si>
  <si>
    <t>(王佩毓議員)</t>
    <phoneticPr fontId="12" type="noConversion"/>
  </si>
  <si>
    <t>王佩毓</t>
    <phoneticPr fontId="2" type="noConversion"/>
  </si>
  <si>
    <t>龍潭</t>
    <phoneticPr fontId="12" type="noConversion"/>
  </si>
  <si>
    <t>龍潭區民生路700巷</t>
    <phoneticPr fontId="12" type="noConversion"/>
  </si>
  <si>
    <t>電桿3</t>
    <phoneticPr fontId="12" type="noConversion"/>
  </si>
  <si>
    <t>先行辦理定線，以避車彎方式規劃會車，再研議辦理。
(徐玉樹議員)</t>
    <phoneticPr fontId="12" type="noConversion"/>
  </si>
  <si>
    <t>都外</t>
  </si>
  <si>
    <t>八德</t>
    <phoneticPr fontId="12" type="noConversion"/>
  </si>
  <si>
    <t>八德區豐田路延伸至捷運綠線G02站道路</t>
    <phoneticPr fontId="12" type="noConversion"/>
  </si>
  <si>
    <t>豐田路</t>
    <phoneticPr fontId="12" type="noConversion"/>
  </si>
  <si>
    <t>捷運綠線G02站</t>
    <phoneticPr fontId="12" type="noConversion"/>
  </si>
  <si>
    <t>請交通局先辦理交通流量評估，如有需要再滾動式檢討提報。
(許家睿議員、捷工局)</t>
    <phoneticPr fontId="12" type="noConversion"/>
  </si>
  <si>
    <t>許家睿、捷工局</t>
    <phoneticPr fontId="2" type="noConversion"/>
  </si>
  <si>
    <t>中壢區同慶路(仁德街至仁慈路)</t>
    <phoneticPr fontId="12" type="noConversion"/>
  </si>
  <si>
    <t>仁慈路</t>
    <phoneticPr fontId="12" type="noConversion"/>
  </si>
  <si>
    <t>4+1</t>
    <phoneticPr fontId="12" type="noConversion"/>
  </si>
  <si>
    <t>暫緩辦理
(113.1.29)</t>
    <phoneticPr fontId="2" type="noConversion"/>
  </si>
  <si>
    <t>視本府財源再持續滾動式檢討，暫緩辦理。
(葉明月、梁為超、徐景文、吳嘉和、彭俊豪等5位議員、魯明哲立法委員)</t>
    <phoneticPr fontId="12" type="noConversion"/>
  </si>
  <si>
    <t>葉明月、梁為超、徐景文、吳嘉和、彭俊豪、魯明哲</t>
    <phoneticPr fontId="2" type="noConversion"/>
  </si>
  <si>
    <t>平鎮區新興路179巷9弄至義興街</t>
    <phoneticPr fontId="12" type="noConversion"/>
  </si>
  <si>
    <t>新興路179巷9弄</t>
    <phoneticPr fontId="12" type="noConversion"/>
  </si>
  <si>
    <t>義興街</t>
    <phoneticPr fontId="12" type="noConversion"/>
  </si>
  <si>
    <t>有條件執行
(113.1.29)</t>
  </si>
  <si>
    <t>以瓶頸打通1.4倍辦理協議價購。
(舒翠玲議員、王佩毓議員)</t>
    <phoneticPr fontId="12" type="noConversion"/>
  </si>
  <si>
    <t>舒翠玲、王佩毓</t>
    <phoneticPr fontId="2" type="noConversion"/>
  </si>
  <si>
    <t>楊梅</t>
    <phoneticPr fontId="12" type="noConversion"/>
  </si>
  <si>
    <t>楊梅區中山北路159巷至瑞梅街92巷</t>
    <phoneticPr fontId="12" type="noConversion"/>
  </si>
  <si>
    <t>中山北路159巷</t>
    <phoneticPr fontId="12" type="noConversion"/>
  </si>
  <si>
    <t>瑞梅街92巷</t>
    <phoneticPr fontId="12" type="noConversion"/>
  </si>
  <si>
    <t>5~6</t>
    <phoneticPr fontId="12" type="noConversion"/>
  </si>
  <si>
    <t>以交通方式改善周邊道路順暢，如有需要再滾動式檢討提報。
(楊梅區公所)</t>
    <phoneticPr fontId="12" type="noConversion"/>
  </si>
  <si>
    <t>楊梅都市計畫</t>
  </si>
  <si>
    <t>楊梅區公所</t>
    <phoneticPr fontId="2" type="noConversion"/>
  </si>
  <si>
    <t>龍潭區楊銅路二段562巷</t>
    <phoneticPr fontId="12" type="noConversion"/>
  </si>
  <si>
    <t>楊銅路二段</t>
    <phoneticPr fontId="12" type="noConversion"/>
  </si>
  <si>
    <t>楊銅路二段562巷底</t>
    <phoneticPr fontId="12" type="noConversion"/>
  </si>
  <si>
    <t>電桿15</t>
    <phoneticPr fontId="12" type="noConversion"/>
  </si>
  <si>
    <t>視本府財源再持續滾動式檢討，暫緩辦理。
(鄭淑方議員)</t>
    <phoneticPr fontId="12" type="noConversion"/>
  </si>
  <si>
    <t>龍潭區龍新路(桃20)霄裡溪至三和國小道路拓寬(一期)</t>
    <phoneticPr fontId="12" type="noConversion"/>
  </si>
  <si>
    <t>三和國小龍新路三和段1420巷(直坑尾橋)</t>
    <phoneticPr fontId="12" type="noConversion"/>
  </si>
  <si>
    <t>1240巷(三和里辦公處)</t>
    <phoneticPr fontId="12" type="noConversion"/>
  </si>
  <si>
    <t>4~6</t>
    <phoneticPr fontId="12" type="noConversion"/>
  </si>
  <si>
    <t>磚造屋3</t>
    <phoneticPr fontId="12" type="noConversion"/>
  </si>
  <si>
    <t>配合通學廊道設置，先行辦理學校前道路拓寬。
(徐玉樹議員、劉熒隆議員、三和里里長)</t>
    <phoneticPr fontId="12" type="noConversion"/>
  </si>
  <si>
    <t>徐玉樹、劉熒隆、三和里里長</t>
    <phoneticPr fontId="2" type="noConversion"/>
  </si>
  <si>
    <t>龍潭區龍新路(桃20)霄裡溪至三和國小道路拓寬(二期)</t>
    <phoneticPr fontId="12" type="noConversion"/>
  </si>
  <si>
    <t>龍新路三和段1240巷(三和里辦公處)</t>
    <phoneticPr fontId="12" type="noConversion"/>
  </si>
  <si>
    <t>龍新路三和段(竹龍路)</t>
    <phoneticPr fontId="12" type="noConversion"/>
  </si>
  <si>
    <t>龍潭區龍平路自由街口延伸至東龍街</t>
    <phoneticPr fontId="12" type="noConversion"/>
  </si>
  <si>
    <t>325(東)、525(西)
共850</t>
    <phoneticPr fontId="12" type="noConversion"/>
  </si>
  <si>
    <t>0、2~4</t>
    <phoneticPr fontId="12" type="noConversion"/>
  </si>
  <si>
    <t>11+2</t>
    <phoneticPr fontId="12" type="noConversion"/>
  </si>
  <si>
    <t>以交通方式改善主幹道中興路(省道)周邊道路順暢，如有需要再滾動式檢討提報。
(呂玉玲立委、徐玉樹議員)</t>
    <phoneticPr fontId="12" type="noConversion"/>
  </si>
  <si>
    <t>觀音</t>
    <phoneticPr fontId="12" type="noConversion"/>
  </si>
  <si>
    <t>觀音區桃42線月桃路三期(廣大路延伸至福山路)道路新闢工程</t>
    <phoneticPr fontId="12" type="noConversion"/>
  </si>
  <si>
    <t>廣大路(月桃路二期)</t>
    <phoneticPr fontId="12" type="noConversion"/>
  </si>
  <si>
    <t>福山路與草漯市地重劃區第5單元</t>
    <phoneticPr fontId="12" type="noConversion"/>
  </si>
  <si>
    <t>中央補助工程費9100萬元
(新工處)</t>
    <phoneticPr fontId="12" type="noConversion"/>
  </si>
  <si>
    <t>觀音(草漯地區)都市計畫</t>
  </si>
  <si>
    <t>新工處</t>
    <phoneticPr fontId="2" type="noConversion"/>
  </si>
  <si>
    <t>桃園區兒28周邊道路東側(龍泉五街至大慶街)</t>
    <phoneticPr fontId="12" type="noConversion"/>
  </si>
  <si>
    <t>大慶街東側</t>
    <phoneticPr fontId="12" type="noConversion"/>
  </si>
  <si>
    <t>縱貫公路桃園內壢間都市計畫</t>
  </si>
  <si>
    <t>中壢區中園路右轉桃圳路交通改善(方案二)</t>
    <phoneticPr fontId="12" type="noConversion"/>
  </si>
  <si>
    <t>中園路(憶聲電子)</t>
    <phoneticPr fontId="12" type="noConversion"/>
  </si>
  <si>
    <t>桃圳路</t>
    <phoneticPr fontId="12" type="noConversion"/>
  </si>
  <si>
    <t>以方案二公有地新闢右轉專用道併入桃圳路辦理，請交通局邀集道路管養單位協調推動。
(魯明哲立委、葉明月議員、 交通局)</t>
    <phoneticPr fontId="12" type="noConversion"/>
  </si>
  <si>
    <t>魯明哲、葉明月、 交通局</t>
    <phoneticPr fontId="2" type="noConversion"/>
  </si>
  <si>
    <t>龜山</t>
    <phoneticPr fontId="12" type="noConversion"/>
  </si>
  <si>
    <t>龜山區	幸福公園</t>
    <phoneticPr fontId="12" type="noConversion"/>
  </si>
  <si>
    <t>幸福路</t>
    <phoneticPr fontId="12" type="noConversion"/>
  </si>
  <si>
    <t>幸福一街</t>
    <phoneticPr fontId="12" type="noConversion"/>
  </si>
  <si>
    <t>約2660m2</t>
    <phoneticPr fontId="12" type="noConversion"/>
  </si>
  <si>
    <t>(牛煦庭議員、孫韻璇議員)</t>
    <phoneticPr fontId="12" type="noConversion"/>
  </si>
  <si>
    <t>龜山都市計畫</t>
  </si>
  <si>
    <t>牛煦庭、孫韻璇</t>
    <phoneticPr fontId="2" type="noConversion"/>
  </si>
  <si>
    <t>瓶頸</t>
    <phoneticPr fontId="12" type="noConversion"/>
  </si>
  <si>
    <t>桃園區大德三街(快樂公園往至善街)</t>
    <phoneticPr fontId="12" type="noConversion"/>
  </si>
  <si>
    <t>大德三街與大有路802巷路口</t>
    <phoneticPr fontId="12" type="noConversion"/>
  </si>
  <si>
    <t>至善街</t>
    <phoneticPr fontId="2" type="noConversion"/>
  </si>
  <si>
    <t>核定執行
(113.7.4)</t>
    <phoneticPr fontId="2" type="noConversion"/>
  </si>
  <si>
    <t>v南崁地區都市計畫容移代金補助用地費。
(李副議長曉鐘、李光達議員)</t>
    <phoneticPr fontId="12" type="noConversion"/>
  </si>
  <si>
    <t>桃園區龍泉三街至大慶街(兒28周邊道路西側)</t>
    <phoneticPr fontId="12" type="noConversion"/>
  </si>
  <si>
    <t>龍泉三街</t>
    <phoneticPr fontId="2" type="noConversion"/>
  </si>
  <si>
    <t>大慶街</t>
    <phoneticPr fontId="2" type="noConversion"/>
  </si>
  <si>
    <t>核定執行
(113.7.4)</t>
    <phoneticPr fontId="12" type="noConversion"/>
  </si>
  <si>
    <t>桃園區同德二街189巷人行道</t>
    <phoneticPr fontId="12" type="noConversion"/>
  </si>
  <si>
    <t>慈文國中</t>
    <phoneticPr fontId="2" type="noConversion"/>
  </si>
  <si>
    <t>v南崁地區都市計畫容移代金補助用地費。
(桃園區公所)</t>
    <phoneticPr fontId="12" type="noConversion"/>
  </si>
  <si>
    <t>桃園區公所</t>
    <phoneticPr fontId="2" type="noConversion"/>
  </si>
  <si>
    <t>桃園區南豐一街瓶頸打通</t>
    <phoneticPr fontId="2" type="noConversion"/>
  </si>
  <si>
    <t>瓶頸點1:南豐一街26、28、30至31號。</t>
    <phoneticPr fontId="2" type="noConversion"/>
  </si>
  <si>
    <t>瓶頸點2:南豐街至南豐一街。</t>
    <phoneticPr fontId="2" type="noConversion"/>
  </si>
  <si>
    <t>25、20</t>
    <phoneticPr fontId="2" type="noConversion"/>
  </si>
  <si>
    <t>磚造屋2</t>
    <phoneticPr fontId="2" type="noConversion"/>
  </si>
  <si>
    <t>保留執行
(113.7.4)</t>
    <phoneticPr fontId="2" type="noConversion"/>
  </si>
  <si>
    <t>瓶頸點1、2同時打通效益較大，請持續與地主溝通取得意願，再行提報。
(陳美梅議員)</t>
    <phoneticPr fontId="2" type="noConversion"/>
  </si>
  <si>
    <t>桃園區經國路208巷打通至南通路21巷</t>
    <phoneticPr fontId="12" type="noConversion"/>
  </si>
  <si>
    <t>經國路208巷</t>
    <phoneticPr fontId="12" type="noConversion"/>
  </si>
  <si>
    <t>南通路21巷</t>
    <phoneticPr fontId="2" type="noConversion"/>
  </si>
  <si>
    <t>同意辦理用地取得，另案請交通局及都市發展局評估此路段串連南崁溪右岸及左岸，整體規劃完整路網。
v南崁地區都市計畫容移代金補助用地費。(凌濤議員)</t>
    <phoneticPr fontId="12" type="noConversion"/>
  </si>
  <si>
    <t>楊梅區民生街兩側(375巷至505巷)</t>
    <phoneticPr fontId="2" type="noConversion"/>
  </si>
  <si>
    <t>民生街375巷</t>
    <phoneticPr fontId="2" type="noConversion"/>
  </si>
  <si>
    <t>民生街505巷</t>
    <phoneticPr fontId="2" type="noConversion"/>
  </si>
  <si>
    <t>暫緩辦理
(113.7.4)</t>
    <phoneticPr fontId="2" type="noConversion"/>
  </si>
  <si>
    <t>視本府財源再持續滾動式檢討，暫緩辦理。
(周玉琴議員)</t>
    <phoneticPr fontId="2" type="noConversion"/>
  </si>
  <si>
    <t>八德</t>
    <phoneticPr fontId="2" type="noConversion"/>
  </si>
  <si>
    <t>八德區茄苳路(荷花池)瓶頸打通</t>
    <phoneticPr fontId="2" type="noConversion"/>
  </si>
  <si>
    <t>茄苳路196巷</t>
    <phoneticPr fontId="2" type="noConversion"/>
  </si>
  <si>
    <t>茄苳路無名道路</t>
    <phoneticPr fontId="2" type="noConversion"/>
  </si>
  <si>
    <t>3~3.5</t>
    <phoneticPr fontId="2" type="noConversion"/>
  </si>
  <si>
    <t>池塘</t>
    <phoneticPr fontId="2" type="noConversion"/>
  </si>
  <si>
    <t>先行辦理定線及都市計畫變更後，再行研議辦理。
(段樹文議員)</t>
    <phoneticPr fontId="2" type="noConversion"/>
  </si>
  <si>
    <t>縱貫公路桃園內壢間都市計畫農業區</t>
  </si>
  <si>
    <t>中壢區龍昌路拓寬(龍東路445巷至龍昌路223巷)</t>
    <phoneticPr fontId="12" type="noConversion"/>
  </si>
  <si>
    <t>龍東路445巷</t>
    <phoneticPr fontId="2" type="noConversion"/>
  </si>
  <si>
    <t>龍昌路223巷口</t>
    <phoneticPr fontId="2" type="noConversion"/>
  </si>
  <si>
    <t>9~13</t>
    <phoneticPr fontId="2" type="noConversion"/>
  </si>
  <si>
    <t>地主南亞技術學院願意依照主席上次裁示退縮圍牆。
(謝美英議員)</t>
    <phoneticPr fontId="12" type="noConversion"/>
  </si>
  <si>
    <t>龜山區長慶一街(長慶一街至長庚路)</t>
    <phoneticPr fontId="12" type="noConversion"/>
  </si>
  <si>
    <t>長慶一街</t>
    <phoneticPr fontId="2" type="noConversion"/>
  </si>
  <si>
    <t>長庚路</t>
    <phoneticPr fontId="2" type="noConversion"/>
  </si>
  <si>
    <t>有條件執行
(113.7.4)</t>
    <phoneticPr fontId="12" type="noConversion"/>
  </si>
  <si>
    <t>v林口特定區都市計畫容移代金補助用地費。
先行協調地主長庚醫療財團法人，以無償使用或容積移轉方式辦理。(陳雅倫議員)</t>
    <phoneticPr fontId="12" type="noConversion"/>
  </si>
  <si>
    <t>林口特定區都市計畫</t>
  </si>
  <si>
    <t>龜山區樂善一路延伸至文學路</t>
    <phoneticPr fontId="2" type="noConversion"/>
  </si>
  <si>
    <t>文學路</t>
    <phoneticPr fontId="2" type="noConversion"/>
  </si>
  <si>
    <t>樂善一路</t>
    <phoneticPr fontId="2" type="noConversion"/>
  </si>
  <si>
    <t>18~20</t>
    <phoneticPr fontId="2" type="noConversion"/>
  </si>
  <si>
    <t>先行辦理定線及都市計畫變更後，再行研議辦理。(陳雅倫議員、李宗豪議員)</t>
    <phoneticPr fontId="2" type="noConversion"/>
  </si>
  <si>
    <t>陳雅倫、李宗豪</t>
    <phoneticPr fontId="2" type="noConversion"/>
  </si>
  <si>
    <t>龍潭</t>
    <phoneticPr fontId="2" type="noConversion"/>
  </si>
  <si>
    <t>龍潭區梅龍路(馮屋大埤)</t>
    <phoneticPr fontId="2" type="noConversion"/>
  </si>
  <si>
    <t>梅龍路70巷</t>
    <phoneticPr fontId="2" type="noConversion"/>
  </si>
  <si>
    <t>截彎取直</t>
    <phoneticPr fontId="2" type="noConversion"/>
  </si>
  <si>
    <t>龍潭區公所依當地民意需求，規劃以橋面兩側設置人行步道，並串連梅花莊社區，改善行人通行安全，再研議辦理。(徐玉樹議員)</t>
    <phoneticPr fontId="2" type="noConversion"/>
  </si>
  <si>
    <t>蘆竹</t>
    <phoneticPr fontId="2" type="noConversion"/>
  </si>
  <si>
    <t>蘆竹區中興路667巷溝渠加蓋</t>
    <phoneticPr fontId="2" type="noConversion"/>
  </si>
  <si>
    <t>中興路251號前</t>
    <phoneticPr fontId="2" type="noConversion"/>
  </si>
  <si>
    <t>中興路(桃49-1)</t>
    <phoneticPr fontId="2" type="noConversion"/>
  </si>
  <si>
    <t>核定執行
(113.7.26)</t>
    <phoneticPr fontId="12" type="noConversion"/>
  </si>
  <si>
    <t>由區公所取得農業部農田水利署同意後施工。
(牛煦庭立委)</t>
    <phoneticPr fontId="2" type="noConversion"/>
  </si>
  <si>
    <t>牛煦庭</t>
    <phoneticPr fontId="2" type="noConversion"/>
  </si>
  <si>
    <t>蘆竹區新興街344巷溝渠加蓋</t>
    <phoneticPr fontId="2" type="noConversion"/>
  </si>
  <si>
    <t>新興街與344巷口</t>
    <phoneticPr fontId="2" type="noConversion"/>
  </si>
  <si>
    <t>龍林路</t>
    <phoneticPr fontId="2" type="noConversion"/>
  </si>
  <si>
    <t>2.5~3.5</t>
    <phoneticPr fontId="2" type="noConversion"/>
  </si>
  <si>
    <t>由區公所取得農業部農田水利署同意後施工。
(邱議長奕勝)</t>
    <phoneticPr fontId="2" type="noConversion"/>
  </si>
  <si>
    <t>中壢</t>
    <phoneticPr fontId="2" type="noConversion"/>
  </si>
  <si>
    <t>中壢區龍興國小預定地(文小十)西南側道路拓寬</t>
    <phoneticPr fontId="2" type="noConversion"/>
  </si>
  <si>
    <t>龍仁、龍勇路口</t>
    <phoneticPr fontId="2" type="noConversion"/>
  </si>
  <si>
    <t>龍興國小
預定地西南側計畫道路</t>
    <phoneticPr fontId="2" type="noConversion"/>
  </si>
  <si>
    <t>0、6</t>
    <phoneticPr fontId="2" type="noConversion"/>
  </si>
  <si>
    <t>配合中壢運動公園區徵聯外西南側道路，用地經費由工務局支應2億元、其餘以地政局平均地權基金支應辦理。(魯明哲立委、吳嘉和、張曉昀、葉明月、黃崇真、魏筠、謝美英、王仙蓮等議員)</t>
    <phoneticPr fontId="2" type="noConversion"/>
  </si>
  <si>
    <t>魯明哲、吳嘉和、張曉昀、葉明月、黃崇真、魏筠、謝美英、王仙蓮</t>
    <phoneticPr fontId="2" type="noConversion"/>
  </si>
  <si>
    <t>桃園</t>
    <phoneticPr fontId="2" type="noConversion"/>
  </si>
  <si>
    <t>桃園區國強一街至文中路</t>
    <phoneticPr fontId="2" type="noConversion"/>
  </si>
  <si>
    <t>國強一街</t>
    <phoneticPr fontId="2" type="noConversion"/>
  </si>
  <si>
    <t>文中路</t>
    <phoneticPr fontId="2" type="noConversion"/>
  </si>
  <si>
    <t>0~4</t>
    <phoneticPr fontId="2" type="noConversion"/>
  </si>
  <si>
    <t>17(公私1)</t>
    <phoneticPr fontId="2" type="noConversion"/>
  </si>
  <si>
    <t>桃園區同德十二街</t>
    <phoneticPr fontId="2" type="noConversion"/>
  </si>
  <si>
    <t>中埔一街</t>
    <phoneticPr fontId="2" type="noConversion"/>
  </si>
  <si>
    <t>中埔七街</t>
    <phoneticPr fontId="2" type="noConversion"/>
  </si>
  <si>
    <t>v南崁地區都市計畫容移代金補助用地費。
(詹江村議員)</t>
    <phoneticPr fontId="12" type="noConversion"/>
  </si>
  <si>
    <t>平鎮</t>
    <phoneticPr fontId="2" type="noConversion"/>
  </si>
  <si>
    <t>平鎮區陸光路(都內段)道路拓寬</t>
    <phoneticPr fontId="2" type="noConversion"/>
  </si>
  <si>
    <t>民族路雙連一段</t>
    <phoneticPr fontId="2" type="noConversion"/>
  </si>
  <si>
    <t>陸光路14巷</t>
    <phoneticPr fontId="2" type="noConversion"/>
  </si>
  <si>
    <t>6.5~9</t>
    <phoneticPr fontId="2" type="noConversion"/>
  </si>
  <si>
    <t>保留執行
(113.7.26)</t>
    <phoneticPr fontId="2" type="noConversion"/>
  </si>
  <si>
    <t>用地範圍部分位於自辦市地重劃範圍，請都市發展局確認用地取得方式及開闢期程，另交通局評估路口開闢需求，後續再行提報。(舒翠玲議員、劉仁照議員)</t>
    <phoneticPr fontId="2" type="noConversion"/>
  </si>
  <si>
    <t>高速公路中壢及內壢交流道都市計畫</t>
  </si>
  <si>
    <t>龍岡路二段(中油龍岡站旁)</t>
    <phoneticPr fontId="2" type="noConversion"/>
  </si>
  <si>
    <t>區徵4-1-10M計畫道路路口</t>
    <phoneticPr fontId="2" type="noConversion"/>
  </si>
  <si>
    <t>7(公私3)</t>
    <phoneticPr fontId="2" type="noConversion"/>
  </si>
  <si>
    <t>依都市計畫路寬30公尺開闢。
(新工處)</t>
    <phoneticPr fontId="2" type="noConversion"/>
  </si>
  <si>
    <t>平鎮區平東路239巷94弄至華安街</t>
    <phoneticPr fontId="2" type="noConversion"/>
  </si>
  <si>
    <t>平東路239巷94弄</t>
    <phoneticPr fontId="2" type="noConversion"/>
  </si>
  <si>
    <t>華安街</t>
    <phoneticPr fontId="2" type="noConversion"/>
  </si>
  <si>
    <t>(黃敬平議員、 舒翠玲議員等)</t>
    <phoneticPr fontId="2" type="noConversion"/>
  </si>
  <si>
    <t>黃敬平、 舒翠玲</t>
    <phoneticPr fontId="2" type="noConversion"/>
  </si>
  <si>
    <t>桃園區兒九周邊道路泰昌五街</t>
    <phoneticPr fontId="2" type="noConversion"/>
  </si>
  <si>
    <t>泰昌五街</t>
    <phoneticPr fontId="2" type="noConversion"/>
  </si>
  <si>
    <t>宏昌二街</t>
    <phoneticPr fontId="2" type="noConversion"/>
  </si>
  <si>
    <t>6、0</t>
    <phoneticPr fontId="2" type="noConversion"/>
  </si>
  <si>
    <t>2(公私1)</t>
    <phoneticPr fontId="2" type="noConversion"/>
  </si>
  <si>
    <t>配合桃園區兒九兒童遊樂場開闢，再行研議。
(顏秀錦里長、萬美玲立委)</t>
    <phoneticPr fontId="2" type="noConversion"/>
  </si>
  <si>
    <t>顏秀錦、萬美玲</t>
    <phoneticPr fontId="2" type="noConversion"/>
  </si>
  <si>
    <t>桃園區兒九兒童遊樂場</t>
    <phoneticPr fontId="2" type="noConversion"/>
  </si>
  <si>
    <t>2016.20㎡</t>
    <phoneticPr fontId="2" type="noConversion"/>
  </si>
  <si>
    <t>3(公私2)</t>
    <phoneticPr fontId="2" type="noConversion"/>
  </si>
  <si>
    <t>彙整社會局及民政局設施服務需求意見後，再行研議。
(顏秀錦里長、萬美玲立委)</t>
    <phoneticPr fontId="2" type="noConversion"/>
  </si>
  <si>
    <t>桃園區民光東路至三元街周邊綠地及道路</t>
    <phoneticPr fontId="2" type="noConversion"/>
  </si>
  <si>
    <t>民光東路</t>
    <phoneticPr fontId="2" type="noConversion"/>
  </si>
  <si>
    <t>三元街</t>
    <phoneticPr fontId="2" type="noConversion"/>
  </si>
  <si>
    <t>10、5、5、10</t>
    <phoneticPr fontId="2" type="noConversion"/>
  </si>
  <si>
    <t>10(公私2)</t>
    <phoneticPr fontId="2" type="noConversion"/>
  </si>
  <si>
    <t>v南崁地區都市計畫容移代金補助用地費。(工務局)
(有償撥用本預算支應之預估用地經費約3000萬元、適用容移代金使用之預估用地經費約8000萬元。)</t>
    <phoneticPr fontId="12" type="noConversion"/>
  </si>
  <si>
    <t>工務局</t>
    <phoneticPr fontId="2" type="noConversion"/>
  </si>
  <si>
    <t>有條件執行
(113.8.19)</t>
    <phoneticPr fontId="12" type="noConversion"/>
  </si>
  <si>
    <t>請地政局彙整市地重劃解編之周邊鄰近公園及兒童遊樂場、都發局盤點周邊鄰近公園及兒童遊樂場，以及民政局評估相關單位設置社福設施需求，後續再提報審議。(顏秀錦里長、萬美玲立委)</t>
    <phoneticPr fontId="2" type="noConversion"/>
  </si>
  <si>
    <t>併同兒九開闢提報審議。(顏秀錦里長、萬美玲立委)</t>
    <phoneticPr fontId="2" type="noConversion"/>
  </si>
  <si>
    <t>桃園區國信街(至國強一街168巷)</t>
    <phoneticPr fontId="2" type="noConversion"/>
  </si>
  <si>
    <t>國信街</t>
    <phoneticPr fontId="2" type="noConversion"/>
  </si>
  <si>
    <t>國強一街168巷</t>
    <phoneticPr fontId="2" type="noConversion"/>
  </si>
  <si>
    <t>核定執行
(113.8.19)</t>
    <phoneticPr fontId="12" type="noConversion"/>
  </si>
  <si>
    <t>已納入縱貫公路桃園內壢間都市計畫區重劃範圍，俟都市計畫發布實施後，以公辦市地重劃方式辦理。</t>
    <phoneticPr fontId="2" type="noConversion"/>
  </si>
  <si>
    <t>縱貫公路
桃園內壢間</t>
    <phoneticPr fontId="2" type="noConversion"/>
  </si>
  <si>
    <t>桃園區興二街(興二街14巷至興二街)</t>
    <phoneticPr fontId="2" type="noConversion"/>
  </si>
  <si>
    <t>興二街14巷</t>
    <phoneticPr fontId="2" type="noConversion"/>
  </si>
  <si>
    <t>興二街</t>
    <phoneticPr fontId="2" type="noConversion"/>
  </si>
  <si>
    <t>部分未開闢</t>
    <phoneticPr fontId="2" type="noConversion"/>
  </si>
  <si>
    <t>花台、台階</t>
    <phoneticPr fontId="2" type="noConversion"/>
  </si>
  <si>
    <t>(黃家齊議員)</t>
    <phoneticPr fontId="2" type="noConversion"/>
  </si>
  <si>
    <t>南崁地區</t>
    <phoneticPr fontId="2" type="noConversion"/>
  </si>
  <si>
    <t>觀音</t>
    <phoneticPr fontId="2" type="noConversion"/>
  </si>
  <si>
    <t>觀音區桃42線月桃路-廣大路延伸至成功南路</t>
    <phoneticPr fontId="2" type="noConversion"/>
  </si>
  <si>
    <t>廣大路</t>
    <phoneticPr fontId="12" type="noConversion"/>
  </si>
  <si>
    <t>成功南路</t>
    <phoneticPr fontId="2" type="noConversion"/>
  </si>
  <si>
    <t>先行辦理桃42線月桃路三期(廣大路延伸至福山路三段)，為維持區域道路服務水準，請交通局持續長期監控交通流量需求，立即提報審議。(吳進昌議員)</t>
    <phoneticPr fontId="2" type="noConversion"/>
  </si>
  <si>
    <t>龍潭區北龍路25巷</t>
    <phoneticPr fontId="2" type="noConversion"/>
  </si>
  <si>
    <t>中豐路</t>
    <phoneticPr fontId="2" type="noConversion"/>
  </si>
  <si>
    <t>北龍路25巷15弄</t>
    <phoneticPr fontId="2" type="noConversion"/>
  </si>
  <si>
    <t>寵物店</t>
    <phoneticPr fontId="2" type="noConversion"/>
  </si>
  <si>
    <t>(徐玉樹議員)</t>
    <phoneticPr fontId="2" type="noConversion"/>
  </si>
  <si>
    <t>蘆竹區上興路(大興路至龍安街二段)</t>
    <phoneticPr fontId="2" type="noConversion"/>
  </si>
  <si>
    <t>大興路</t>
    <phoneticPr fontId="2" type="noConversion"/>
  </si>
  <si>
    <t>龍安街二段</t>
    <phoneticPr fontId="2" type="noConversion"/>
  </si>
  <si>
    <t>保留執行
(113.8.19)</t>
    <phoneticPr fontId="2" type="noConversion"/>
  </si>
  <si>
    <t>俟大竹重劃區開闢，再行研議。
(劉勝全議員)</t>
    <phoneticPr fontId="2" type="noConversion"/>
  </si>
  <si>
    <t>蘆竹
(大竹地區)</t>
    <phoneticPr fontId="2" type="noConversion"/>
  </si>
  <si>
    <t>平鎮區中豐路南勢二段460巷</t>
    <phoneticPr fontId="2" type="noConversion"/>
  </si>
  <si>
    <t>中豐路南勢二段</t>
    <phoneticPr fontId="2" type="noConversion"/>
  </si>
  <si>
    <t>新光路五段</t>
    <phoneticPr fontId="2" type="noConversion"/>
  </si>
  <si>
    <t>7~15</t>
    <phoneticPr fontId="2" type="noConversion"/>
  </si>
  <si>
    <t>先行打通新光五路銜接既有道路；另因既有道路寬度不一，現勘評估瓶頸路段，再行研議都市計畫道路全段開闢。(劉仁照議員)</t>
    <phoneticPr fontId="2" type="noConversion"/>
  </si>
  <si>
    <t>平鎮
(山子頂地區)</t>
    <phoneticPr fontId="2" type="noConversion"/>
  </si>
  <si>
    <t>平鎮區復旦路二段186巷打通至長安路</t>
    <phoneticPr fontId="2" type="noConversion"/>
  </si>
  <si>
    <t>長安路182號</t>
    <phoneticPr fontId="2" type="noConversion"/>
  </si>
  <si>
    <t>復旦路二段186巷</t>
    <phoneticPr fontId="2" type="noConversion"/>
  </si>
  <si>
    <t>5~8</t>
    <phoneticPr fontId="2" type="noConversion"/>
  </si>
  <si>
    <t>2、7(其他建物)</t>
    <phoneticPr fontId="2" type="noConversion"/>
  </si>
  <si>
    <t>先行辦理都市計畫變更，倘爭取中央經費補助後，再行研議。
(舒翠玲議員)</t>
    <phoneticPr fontId="2" type="noConversion"/>
  </si>
  <si>
    <t>高速公路中壢
及內壢交流道</t>
    <phoneticPr fontId="2" type="noConversion"/>
  </si>
  <si>
    <t>大園</t>
    <phoneticPr fontId="2" type="noConversion"/>
  </si>
  <si>
    <t>大園區國際路一段(台15線)至民族街河堤護岸道路</t>
    <phoneticPr fontId="2" type="noConversion"/>
  </si>
  <si>
    <t>國際路一段(台15縣)</t>
    <phoneticPr fontId="2" type="noConversion"/>
  </si>
  <si>
    <t>後館一路237巷</t>
    <phoneticPr fontId="2" type="noConversion"/>
  </si>
  <si>
    <t>未登錄土地</t>
    <phoneticPr fontId="2" type="noConversion"/>
  </si>
  <si>
    <t>暫緩辦理
(113.8.19)</t>
    <phoneticPr fontId="2" type="noConversion"/>
  </si>
  <si>
    <t>俟國2甲由台15線延伸至台61線新建工程辦理期程，如有需要再滾動式檢討提報。
(交通局、徐其萬議員)</t>
    <phoneticPr fontId="2" type="noConversion"/>
  </si>
  <si>
    <t>交通局、徐其萬</t>
    <phoneticPr fontId="2" type="noConversion"/>
  </si>
  <si>
    <t>大園區田溪路(華興路二段至中山南路二段)(原一期+都內)</t>
    <phoneticPr fontId="2" type="noConversion"/>
  </si>
  <si>
    <t>華興路二段</t>
    <phoneticPr fontId="2" type="noConversion"/>
  </si>
  <si>
    <t>中山南路二段</t>
    <phoneticPr fontId="2" type="noConversion"/>
  </si>
  <si>
    <t>640(都外)
250(都計航空城)</t>
    <phoneticPr fontId="2" type="noConversion"/>
  </si>
  <si>
    <t>配合航空城計畫辦理都市計畫變更，及都市計畫變更完畢後再行研議提報。
(徐其萬議員)</t>
    <phoneticPr fontId="2" type="noConversion"/>
  </si>
  <si>
    <t>公園</t>
    <phoneticPr fontId="2" type="noConversion"/>
  </si>
  <si>
    <t>3(私1、公私2)</t>
    <phoneticPr fontId="2" type="noConversion"/>
  </si>
  <si>
    <t>有條件執行
(113.10.22)</t>
    <phoneticPr fontId="2" type="noConversion"/>
  </si>
  <si>
    <t>V縱貫公路桃園內壢間都市計畫
提報空間調度需求會議確認後核定辦理。(萬美玲立委)</t>
    <phoneticPr fontId="2" type="noConversion"/>
  </si>
  <si>
    <t>6、未開闢</t>
    <phoneticPr fontId="2" type="noConversion"/>
  </si>
  <si>
    <t>2(私1、公私2)</t>
    <phoneticPr fontId="2" type="noConversion"/>
  </si>
  <si>
    <t>V縱貫公路桃園內壢間都市計畫
配合桃園區兒九兒童遊樂場核定後辦理。(萬美玲立委)</t>
    <phoneticPr fontId="2" type="noConversion"/>
  </si>
  <si>
    <t>萬美玲</t>
    <phoneticPr fontId="2" type="noConversion"/>
  </si>
  <si>
    <t>未開闢</t>
    <phoneticPr fontId="2" type="noConversion"/>
  </si>
  <si>
    <t>5(私1、公私4)</t>
    <phoneticPr fontId="2" type="noConversion"/>
  </si>
  <si>
    <t>核定執行
(113.10.22)</t>
    <phoneticPr fontId="2" type="noConversion"/>
  </si>
  <si>
    <t>前已協議價購取得用地部分，先行辦理工程施工，並同步進行用地取得。(黃婉如議員)</t>
    <phoneticPr fontId="2" type="noConversion"/>
  </si>
  <si>
    <t>經國路208巷</t>
    <phoneticPr fontId="2" type="noConversion"/>
  </si>
  <si>
    <t>請工務局先行確認開闢道路之周邊都市計畫及鄰近土地狀況，另交通局規劃鄰近巷道之交通管制配套後，再提報執行。(凌濤議員)</t>
    <phoneticPr fontId="2" type="noConversion"/>
  </si>
  <si>
    <t>楊梅區高上路二段(台31線至梅高路二段)(方案一)</t>
    <phoneticPr fontId="2" type="noConversion"/>
  </si>
  <si>
    <t>台31線</t>
    <phoneticPr fontId="2" type="noConversion"/>
  </si>
  <si>
    <t>梅高路二段</t>
    <phoneticPr fontId="2" type="noConversion"/>
  </si>
  <si>
    <t>8~10</t>
    <phoneticPr fontId="2" type="noConversion"/>
  </si>
  <si>
    <t>先行辦理方案二
(113.10.22)</t>
    <phoneticPr fontId="2" type="noConversion"/>
  </si>
  <si>
    <t>核定執行方案二路口改善。(周玉琴議員)</t>
    <phoneticPr fontId="2" type="noConversion"/>
  </si>
  <si>
    <t>楊梅區高上路二段(台31線至梅高路二段)(方案二路口改善)</t>
    <phoneticPr fontId="2" type="noConversion"/>
  </si>
  <si>
    <t>高上路</t>
    <phoneticPr fontId="2" type="noConversion"/>
  </si>
  <si>
    <t>梅高路口</t>
    <phoneticPr fontId="2" type="noConversion"/>
  </si>
  <si>
    <t>(周玉琴議員)</t>
    <phoneticPr fontId="2" type="noConversion"/>
  </si>
  <si>
    <t>龍潭區龍平路自由街口延伸至東龍街(8公尺路寬方案)</t>
    <phoneticPr fontId="2" type="noConversion"/>
  </si>
  <si>
    <t>龍平路自由街口</t>
    <phoneticPr fontId="2" type="noConversion"/>
  </si>
  <si>
    <t>東龍街</t>
    <phoneticPr fontId="2" type="noConversion"/>
  </si>
  <si>
    <t>未開闢、2~4</t>
    <phoneticPr fontId="2" type="noConversion"/>
  </si>
  <si>
    <t>34(私32、公私2)</t>
    <phoneticPr fontId="2" type="noConversion"/>
  </si>
  <si>
    <t>保留執行
(113.10.22)</t>
    <phoneticPr fontId="2" type="noConversion"/>
  </si>
  <si>
    <t>1.先行辦理道路定線作業(路寬8公尺及12公尺皆同路線)。
2.先請里長調查12公尺路寬地主意願全數同意後，再行規劃開闢道路。
(呂玉玲立委、劉熒隆議員、徐玉樹議員)</t>
    <phoneticPr fontId="2" type="noConversion"/>
  </si>
  <si>
    <t>呂玉玲、劉熒隆、徐玉樹</t>
    <phoneticPr fontId="2" type="noConversion"/>
  </si>
  <si>
    <t>龍潭區龍平路自由街口延伸至東龍街(12公尺路寬方案)</t>
    <phoneticPr fontId="2" type="noConversion"/>
  </si>
  <si>
    <t>龍平路(中興路九龍段340巷75號旁)</t>
    <phoneticPr fontId="2" type="noConversion"/>
  </si>
  <si>
    <t>自由街</t>
    <phoneticPr fontId="2" type="noConversion"/>
  </si>
  <si>
    <t>新農街382巷</t>
    <phoneticPr fontId="2" type="noConversion"/>
  </si>
  <si>
    <t>中山北路一段390巷</t>
    <phoneticPr fontId="2" type="noConversion"/>
  </si>
  <si>
    <t>(李家興議員、工務局)</t>
    <phoneticPr fontId="2" type="noConversion"/>
  </si>
  <si>
    <t>李家興、工務局</t>
    <phoneticPr fontId="2" type="noConversion"/>
  </si>
  <si>
    <t>八德區豐田路至捷運綠線G02站道路</t>
    <phoneticPr fontId="2" type="noConversion"/>
  </si>
  <si>
    <t>豐田路</t>
    <phoneticPr fontId="2" type="noConversion"/>
  </si>
  <si>
    <t>捷運綠線G02站</t>
    <phoneticPr fontId="2" type="noConversion"/>
  </si>
  <si>
    <t>(許家睿議員)</t>
    <phoneticPr fontId="2" type="noConversion"/>
  </si>
  <si>
    <t>許家睿</t>
    <phoneticPr fontId="2" type="noConversion"/>
  </si>
  <si>
    <t>梅龍路139號轉角空地</t>
    <phoneticPr fontId="2" type="noConversion"/>
  </si>
  <si>
    <t>梅龍路53號前</t>
    <phoneticPr fontId="2" type="noConversion"/>
  </si>
  <si>
    <t>路寬約10公尺、
無人行步道</t>
    <phoneticPr fontId="2" type="noConversion"/>
  </si>
  <si>
    <t>人行步道各2公尺</t>
    <phoneticPr fontId="2" type="noConversion"/>
  </si>
  <si>
    <t>9(私8、公私1)</t>
    <phoneticPr fontId="2" type="noConversion"/>
  </si>
  <si>
    <t>為改善行人通行安全，以設置人行步道方式辦理。
(徐玉樹議員)</t>
    <phoneticPr fontId="2" type="noConversion"/>
  </si>
  <si>
    <t>聖德北路</t>
    <phoneticPr fontId="2" type="noConversion"/>
  </si>
  <si>
    <t>58
(面積:9,437.1㎡)</t>
    <phoneticPr fontId="2" type="noConversion"/>
  </si>
  <si>
    <t>航空城對外聯絡道路之溪海花卉園區。(徐其萬議員)</t>
    <phoneticPr fontId="2" type="noConversion"/>
  </si>
  <si>
    <t>陸光路10巷(重劃範圍外)</t>
    <phoneticPr fontId="2" type="noConversion"/>
  </si>
  <si>
    <t>6.5~8</t>
    <phoneticPr fontId="2" type="noConversion"/>
  </si>
  <si>
    <t>3(私2、公私1)</t>
    <phoneticPr fontId="2" type="noConversion"/>
  </si>
  <si>
    <t>為道路交通順暢，以都市計畫道路用地(重劃範圍內外)全段開闢為宜，請區公所協助取得市地重劃範圍內陸光路地主先行使用同意後，再併本案路口一併辦理徵收。(舒翠玲議員、劉仁照議員)</t>
    <phoneticPr fontId="2" type="noConversion"/>
  </si>
  <si>
    <t>大園區永園路二段永園橋(車行橋方案)</t>
    <phoneticPr fontId="2" type="noConversion"/>
  </si>
  <si>
    <t>中壢區永園路一段、永昌路</t>
    <phoneticPr fontId="2" type="noConversion"/>
  </si>
  <si>
    <t>大園區永園路二段</t>
    <phoneticPr fontId="2" type="noConversion"/>
  </si>
  <si>
    <t>俟航空城計畫開闢期程，再行研議。
(徐其萬議員、彭俊豪議員、黃崇真議員)</t>
    <phoneticPr fontId="2" type="noConversion"/>
  </si>
  <si>
    <t>徐其萬、彭俊豪、黃崇真</t>
    <phoneticPr fontId="2" type="noConversion"/>
  </si>
  <si>
    <t>大園區永園路二段永園橋(人行橋方案)</t>
    <phoneticPr fontId="2" type="noConversion"/>
  </si>
  <si>
    <t>南豐路與116巷路口</t>
    <phoneticPr fontId="2" type="noConversion"/>
  </si>
  <si>
    <t>兒十一北側(93巷10弄)</t>
    <phoneticPr fontId="2" type="noConversion"/>
  </si>
  <si>
    <t>0、5</t>
    <phoneticPr fontId="2" type="noConversion"/>
  </si>
  <si>
    <t>8、12</t>
    <phoneticPr fontId="2" type="noConversion"/>
  </si>
  <si>
    <t>23(私22、公私1)</t>
    <phoneticPr fontId="2" type="noConversion"/>
  </si>
  <si>
    <t>暫緩辦理
(113.10.22)</t>
    <phoneticPr fontId="2" type="noConversion"/>
  </si>
  <si>
    <t>視本府財源再持續滾動式檢討，暫緩辦理。
(舒翠玲議員、劉仁照議員)</t>
    <phoneticPr fontId="2" type="noConversion"/>
  </si>
  <si>
    <t>桃園區成功二橋新建工程(公十公園新闢工程)</t>
    <phoneticPr fontId="2" type="noConversion"/>
  </si>
  <si>
    <t>成功路三段新闢橋梁向南延伸</t>
    <phoneticPr fontId="2" type="noConversion"/>
  </si>
  <si>
    <t>成功陸橋</t>
    <phoneticPr fontId="2" type="noConversion"/>
  </si>
  <si>
    <t>面積 
31.5平方公尺</t>
    <phoneticPr fontId="2" type="noConversion"/>
  </si>
  <si>
    <t>工務局專報核定
(113.11.18)</t>
    <phoneticPr fontId="2" type="noConversion"/>
  </si>
  <si>
    <t>1.請本府新建工程處持續推動；另為推動順利，請本府都市發展局將「桃園區成功二橋新建工程」範圍納入都市計畫通盤檢討。
2.請本府農業局藉此機會改善虎頭山假日花市環境，並美化花市攤位。(規設科專報)</t>
    <phoneticPr fontId="2" type="noConversion"/>
  </si>
  <si>
    <t>規設科專報</t>
    <phoneticPr fontId="2" type="noConversion"/>
  </si>
  <si>
    <t>中壢區大華路(內定一街至大華路350巷)拓寬工程(非都)</t>
    <phoneticPr fontId="2" type="noConversion"/>
  </si>
  <si>
    <t>內定一街</t>
    <phoneticPr fontId="2" type="noConversion"/>
  </si>
  <si>
    <t>大華路350巷口</t>
    <phoneticPr fontId="2" type="noConversion"/>
  </si>
  <si>
    <t>線型核定，請接續提報本府專案會議。(規設科專報)
(112年8月10日開瓶道路專案報告會議紀錄為『保留執行案，須先行辦理定線』)</t>
    <phoneticPr fontId="2" type="noConversion"/>
  </si>
  <si>
    <t>楊梅區楊新路(高鐵南路七段高鐵橋下至老飯店橋)道路拓寬工程(非都)</t>
    <phoneticPr fontId="2" type="noConversion"/>
  </si>
  <si>
    <t>高鐵南路七段(高鐵橋下)</t>
    <phoneticPr fontId="2" type="noConversion"/>
  </si>
  <si>
    <t>和平路口(老飯店橋旁)</t>
    <phoneticPr fontId="2" type="noConversion"/>
  </si>
  <si>
    <t>平鎮區復旦路四段227巷打通至高幼路226巷(都內)</t>
    <phoneticPr fontId="2" type="noConversion"/>
  </si>
  <si>
    <t>復旦路四段</t>
    <phoneticPr fontId="2" type="noConversion"/>
  </si>
  <si>
    <t>高幼路226巷</t>
    <phoneticPr fontId="2" type="noConversion"/>
  </si>
  <si>
    <t>200+46+497=743</t>
    <phoneticPr fontId="2" type="noConversion"/>
  </si>
  <si>
    <t>線型核定，請接續辦理後續都市計畫變更。(規設科專報)</t>
    <phoneticPr fontId="2" type="noConversion"/>
  </si>
  <si>
    <t>蘆竹區南福街255巷(奉化路253號至國道1號橋下涵洞口)(都內)</t>
    <phoneticPr fontId="2" type="noConversion"/>
  </si>
  <si>
    <t>南福街255巷涵洞口</t>
    <phoneticPr fontId="2" type="noConversion"/>
  </si>
  <si>
    <t>奉化路</t>
    <phoneticPr fontId="2" type="noConversion"/>
  </si>
  <si>
    <t>4~5</t>
    <phoneticPr fontId="2" type="noConversion"/>
  </si>
  <si>
    <t>線型核定，請接續辦理後續都市計畫變更。(規設科專報)
(112年8月10日開瓶道路專案報告會議紀錄為『先行辦理定線及都市計畫變更後，再行研議辦理』)</t>
    <phoneticPr fontId="2" type="noConversion"/>
  </si>
  <si>
    <t>桃園區經國路208巷打通至南通路21巷</t>
    <phoneticPr fontId="2" type="noConversion"/>
  </si>
  <si>
    <t>本案核定以一般道路徵收方式辦理執行。(規設科專報)</t>
    <phoneticPr fontId="2" type="noConversion"/>
  </si>
  <si>
    <t>一般
專簽</t>
    <phoneticPr fontId="2" type="noConversion"/>
  </si>
  <si>
    <t>大溪</t>
    <phoneticPr fontId="2" type="noConversion"/>
  </si>
  <si>
    <t>大漢溪兩岸道路串連並延伸至台3線-大漢溪左岸新闢道路</t>
    <phoneticPr fontId="2" type="noConversion"/>
  </si>
  <si>
    <t>大鶯路1020巷</t>
    <phoneticPr fontId="12" type="noConversion"/>
  </si>
  <si>
    <t>中庄調整池(水防道路)</t>
    <phoneticPr fontId="2" type="noConversion"/>
  </si>
  <si>
    <t>未開闢/8改15</t>
    <phoneticPr fontId="2" type="noConversion"/>
  </si>
  <si>
    <t>工務局專報核定
(114.1.6)</t>
    <phoneticPr fontId="2" type="noConversion"/>
  </si>
  <si>
    <t>原核定8米，因應紓解聯絡道車流，同意改為15米，並請工務局啟動用地取得等相關作業。(規設科專報)</t>
    <phoneticPr fontId="2" type="noConversion"/>
  </si>
  <si>
    <t>大漢溪兩岸道路串連並延伸至台3線-大漢溪跨橋及右岸道路</t>
    <phoneticPr fontId="2" type="noConversion"/>
  </si>
  <si>
    <t>大漢溪左岸跨橋及右岸</t>
    <phoneticPr fontId="2" type="noConversion"/>
  </si>
  <si>
    <t>台3線</t>
    <phoneticPr fontId="2" type="noConversion"/>
  </si>
  <si>
    <t>特殊景觀橋梁
(預力箱型梁橋)</t>
    <phoneticPr fontId="2" type="noConversion"/>
  </si>
  <si>
    <t>1.請工務局啟動定線、用地及工程等相關作業。(規設科專報)
2.跨橋同意採用「特殊景觀橋梁」進行規劃。
3.右岸道路串聯台3線道路後，車流改由台3線前往大溪老街或台7線，請交通局評估周邊是否設置停車場之可行性。
4.左右岸涉及環評作業建議併案申請。</t>
    <phoneticPr fontId="2" type="noConversion"/>
  </si>
  <si>
    <t>台31北延替代方案(內溪路)</t>
    <phoneticPr fontId="2" type="noConversion"/>
  </si>
  <si>
    <t>南崁路二段</t>
    <phoneticPr fontId="2" type="noConversion"/>
  </si>
  <si>
    <t>南工路一段</t>
    <phoneticPr fontId="2" type="noConversion"/>
  </si>
  <si>
    <t>4+4
(原5.2+5.2)</t>
    <phoneticPr fontId="2" type="noConversion"/>
  </si>
  <si>
    <t>高鐵用地</t>
    <phoneticPr fontId="2" type="noConversion"/>
  </si>
  <si>
    <t>1.請交通局協助配合調整南工路車道配置改為雙向4車道。(規設科專報)
2.先打通台31至南工路(採雙向2車道規劃)，南崁路二段至南工路一段(高鐵橋下空間)。
3.內溪路及內溪橋依照都市計畫道路進行開闢。</t>
    <phoneticPr fontId="2" type="noConversion"/>
  </si>
  <si>
    <t>蘆竹區內溪路(內溪路40巷至油管路一段)</t>
    <phoneticPr fontId="2" type="noConversion"/>
  </si>
  <si>
    <t>西溪路231巷</t>
    <phoneticPr fontId="2" type="noConversion"/>
  </si>
  <si>
    <t>油管路</t>
    <phoneticPr fontId="2" type="noConversion"/>
  </si>
  <si>
    <t>8/未開闢</t>
    <phoneticPr fontId="2" type="noConversion"/>
  </si>
  <si>
    <t>請工務局依照都市計畫道路12米辦理徵收開闢。(規設科專報)</t>
    <phoneticPr fontId="2" type="noConversion"/>
  </si>
  <si>
    <t>楊梅區龍園社區(梅高路120巷39弄土地爭議)</t>
    <phoneticPr fontId="2" type="noConversion"/>
  </si>
  <si>
    <t>梅高路120巷</t>
    <phoneticPr fontId="12" type="noConversion"/>
  </si>
  <si>
    <t>梅高路120巷3弄</t>
    <phoneticPr fontId="12" type="noConversion"/>
  </si>
  <si>
    <t>面積
280平方公尺</t>
    <phoneticPr fontId="2" type="noConversion"/>
  </si>
  <si>
    <t>已開闢
(訴訟敗訴)</t>
    <phoneticPr fontId="2" type="noConversion"/>
  </si>
  <si>
    <t>請先與地主溝通取得用地，再行辦理變更編定。(規設科專報)</t>
    <phoneticPr fontId="2" type="noConversion"/>
  </si>
  <si>
    <t>月桃路三期(廣大路延伸至成功南路)</t>
    <phoneticPr fontId="2" type="noConversion"/>
  </si>
  <si>
    <t>二期</t>
    <phoneticPr fontId="2" type="noConversion"/>
  </si>
  <si>
    <t>重劃區南側</t>
    <phoneticPr fontId="2" type="noConversion"/>
  </si>
  <si>
    <t>X工務局專報核定
(114.1.6)</t>
    <phoneticPr fontId="2" type="noConversion"/>
  </si>
  <si>
    <t>前已核定三期廣大路延伸至福山路暫緩執行，先行辦理廣大路延伸至成功南路用地取得。(規設科專報)
(會議紀錄刪除)</t>
    <phoneticPr fontId="2" type="noConversion"/>
  </si>
  <si>
    <t>一般</t>
    <phoneticPr fontId="2" type="noConversion"/>
  </si>
  <si>
    <t>廣大路</t>
    <phoneticPr fontId="2" type="noConversion"/>
  </si>
  <si>
    <t>都內30、都外20</t>
    <phoneticPr fontId="2" type="noConversion"/>
  </si>
  <si>
    <t>核定執行
(114.4.7)</t>
    <phoneticPr fontId="2" type="noConversion"/>
  </si>
  <si>
    <t>爭取中央經費補助。
(吳進昌議員)</t>
    <phoneticPr fontId="2" type="noConversion"/>
  </si>
  <si>
    <t>吳進昌</t>
  </si>
  <si>
    <t>龜山</t>
    <phoneticPr fontId="2" type="noConversion"/>
  </si>
  <si>
    <t>龜山區長慶一街(長慶一街至長庚路)</t>
    <phoneticPr fontId="2" type="noConversion"/>
  </si>
  <si>
    <t>v林口特定區都市計畫容移代金補助用地費。
(陳雅倫議員)</t>
    <phoneticPr fontId="2" type="noConversion"/>
  </si>
  <si>
    <t>陳雅倫</t>
  </si>
  <si>
    <t>平鎮區新興路至義興街(一期)</t>
    <phoneticPr fontId="2" type="noConversion"/>
  </si>
  <si>
    <t>新興路179巷9弄</t>
    <phoneticPr fontId="2" type="noConversion"/>
  </si>
  <si>
    <t>義興街</t>
    <phoneticPr fontId="2" type="noConversion"/>
  </si>
  <si>
    <t>2
(1公+1公私共有)</t>
    <phoneticPr fontId="2" type="noConversion"/>
  </si>
  <si>
    <t>先行辦理一期學校前道路拓寬。
(舒翠玲議員、王佩毓議員)</t>
    <phoneticPr fontId="2" type="noConversion"/>
  </si>
  <si>
    <t>平鎮區新興路至義興街(二期)</t>
    <phoneticPr fontId="2" type="noConversion"/>
  </si>
  <si>
    <t>先辦理一期
(114.4.7)</t>
    <phoneticPr fontId="2" type="noConversion"/>
  </si>
  <si>
    <t>(舒翠玲議員、王佩毓議員)</t>
    <phoneticPr fontId="2" type="noConversion"/>
  </si>
  <si>
    <t>龍潭區龍新路道路拓寬(桃20)二期(三和段1240巷至製茶工廠)</t>
    <phoneticPr fontId="2" type="noConversion"/>
  </si>
  <si>
    <t>龍新路三和段1240巷</t>
    <phoneticPr fontId="2" type="noConversion"/>
  </si>
  <si>
    <t>製茶工廠</t>
    <phoneticPr fontId="2" type="noConversion"/>
  </si>
  <si>
    <t>4~6</t>
    <phoneticPr fontId="2" type="noConversion"/>
  </si>
  <si>
    <t>先行辦理二期道路開闢，並爭取新竹科學園區管理局經費補助；三期俟一、二期開闢情形再行研議。</t>
    <phoneticPr fontId="2" type="noConversion"/>
  </si>
  <si>
    <t>龍潭區龍新路道路拓寬(桃20)三期(新竹縣至直坑尾橋)</t>
    <phoneticPr fontId="2" type="noConversion"/>
  </si>
  <si>
    <t>新竹縣關西鎮及龍新路三水段交界處</t>
    <phoneticPr fontId="2" type="noConversion"/>
  </si>
  <si>
    <t>三和段直坑尾橋</t>
    <phoneticPr fontId="2" type="noConversion"/>
  </si>
  <si>
    <t>4~6、10</t>
    <phoneticPr fontId="2" type="noConversion"/>
  </si>
  <si>
    <t>先辦理二期
(114.4.7)</t>
    <phoneticPr fontId="2" type="noConversion"/>
  </si>
  <si>
    <t>三期俟一、二期開闢情形再行研議。</t>
    <phoneticPr fontId="2" type="noConversion"/>
  </si>
  <si>
    <t>中壢區南園二路延伸中豐北路</t>
    <phoneticPr fontId="2" type="noConversion"/>
  </si>
  <si>
    <t>南園二路</t>
    <phoneticPr fontId="2" type="noConversion"/>
  </si>
  <si>
    <t>中豐北路</t>
    <phoneticPr fontId="2" type="noConversion"/>
  </si>
  <si>
    <t>v高速公路中壢及內壢交流道附近特定區計畫容移代金補助用地費。
(工務局)</t>
    <phoneticPr fontId="2" type="noConversion"/>
  </si>
  <si>
    <t>工務局</t>
  </si>
  <si>
    <t>瓶頸</t>
    <phoneticPr fontId="2" type="noConversion"/>
  </si>
  <si>
    <t>中壢區成章二街436巷道路</t>
    <phoneticPr fontId="2" type="noConversion"/>
  </si>
  <si>
    <t>成章二街436巷</t>
    <phoneticPr fontId="2" type="noConversion"/>
  </si>
  <si>
    <t>忠孝路336巷</t>
    <phoneticPr fontId="2" type="noConversion"/>
  </si>
  <si>
    <t>1(圍牆)</t>
    <phoneticPr fontId="2" type="noConversion"/>
  </si>
  <si>
    <t>請公所先行辦理公有土地佔用物拆除作業，並同步進行私有用地取得。
(中壢區公所)</t>
    <phoneticPr fontId="2" type="noConversion"/>
  </si>
  <si>
    <t>平鎮區高幼路至復旦路四段131巷口改善</t>
    <phoneticPr fontId="2" type="noConversion"/>
  </si>
  <si>
    <t>高幼路</t>
    <phoneticPr fontId="2" type="noConversion"/>
  </si>
  <si>
    <t>(陳韋曄議員)</t>
    <phoneticPr fontId="2" type="noConversion"/>
  </si>
  <si>
    <t>陳韋曄</t>
  </si>
  <si>
    <t>楊梅區秀才路178巷拓寬暨延伸至中山南路</t>
    <phoneticPr fontId="2" type="noConversion"/>
  </si>
  <si>
    <t>秀才路與秀才路178巷路口</t>
    <phoneticPr fontId="2" type="noConversion"/>
  </si>
  <si>
    <t>中山南路</t>
    <phoneticPr fontId="2" type="noConversion"/>
  </si>
  <si>
    <t>0、3~5</t>
    <phoneticPr fontId="2" type="noConversion"/>
  </si>
  <si>
    <t>暫緩執行
(114.4.7)</t>
    <phoneticPr fontId="2" type="noConversion"/>
  </si>
  <si>
    <t>視本府財源再持續滾動式檢討，暫緩辦理。
(交通局、工務局)</t>
    <phoneticPr fontId="2" type="noConversion"/>
  </si>
  <si>
    <t>交通局、工務局</t>
  </si>
  <si>
    <t>楊梅區中山南路(台1線)至牲牲路道路新闢工程(牲牲路第三期)</t>
    <phoneticPr fontId="2" type="noConversion"/>
  </si>
  <si>
    <t>牲牲路618巷與國道1號涵洞口</t>
    <phoneticPr fontId="2" type="noConversion"/>
  </si>
  <si>
    <t>中山南路847號東側巷道</t>
    <phoneticPr fontId="2" type="noConversion"/>
  </si>
  <si>
    <t>爭取中央經費補助。
(交通局、工務局)</t>
    <phoneticPr fontId="2" type="noConversion"/>
  </si>
  <si>
    <t>中壢區大華路(內定一街至大華路350巷)(都外)</t>
    <phoneticPr fontId="2" type="noConversion"/>
  </si>
  <si>
    <t>大華路350巷</t>
    <phoneticPr fontId="2" type="noConversion"/>
  </si>
  <si>
    <t>2(棚架)</t>
    <phoneticPr fontId="2" type="noConversion"/>
  </si>
  <si>
    <t>(邱奕勝議長、葉明月議員)</t>
    <phoneticPr fontId="2" type="noConversion"/>
  </si>
  <si>
    <t>邱奕勝、葉明月</t>
    <phoneticPr fontId="2" type="noConversion"/>
  </si>
  <si>
    <t>楊梅區龍園社區新闢道路(梅高路120巷39弄至梅高路梅岡巷)</t>
    <phoneticPr fontId="2" type="noConversion"/>
  </si>
  <si>
    <t>梅高路120巷39弄</t>
    <phoneticPr fontId="2" type="noConversion"/>
  </si>
  <si>
    <t>梅高路梅岡巷</t>
  </si>
  <si>
    <t>不足1公尺人行通道(泥土路)</t>
    <phoneticPr fontId="2" type="noConversion"/>
  </si>
  <si>
    <t>有條件執行
(114.4.7)</t>
    <phoneticPr fontId="2" type="noConversion"/>
  </si>
  <si>
    <t>先以原方案協調地主辦理協議價購，倘無法取得用地，改以新方案公有土地辦理道路開闢。
(涂權吉立委、李家興議員、周玉琴議員)</t>
    <phoneticPr fontId="2" type="noConversion"/>
  </si>
  <si>
    <t>涂權吉、李家興、周玉琴</t>
    <phoneticPr fontId="2" type="noConversion"/>
  </si>
  <si>
    <t>平鎮區南豐路161巷路口拓寬(方案一)</t>
    <phoneticPr fontId="2" type="noConversion"/>
  </si>
  <si>
    <t>116巷16號前</t>
    <phoneticPr fontId="2" type="noConversion"/>
  </si>
  <si>
    <t>2
(公私共有)</t>
    <phoneticPr fontId="2" type="noConversion"/>
  </si>
  <si>
    <t>平鎮區南豐路161巷路口拓寬(方案二)</t>
    <phoneticPr fontId="2" type="noConversion"/>
  </si>
  <si>
    <t>116巷16號前</t>
  </si>
  <si>
    <t>平鎮區廣泰路201巷26號至廣泰路</t>
    <phoneticPr fontId="2" type="noConversion"/>
  </si>
  <si>
    <t>廣泰路201巷26號</t>
    <phoneticPr fontId="2" type="noConversion"/>
  </si>
  <si>
    <t>廣泰路</t>
    <phoneticPr fontId="2" type="noConversion"/>
  </si>
  <si>
    <t>依本府財源執行情形，以執行案排序專簽本府核定後辦理。
(陳韋曄議員)</t>
    <phoneticPr fontId="2" type="noConversion"/>
  </si>
  <si>
    <t>中壢區成功路94巷至122巷間道路拓寬</t>
    <phoneticPr fontId="2" type="noConversion"/>
  </si>
  <si>
    <t>成功路94巷</t>
    <phoneticPr fontId="2" type="noConversion"/>
  </si>
  <si>
    <t>成功路122巷</t>
    <phoneticPr fontId="2" type="noConversion"/>
  </si>
  <si>
    <t>5~7</t>
    <phoneticPr fontId="2" type="noConversion"/>
  </si>
  <si>
    <t>(吳嘉和議員、葉明月議員)</t>
    <phoneticPr fontId="2" type="noConversion"/>
  </si>
  <si>
    <t>楊梅體育園區內通路(裕成路至瑞溪路)道路工程(方案一)</t>
    <phoneticPr fontId="2" type="noConversion"/>
  </si>
  <si>
    <t>裕成路</t>
    <phoneticPr fontId="2" type="noConversion"/>
  </si>
  <si>
    <t>瑞溪路一段</t>
    <phoneticPr fontId="2" type="noConversion"/>
  </si>
  <si>
    <t>以方案一公有土地辦理道路開闢。
(工務局)</t>
    <phoneticPr fontId="2" type="noConversion"/>
  </si>
  <si>
    <t>楊梅體育園區內通路(裕成路至瑞溪路)道路工程(方案二)</t>
    <phoneticPr fontId="2" type="noConversion"/>
  </si>
  <si>
    <t>辦理方案一
(114.4.7)</t>
    <phoneticPr fontId="2" type="noConversion"/>
  </si>
  <si>
    <t>(工務局)</t>
    <phoneticPr fontId="2" type="noConversion"/>
  </si>
  <si>
    <t>龜山區振興路替代道路新闢工程</t>
    <phoneticPr fontId="2" type="noConversion"/>
  </si>
  <si>
    <t>振興路</t>
    <phoneticPr fontId="2" type="noConversion"/>
  </si>
  <si>
    <t>萬壽路二段</t>
    <phoneticPr fontId="2" type="noConversion"/>
  </si>
  <si>
    <t>以短期路口交通改善方案辦理；另長期方案先行辦理道路定線作業，俟短期方案改善情形再行研議。(牛煦庭議員、孫韻璇議員)</t>
    <phoneticPr fontId="2" type="noConversion"/>
  </si>
  <si>
    <t>桃園區龍壽街銜接莊敬路二段道路新闢工程(第一期)</t>
    <phoneticPr fontId="2" type="noConversion"/>
  </si>
  <si>
    <t>文新街</t>
    <phoneticPr fontId="2" type="noConversion"/>
  </si>
  <si>
    <t>永安路</t>
    <phoneticPr fontId="2" type="noConversion"/>
  </si>
  <si>
    <t>保留執行
(114.4.7)</t>
    <phoneticPr fontId="2" type="noConversion"/>
  </si>
  <si>
    <t>先行辦理道路定線作業，再行研議。
(縱貫公路桃園內壢間容移代金補助用地費)(工務局)</t>
    <phoneticPr fontId="2" type="noConversion"/>
  </si>
  <si>
    <t>桃園區龍壽街銜接莊敬路二段道路新闢工程(第二期)</t>
    <phoneticPr fontId="2" type="noConversion"/>
  </si>
  <si>
    <t>龍壽街至文新街</t>
    <phoneticPr fontId="2" type="noConversion"/>
  </si>
  <si>
    <t>永安路至莊敬路二段</t>
    <phoneticPr fontId="2" type="noConversion"/>
  </si>
  <si>
    <t>750+1200</t>
    <phoneticPr fontId="2" type="noConversion"/>
  </si>
  <si>
    <t>大園區永園橋新闢工程-新規劃方案</t>
    <phoneticPr fontId="2" type="noConversion"/>
  </si>
  <si>
    <t>車行300
人行190</t>
    <phoneticPr fontId="2" type="noConversion"/>
  </si>
  <si>
    <t>以新規劃方案辦理，規劃自永昌路口銜接至桃園國際機場園區及附近地區特定區計畫之公有公共設施用地辦理橋梁新闢工程。(工務局)</t>
    <phoneticPr fontId="2" type="noConversion"/>
  </si>
  <si>
    <t>桃園區寶山街18巷人行步道改善</t>
    <phoneticPr fontId="2" type="noConversion"/>
  </si>
  <si>
    <t>寶山街</t>
    <phoneticPr fontId="2" type="noConversion"/>
  </si>
  <si>
    <t>民有東路</t>
    <phoneticPr fontId="2" type="noConversion"/>
  </si>
  <si>
    <t>4
(1公私共有)</t>
    <phoneticPr fontId="2" type="noConversion"/>
  </si>
  <si>
    <t>請公所先行辦理既有人行步道改善工程，並同步進行私有用地取得。
(牛煦庭立委)</t>
    <phoneticPr fontId="2" type="noConversion"/>
  </si>
  <si>
    <t>中壢區龍門街94號至龍岡路三段</t>
    <phoneticPr fontId="2" type="noConversion"/>
  </si>
  <si>
    <t>龍岡路三段</t>
    <phoneticPr fontId="2" type="noConversion"/>
  </si>
  <si>
    <t>龍門街94號前</t>
  </si>
  <si>
    <t>6
(1公私共有)</t>
    <phoneticPr fontId="2" type="noConversion"/>
  </si>
  <si>
    <t>先行確認開闢道路瓶頸路段之用地範圍、都市計畫範圍及經費等，再提報研議。
(魯明哲立委)</t>
    <phoneticPr fontId="2" type="noConversion"/>
  </si>
  <si>
    <t>魯明哲</t>
    <phoneticPr fontId="2" type="noConversion"/>
  </si>
  <si>
    <t>楊梅區校前路298巷至秀才路207巷涵洞拓寬</t>
    <phoneticPr fontId="2" type="noConversion"/>
  </si>
  <si>
    <t>校前路298巷</t>
    <phoneticPr fontId="2" type="noConversion"/>
  </si>
  <si>
    <t>秀才路207巷</t>
    <phoneticPr fontId="2" type="noConversion"/>
  </si>
  <si>
    <t>3~4</t>
    <phoneticPr fontId="2" type="noConversion"/>
  </si>
  <si>
    <t>龍潭區龍平路(自由街至東龍街)</t>
    <phoneticPr fontId="2" type="noConversion"/>
  </si>
  <si>
    <t>12
(2公私共有)</t>
    <phoneticPr fontId="2" type="noConversion"/>
  </si>
  <si>
    <t>有條件執行
(114.4.9)</t>
    <phoneticPr fontId="2" type="noConversion"/>
  </si>
  <si>
    <t>倘道路線型12公尺路寬地主皆全數同意，方可辦理用地取得作業。(呂玉玲立委、劉熒隆議員、徐玉樹議員)</t>
    <phoneticPr fontId="2" type="noConversion"/>
  </si>
  <si>
    <t>平鎮區陸光路(都內段)道路拓寬(重劃範圍外)</t>
    <phoneticPr fontId="2" type="noConversion"/>
  </si>
  <si>
    <t>7
(1公私共有)</t>
    <phoneticPr fontId="2" type="noConversion"/>
  </si>
  <si>
    <t>核定執行
(114.4.9)</t>
    <phoneticPr fontId="2" type="noConversion"/>
  </si>
  <si>
    <t>v高速公路中壢及內壢交流道附近特定區計畫容移代金補助用地費。
(舒翠玲議員、劉仁照議員)</t>
    <phoneticPr fontId="2" type="noConversion"/>
  </si>
  <si>
    <t>溝渠</t>
    <phoneticPr fontId="2" type="noConversion"/>
  </si>
  <si>
    <t>文化路</t>
    <phoneticPr fontId="2" type="noConversion"/>
  </si>
  <si>
    <t>文化路1011巷口</t>
    <phoneticPr fontId="2" type="noConversion"/>
  </si>
  <si>
    <t>(魯明哲立委、謝美英議員)</t>
    <phoneticPr fontId="2" type="noConversion"/>
  </si>
  <si>
    <t>魯明哲、謝美英</t>
    <phoneticPr fontId="2" type="noConversion"/>
  </si>
  <si>
    <t>龍潭區民生路700巷(700巷口至四季豆社區段)</t>
    <phoneticPr fontId="2" type="noConversion"/>
  </si>
  <si>
    <t>民生路700巷口</t>
    <phoneticPr fontId="2" type="noConversion"/>
  </si>
  <si>
    <t>四季豆社區</t>
    <phoneticPr fontId="2" type="noConversion"/>
  </si>
  <si>
    <t>(張肇良議員)</t>
    <phoneticPr fontId="2" type="noConversion"/>
  </si>
  <si>
    <t>張肇良</t>
    <phoneticPr fontId="2" type="noConversion"/>
  </si>
  <si>
    <t>中壢區龍門街94號至龍岡路三段(延續第1次會議)</t>
    <phoneticPr fontId="2" type="noConversion"/>
  </si>
  <si>
    <t>平鎮區中豐路一段125巷至關爺西路38巷(方案一)</t>
    <phoneticPr fontId="2" type="noConversion"/>
  </si>
  <si>
    <t>中豐路一段125巷</t>
    <phoneticPr fontId="2" type="noConversion"/>
  </si>
  <si>
    <t>關爺西路38巷</t>
    <phoneticPr fontId="2" type="noConversion"/>
  </si>
  <si>
    <t>先辦理方案二
(114.4.9)</t>
    <phoneticPr fontId="2" type="noConversion"/>
  </si>
  <si>
    <t>(王佩毓議員)</t>
    <phoneticPr fontId="2" type="noConversion"/>
  </si>
  <si>
    <t>平鎮區中豐路一段125巷至關爺西路38巷(方案二)</t>
    <phoneticPr fontId="2" type="noConversion"/>
  </si>
  <si>
    <t>以方案二公有土地辦理道路開闢。
(王佩毓議員)</t>
    <phoneticPr fontId="2" type="noConversion"/>
  </si>
  <si>
    <t>龍潭區竹龍路與聖亭路道路拓寬</t>
    <phoneticPr fontId="2" type="noConversion"/>
  </si>
  <si>
    <t>竹龍路與聖亭路口</t>
    <phoneticPr fontId="2" type="noConversion"/>
  </si>
  <si>
    <t>2支台電桿、1支紅綠燈號誌桿、擋土牆</t>
    <phoneticPr fontId="2" type="noConversion"/>
  </si>
  <si>
    <t>龍潭區神龍路53巷延伸至神農路道路新闢工程</t>
    <phoneticPr fontId="2" type="noConversion"/>
  </si>
  <si>
    <t>神龍路53巷</t>
    <phoneticPr fontId="2" type="noConversion"/>
  </si>
  <si>
    <t>神農路</t>
    <phoneticPr fontId="2" type="noConversion"/>
  </si>
  <si>
    <t>4
(2公私共有)</t>
    <phoneticPr fontId="2" type="noConversion"/>
  </si>
  <si>
    <t>有條件執行案
(114.4.9)</t>
    <phoneticPr fontId="2" type="noConversion"/>
  </si>
  <si>
    <t>先行以瓶頸方式辦理用地取得，倘無法取得用地，配合交通局開闢學校地下停車場期程辦理徵收作業。(交通局)</t>
    <phoneticPr fontId="2" type="noConversion"/>
  </si>
  <si>
    <t>交通局</t>
    <phoneticPr fontId="2" type="noConversion"/>
  </si>
  <si>
    <t>蘆竹區內溪橋新闢工程</t>
    <phoneticPr fontId="2" type="noConversion"/>
  </si>
  <si>
    <t>東溪路</t>
    <phoneticPr fontId="2" type="noConversion"/>
  </si>
  <si>
    <t>西溪路231巷15
東溪路7</t>
    <phoneticPr fontId="2" type="noConversion"/>
  </si>
  <si>
    <t>15
(3公私共有)</t>
    <phoneticPr fontId="2" type="noConversion"/>
  </si>
  <si>
    <t>另案研議
(114.4.9)</t>
    <phoneticPr fontId="2" type="noConversion"/>
  </si>
  <si>
    <t>請下次會議邀蘆竹區公所說明後再決定。
(工務局)</t>
    <phoneticPr fontId="2" type="noConversion"/>
  </si>
  <si>
    <t>桃園區春日路與向善街口道路</t>
    <phoneticPr fontId="2" type="noConversion"/>
  </si>
  <si>
    <t>春日路</t>
    <phoneticPr fontId="2" type="noConversion"/>
  </si>
  <si>
    <t>向善街口</t>
    <phoneticPr fontId="2" type="noConversion"/>
  </si>
  <si>
    <t>棚架、鐵皮圍牆</t>
    <phoneticPr fontId="2" type="noConversion"/>
  </si>
  <si>
    <t>核定執行
(114.10.7)</t>
    <phoneticPr fontId="2" type="noConversion"/>
  </si>
  <si>
    <t>(黃婉如議員)</t>
    <phoneticPr fontId="2" type="noConversion"/>
  </si>
  <si>
    <t>桃園區鹽庫西街至春日路</t>
    <phoneticPr fontId="2" type="noConversion"/>
  </si>
  <si>
    <t>鹽庫西街</t>
    <phoneticPr fontId="2" type="noConversion"/>
  </si>
  <si>
    <t>因開闢效益大，以市價辦理用地取得。
(李光達議員)</t>
    <phoneticPr fontId="2" type="noConversion"/>
  </si>
  <si>
    <t>平鎮區工業十一路</t>
    <phoneticPr fontId="2" type="noConversion"/>
  </si>
  <si>
    <t>工業十一路</t>
    <phoneticPr fontId="2" type="noConversion"/>
  </si>
  <si>
    <t>鐵皮5處、圍牆1處</t>
    <phoneticPr fontId="2" type="noConversion"/>
  </si>
  <si>
    <t>保留執行
(114.10.7)</t>
    <phoneticPr fontId="2" type="noConversion"/>
  </si>
  <si>
    <t>請經濟發展局提報桃園市工業區業務聯繫會報討論。
(呂玉玲立委、陳韋曄議員、 黃敬平議員)</t>
    <phoneticPr fontId="2" type="noConversion"/>
  </si>
  <si>
    <t>呂玉玲、陳韋曄、 黃敬平</t>
    <phoneticPr fontId="2" type="noConversion"/>
  </si>
  <si>
    <t>龍潭區楊銅路二段1036巷</t>
    <phoneticPr fontId="2" type="noConversion"/>
  </si>
  <si>
    <t>楊銅路二段1036巷口</t>
    <phoneticPr fontId="2" type="noConversion"/>
  </si>
  <si>
    <t>20號前</t>
    <phoneticPr fontId="2" type="noConversion"/>
  </si>
  <si>
    <t>1磚造</t>
    <phoneticPr fontId="2" type="noConversion"/>
  </si>
  <si>
    <t>龍潭區梅龍三街116巷至246弄</t>
    <phoneticPr fontId="2" type="noConversion"/>
  </si>
  <si>
    <t>梅龍三街116巷</t>
    <phoneticPr fontId="2" type="noConversion"/>
  </si>
  <si>
    <t>246弄</t>
    <phoneticPr fontId="2" type="noConversion"/>
  </si>
  <si>
    <t>倘地主皆全數同意再提報。
(周玉琴議員)</t>
    <phoneticPr fontId="2" type="noConversion"/>
  </si>
  <si>
    <t>中壢區華勛街309巷35弄通往華安二路</t>
    <phoneticPr fontId="2" type="noConversion"/>
  </si>
  <si>
    <t>華勛街309巷35弄55號前</t>
    <phoneticPr fontId="2" type="noConversion"/>
  </si>
  <si>
    <t>華安二路370號前</t>
    <phoneticPr fontId="2" type="noConversion"/>
  </si>
  <si>
    <t>圍牆、鐵皮圍籬、雨遮</t>
    <phoneticPr fontId="2" type="noConversion"/>
  </si>
  <si>
    <t>有條件執行
(114.10.7)</t>
    <phoneticPr fontId="2" type="noConversion"/>
  </si>
  <si>
    <t>先請公所協調華安二路至華安三路地主及住戶移除花盆障礙物淨空，並同意劃設禁止停車紅線後，再行辦理用地取得。
(邱若華立委、邱奕勝議長、彭俊豪議員)</t>
    <phoneticPr fontId="2" type="noConversion"/>
  </si>
  <si>
    <t>中壢區龍勇路至龍智路55巷</t>
    <phoneticPr fontId="2" type="noConversion"/>
  </si>
  <si>
    <t>龍勇路34~18號</t>
    <phoneticPr fontId="2" type="noConversion"/>
  </si>
  <si>
    <t>龍智路55巷往龍清路</t>
    <phoneticPr fontId="2" type="noConversion"/>
  </si>
  <si>
    <t>35、150</t>
    <phoneticPr fontId="2" type="noConversion"/>
  </si>
  <si>
    <t>15、4、8</t>
    <phoneticPr fontId="2" type="noConversion"/>
  </si>
  <si>
    <t>(龍德里長)</t>
    <phoneticPr fontId="2" type="noConversion"/>
  </si>
  <si>
    <t>桃園區龍泉五街(龍壽街至龍祥街)</t>
    <phoneticPr fontId="2" type="noConversion"/>
  </si>
  <si>
    <t>龍壽街</t>
    <phoneticPr fontId="2" type="noConversion"/>
  </si>
  <si>
    <t>龍祥街</t>
    <phoneticPr fontId="2" type="noConversion"/>
  </si>
  <si>
    <t>4~12</t>
    <phoneticPr fontId="2" type="noConversion"/>
  </si>
  <si>
    <t>17、7公私共有</t>
    <phoneticPr fontId="2" type="noConversion"/>
  </si>
  <si>
    <t>先釐清評估未開闢瓶頸路段，並取得地主意願，再行研議提報。
(黃家齊議員)</t>
    <phoneticPr fontId="2" type="noConversion"/>
  </si>
  <si>
    <t>楊梅區桃71校前路(楊梅照門道路)</t>
    <phoneticPr fontId="2" type="noConversion"/>
  </si>
  <si>
    <t>校前路1081號</t>
    <phoneticPr fontId="2" type="noConversion"/>
  </si>
  <si>
    <t>新竹縣</t>
    <phoneticPr fontId="2" type="noConversion"/>
  </si>
  <si>
    <t>5~6</t>
    <phoneticPr fontId="2" type="noConversion"/>
  </si>
  <si>
    <t>暫緩辦理
(114.10.7)</t>
    <phoneticPr fontId="2" type="noConversion"/>
  </si>
  <si>
    <t>(國民黨黃敏恭主委)</t>
    <phoneticPr fontId="2" type="noConversion"/>
  </si>
  <si>
    <t>龍潭區龍平路(自由街至東龍街)拓寬工程</t>
    <phoneticPr fontId="2" type="noConversion"/>
  </si>
  <si>
    <t>26、2公私共有</t>
    <phoneticPr fontId="2" type="noConversion"/>
  </si>
  <si>
    <t>3鐵皮屋、3鐵棚</t>
    <phoneticPr fontId="2" type="noConversion"/>
  </si>
  <si>
    <t>1.持續調查道路線型12公尺路寬地主意願至今年底，倘全數同意方辦理用地取得。
2.倘無法取得地主全數同意，再行提案專報確認。
(呂玉玲立委、劉熒隆議員、徐玉樹議員)</t>
    <phoneticPr fontId="2" type="noConversion"/>
  </si>
  <si>
    <t>大溪區石園路463巷往大漢溪產業道路</t>
    <phoneticPr fontId="2" type="noConversion"/>
  </si>
  <si>
    <t>石園路463巷</t>
    <phoneticPr fontId="2" type="noConversion"/>
  </si>
  <si>
    <t>大嵙崁清淤道路</t>
    <phoneticPr fontId="2" type="noConversion"/>
  </si>
  <si>
    <t>(徐景文議員)</t>
    <phoneticPr fontId="2" type="noConversion"/>
  </si>
  <si>
    <t>已開闢既有道路部分不購買，協調長庚以協議價購購買需開闢的土地。
(陳雅倫議員)</t>
    <phoneticPr fontId="2" type="noConversion"/>
  </si>
  <si>
    <t>查估單位</t>
    <phoneticPr fontId="2" type="noConversion"/>
  </si>
  <si>
    <t>威名估價</t>
    <phoneticPr fontId="2" type="noConversion"/>
  </si>
  <si>
    <t>全國估價</t>
    <phoneticPr fontId="2" type="noConversion"/>
  </si>
  <si>
    <t>昇揚估價</t>
    <phoneticPr fontId="2" type="noConversion"/>
  </si>
  <si>
    <t>完成驗收日期</t>
  </si>
  <si>
    <t>本次派工金額</t>
  </si>
  <si>
    <t>累進派工金額</t>
  </si>
  <si>
    <t>剩餘金額</t>
  </si>
  <si>
    <t>派工日期</t>
  </si>
  <si>
    <t>派工金額</t>
  </si>
  <si>
    <t>派0工單04</t>
    <phoneticPr fontId="2" type="noConversion"/>
  </si>
  <si>
    <t>機關承辦</t>
    <phoneticPr fontId="2" type="noConversion"/>
  </si>
  <si>
    <t>類別</t>
    <phoneticPr fontId="2" type="noConversion"/>
  </si>
  <si>
    <t>姓名/職稱</t>
    <phoneticPr fontId="2" type="noConversion"/>
  </si>
  <si>
    <t>乾坤測繪</t>
    <phoneticPr fontId="2" type="noConversion"/>
  </si>
  <si>
    <t>單位簡稱</t>
    <phoneticPr fontId="2" type="noConversion"/>
  </si>
  <si>
    <t>0922256013</t>
    <phoneticPr fontId="2" type="noConversion"/>
  </si>
  <si>
    <t>聯絡手機</t>
    <phoneticPr fontId="2" type="noConversion"/>
  </si>
  <si>
    <t>聯絡信箱</t>
    <phoneticPr fontId="2" type="noConversion"/>
  </si>
  <si>
    <t>辦公室電話</t>
    <phoneticPr fontId="2" type="noConversion"/>
  </si>
  <si>
    <t>ck.estimate666@gmail.com</t>
  </si>
  <si>
    <t>0911863755</t>
    <phoneticPr fontId="2" type="noConversion"/>
  </si>
  <si>
    <t>goodjobliu99@gmail.com</t>
    <phoneticPr fontId="2" type="noConversion"/>
  </si>
  <si>
    <t>04-22208181</t>
    <phoneticPr fontId="2" type="noConversion"/>
  </si>
  <si>
    <t>機關函文號</t>
    <phoneticPr fontId="2" type="noConversion"/>
  </si>
  <si>
    <t>案件承辦</t>
    <phoneticPr fontId="2" type="noConversion"/>
  </si>
  <si>
    <t>審議年度</t>
    <phoneticPr fontId="2" type="noConversion"/>
  </si>
  <si>
    <t>承覽單位</t>
    <phoneticPr fontId="2" type="noConversion"/>
  </si>
  <si>
    <t>案件承辦</t>
    <phoneticPr fontId="12" type="noConversion"/>
  </si>
  <si>
    <t>作業類別</t>
    <phoneticPr fontId="2" type="noConversion"/>
  </si>
  <si>
    <t>中壢區大華路(內定一街至大華路350巷)(都外)</t>
  </si>
  <si>
    <t>乾坤函文號</t>
    <phoneticPr fontId="2" type="noConversion"/>
  </si>
  <si>
    <t>主持人 王駿穠</t>
    <phoneticPr fontId="2" type="noConversion"/>
  </si>
  <si>
    <t>全國估價師 張子亮</t>
    <phoneticPr fontId="2" type="noConversion"/>
  </si>
  <si>
    <t>威名估價師 張志中</t>
    <phoneticPr fontId="2" type="noConversion"/>
  </si>
  <si>
    <t>昇揚估價師 欒中文</t>
    <phoneticPr fontId="2" type="noConversion"/>
  </si>
  <si>
    <t>序</t>
    <phoneticPr fontId="2" type="noConversion"/>
  </si>
  <si>
    <t>序</t>
    <phoneticPr fontId="2" type="noConversion"/>
  </si>
  <si>
    <t>LINE名稱</t>
    <phoneticPr fontId="2" type="noConversion"/>
  </si>
  <si>
    <t>履約期限</t>
    <phoneticPr fontId="2" type="noConversion"/>
  </si>
  <si>
    <t>中壢區成功路94巷至122巷間道路拓寬</t>
  </si>
  <si>
    <t>112_派工單號104</t>
    <phoneticPr fontId="2" type="noConversion"/>
  </si>
  <si>
    <t>112_派工單號105</t>
    <phoneticPr fontId="2" type="noConversion"/>
  </si>
  <si>
    <t>https://reurl.cc/rKo52Z</t>
  </si>
  <si>
    <t>https://reurl.cc/8bzjR4</t>
    <phoneticPr fontId="2" type="noConversion"/>
  </si>
  <si>
    <t>雲端資料夾</t>
    <phoneticPr fontId="2" type="noConversion"/>
  </si>
  <si>
    <t>乾坤函文紀錄(對應工程名稱)</t>
    <phoneticPr fontId="2" type="noConversion"/>
  </si>
  <si>
    <t>機關函文歷程(對應工程名稱)</t>
    <phoneticPr fontId="2" type="noConversion"/>
  </si>
  <si>
    <t>https://reurl.cc/ORzM77</t>
    <phoneticPr fontId="2" type="noConversion"/>
  </si>
  <si>
    <t>專案雲端路徑</t>
    <phoneticPr fontId="2" type="noConversion"/>
  </si>
  <si>
    <t>冠誠估價師 劉冠于</t>
    <phoneticPr fontId="2" type="noConversion"/>
  </si>
  <si>
    <t xml:space="preserve">lander2000y@yahoo.com.tw </t>
    <phoneticPr fontId="2" type="noConversion"/>
  </si>
  <si>
    <t>https://reurl.cc/dq9nVV</t>
    <phoneticPr fontId="2" type="noConversion"/>
  </si>
  <si>
    <t>冠誠估價</t>
    <phoneticPr fontId="2" type="noConversion"/>
  </si>
  <si>
    <t>https://reurl.cc/vKoaqk</t>
  </si>
  <si>
    <t>https://reurl.cc/R98q0x</t>
  </si>
  <si>
    <t>專案PM 李昭德</t>
    <phoneticPr fontId="2" type="noConversion"/>
  </si>
  <si>
    <t>jujuiacc</t>
    <phoneticPr fontId="2" type="noConversion"/>
  </si>
  <si>
    <t>04-24722488</t>
    <phoneticPr fontId="2" type="noConversion"/>
  </si>
  <si>
    <t>計畫督導 洪慶忠</t>
    <phoneticPr fontId="2" type="noConversion"/>
  </si>
  <si>
    <t>通知採購案議約作業</t>
    <phoneticPr fontId="2" type="noConversion"/>
  </si>
  <si>
    <t>04-24722488</t>
  </si>
  <si>
    <t>0933587955</t>
    <phoneticPr fontId="2" type="noConversion"/>
  </si>
  <si>
    <t>p66984100@gmail.com</t>
    <phoneticPr fontId="2" type="noConversion"/>
  </si>
  <si>
    <t>00.專案會議</t>
    <phoneticPr fontId="2" type="noConversion"/>
  </si>
  <si>
    <t>01.地上物查估作業</t>
    <phoneticPr fontId="2" type="noConversion"/>
  </si>
  <si>
    <t>02.土地協議市價查估作業</t>
    <phoneticPr fontId="2" type="noConversion"/>
  </si>
  <si>
    <t>03.土地徵收市價查估作業</t>
    <phoneticPr fontId="2" type="noConversion"/>
  </si>
  <si>
    <t>04.相關計畫書製作</t>
    <phoneticPr fontId="2" type="noConversion"/>
  </si>
  <si>
    <t>05.測量作業</t>
    <phoneticPr fontId="2" type="noConversion"/>
  </si>
  <si>
    <t>06.樁位測釘作業</t>
    <phoneticPr fontId="2" type="noConversion"/>
  </si>
  <si>
    <t>07.辦理教育訓練</t>
  </si>
  <si>
    <t>07.辦理教育訓練</t>
    <phoneticPr fontId="2" type="noConversion"/>
  </si>
  <si>
    <t>案件雲端路徑</t>
    <phoneticPr fontId="2" type="noConversion"/>
  </si>
  <si>
    <t>作業資料夾</t>
    <phoneticPr fontId="2" type="noConversion"/>
  </si>
  <si>
    <t>桃工用字第11400491701號</t>
  </si>
  <si>
    <t>開會事由:「115年度桃園市興辦公共設施用地取得所需土地市價及地上物查估、測量作業曁開瓶資料製作委託專業服務(開口契約)」評選會議(廠商備詢)
開會時間:中華民國114年12月8日(星期一)下午1時30分
開會地點:桃園市綜合會議廳202會議室(桃園市桃園區縣府路11號2楼)</t>
  </si>
  <si>
    <t>桃工用字第11400504761號</t>
  </si>
  <si>
    <t>為辦理「115年度桃園市興辦公共設施用地取得所需土地市價及地上物查估、測量作業暨開瓶資料製作委託專業服務(開口契約)」採購案議約作業，請派員出席參加，請查照。</t>
  </si>
  <si>
    <t>桃工採字第1140052379號</t>
  </si>
  <si>
    <t>乾坤測字第1140000214號</t>
  </si>
  <si>
    <t>乾坤測字第1140000213號</t>
  </si>
  <si>
    <t>乾坤測字第1150000002號</t>
  </si>
  <si>
    <t>桃工用字第1150000279號</t>
  </si>
  <si>
    <t>有關「115年度桃園市興辦公共設施用地取得所需土地市價及地上物查估、测量作業曁開瓶資料製作委託專業服務(開口契約)」115年度第1次教育訓練一案,詳如說明,請查照惠復。</t>
  </si>
  <si>
    <t>乾坤測字第1150000003號</t>
  </si>
  <si>
    <t>桃工用字第1150002017號</t>
  </si>
  <si>
    <t>桃工用字第1150001581號</t>
  </si>
  <si>
    <t>發文單位</t>
  </si>
  <si>
    <t>受文單位</t>
  </si>
  <si>
    <t>發文日期</t>
  </si>
  <si>
    <t>文號函</t>
    <phoneticPr fontId="2" type="noConversion"/>
  </si>
  <si>
    <t>公文主旨</t>
    <phoneticPr fontId="19" type="noConversion"/>
  </si>
  <si>
    <t>派工單備註/分案名稱</t>
    <phoneticPr fontId="2" type="noConversion"/>
  </si>
  <si>
    <t>履約期限</t>
    <phoneticPr fontId="19" type="noConversion"/>
  </si>
  <si>
    <t>公文檔案名稱</t>
    <phoneticPr fontId="19" type="noConversion"/>
  </si>
  <si>
    <t>桃園市政府工務局</t>
    <phoneticPr fontId="2" type="noConversion"/>
  </si>
  <si>
    <t>乾坤測繪科技有限公司</t>
  </si>
  <si>
    <t>114年07月25日</t>
    <phoneticPr fontId="2" type="noConversion"/>
  </si>
  <si>
    <t>桃工用字第1140030087號</t>
    <phoneticPr fontId="2" type="noConversion"/>
  </si>
  <si>
    <t>AAAAAA(測試)</t>
    <phoneticPr fontId="2" type="noConversion"/>
  </si>
  <si>
    <t>中壢區大華路(內定一街至大華路350巷)道路拓寬工程_土地徵收市價查估作業</t>
    <phoneticPr fontId="2" type="noConversion"/>
  </si>
  <si>
    <t>2025/8/5前提送</t>
    <phoneticPr fontId="2" type="noConversion"/>
  </si>
  <si>
    <t>114年07月24日</t>
    <phoneticPr fontId="2" type="noConversion"/>
  </si>
  <si>
    <t>桃工用字第9999999號(測試)</t>
    <phoneticPr fontId="2" type="noConversion"/>
  </si>
  <si>
    <t>BBBBBBBB(測試)</t>
    <phoneticPr fontId="2" type="noConversion"/>
  </si>
  <si>
    <t>B1111111111(測試)</t>
    <phoneticPr fontId="2" type="noConversion"/>
  </si>
  <si>
    <t>CCCCCCCCCCC(測試)</t>
    <phoneticPr fontId="2" type="noConversion"/>
  </si>
  <si>
    <t>中壢區成功路94巷至122巷道路拓寬工程_土地徵收市價查估作業</t>
    <phoneticPr fontId="2" type="noConversion"/>
  </si>
  <si>
    <t>通知專業服務評選會議</t>
    <phoneticPr fontId="2" type="noConversion"/>
  </si>
  <si>
    <t>評選會議:114年12月8日(星期一)下午1時30分</t>
    <phoneticPr fontId="2" type="noConversion"/>
  </si>
  <si>
    <t>114年12月03日_桃工用字第11400491701號_通知專業服務評選會議.pdf</t>
    <phoneticPr fontId="2" type="noConversion"/>
  </si>
  <si>
    <t>議約作業:114年12月18日(星期四)下午3時30分</t>
    <phoneticPr fontId="2" type="noConversion"/>
  </si>
  <si>
    <t>114年12月16日_桃工用字第11400504761號_通知採購案議約作業.pdf</t>
    <phoneticPr fontId="2" type="noConversion"/>
  </si>
  <si>
    <t>檢送「115年度桃園市興辦公共設施用地取得所需土地市價及地上物查估、測量作業暨開瓶資料製作委託專業服務(開口契約)」第1次教育訓練計畫書1份，請查照。</t>
    <phoneticPr fontId="2" type="noConversion"/>
  </si>
  <si>
    <t>檢送第1次教育訓練計畫書1份</t>
    <phoneticPr fontId="2" type="noConversion"/>
  </si>
  <si>
    <t>有關貴公司檢送「115年度桃園市興辦公共設施用地取得所需土地市價及地上查估、測量作業暨開瓶資料製作委託專業服務（開口契約）」雇主意外責任險、專業責任保險單及收據，本局同意備查，請查照。</t>
    <phoneticPr fontId="2" type="noConversion"/>
  </si>
  <si>
    <t>有關貴公司所提「115年度桃園市興辦公共設施用地取得所需土地市價及地上物查估、測量作業暨開瓶資料製作委託專業服務(開口契約)」教育訓練計畫書一案，本局原則同意核定，請查照。</t>
    <phoneticPr fontId="2" type="noConversion"/>
  </si>
  <si>
    <t>檢送「115年度桃園市興辦公共設施用地取得所需土地市價及地上物查估、測量作業曁開瓶資料製作委託專業服務(開口契約)」(1141106-2)第1次限制性招標決標公告1份,請查照。</t>
    <phoneticPr fontId="2" type="noConversion"/>
  </si>
  <si>
    <t>檢送「115年度桃園市興辦公共設施用地取得所需土地市價及地上物查估、測量作業暨開瓶資料製作委託專業服務(開口契約)」專業責任保險及雇主意外責任險保單正本、保險費收據副本各1份，請查照。</t>
    <phoneticPr fontId="2" type="noConversion"/>
  </si>
  <si>
    <t>檢送雇主意外責任險、專業責任保險單及收據</t>
    <phoneticPr fontId="2" type="noConversion"/>
  </si>
  <si>
    <t>檢送「115年度桃園市興辦公共設施用地取得所需土地市價及地上物查估、測量作業暨開瓶資料製作委託專業服務(開口契約)」(標案案號：1141106-2)契約書正本2份、副本8份，請查照。</t>
    <phoneticPr fontId="2" type="noConversion"/>
  </si>
  <si>
    <t>檢送契約書正本2份、副本8份</t>
    <phoneticPr fontId="2" type="noConversion"/>
  </si>
  <si>
    <t>檢送「115年度桃園市興辦公共設施用地取得所需土地市價及地上物查估、測量作業暨開瓶資料製作委託專業服務(開口契約)案」之系統建置作業工作計畫書乙式10份，請查照。</t>
    <phoneticPr fontId="2" type="noConversion"/>
  </si>
  <si>
    <t>檢送工作計畫書乙式10份</t>
    <phoneticPr fontId="2" type="noConversion"/>
  </si>
  <si>
    <t>00.專案會議</t>
  </si>
  <si>
    <t>桃園工務局</t>
  </si>
  <si>
    <t>02.土地協議市價查估作業</t>
  </si>
  <si>
    <t>03.土地徵收市價查估作業</t>
  </si>
  <si>
    <r>
      <rPr>
        <sz val="12"/>
        <color theme="1"/>
        <rFont val="新細明體"/>
        <family val="1"/>
        <charset val="136"/>
      </rPr>
      <t>工程員</t>
    </r>
    <r>
      <rPr>
        <sz val="12"/>
        <color theme="1"/>
        <rFont val="Times New Roman"/>
        <family val="1"/>
      </rPr>
      <t xml:space="preserve"> </t>
    </r>
    <r>
      <rPr>
        <sz val="12"/>
        <color theme="1"/>
        <rFont val="新細明體"/>
        <family val="1"/>
        <charset val="136"/>
      </rPr>
      <t>廖偉翔</t>
    </r>
    <phoneticPr fontId="2" type="noConversion"/>
  </si>
  <si>
    <t>03-3322101#6755</t>
    <phoneticPr fontId="2" type="noConversion"/>
  </si>
  <si>
    <t>10079858@mail.tycg.gov.tw</t>
    <phoneticPr fontId="2" type="noConversion"/>
  </si>
  <si>
    <t>#.專案行政作業</t>
  </si>
  <si>
    <t>#.專案行政作業</t>
    <phoneticPr fontId="2" type="noConversion"/>
  </si>
  <si>
    <t>08.提繳作業事項</t>
    <phoneticPr fontId="2" type="noConversion"/>
  </si>
  <si>
    <t>工程名稱/作業事項</t>
    <phoneticPr fontId="2" type="noConversion"/>
  </si>
  <si>
    <t>案件承辦</t>
  </si>
  <si>
    <t>(03)332-2101#6755</t>
  </si>
  <si>
    <t>80013503@mail.tycg.gov.tw</t>
  </si>
  <si>
    <t>桃工用字第1150001582號</t>
  </si>
  <si>
    <t>龍潭區文化路與文化路1011巷道路開闢工程</t>
  </si>
  <si>
    <t>龍潭區文化路與文化路1011巷道路開闢工程</t>
    <phoneticPr fontId="2" type="noConversion"/>
  </si>
  <si>
    <t>行政助理 張語情</t>
  </si>
  <si>
    <t>桃園市八德區霄裡公園及周邊道路興闢工程</t>
  </si>
  <si>
    <t>桃園市八德區霄裡公園及周邊道路興闢工程</t>
    <phoneticPr fontId="2" type="noConversion"/>
  </si>
  <si>
    <t>工程名稱</t>
    <phoneticPr fontId="2" type="noConversion"/>
  </si>
  <si>
    <t>主旨:檢送「115年度桃園市興辦公共設施用地取得所需土地市價及地上物查估、測量作業曁開瓶資料製作委託專業服務(開口契約)」派工單(002)1份,詳如說明,請查照惠復。</t>
    <phoneticPr fontId="2" type="noConversion"/>
  </si>
  <si>
    <t>專案資料夾</t>
    <phoneticPr fontId="2" type="noConversion"/>
  </si>
  <si>
    <t>機關函文歷程(對應工程名稱+主旨)</t>
    <phoneticPr fontId="2" type="noConversion"/>
  </si>
  <si>
    <t>乾坤測繪科技有限公司</t>
    <phoneticPr fontId="2" type="noConversion"/>
  </si>
  <si>
    <t>分案名稱/派工備註</t>
    <phoneticPr fontId="2" type="noConversion"/>
  </si>
  <si>
    <t>工程名稱/派工事項</t>
    <phoneticPr fontId="2" type="noConversion"/>
  </si>
  <si>
    <t>乾坤函文歷程(對應工程名稱+主旨)</t>
    <phoneticPr fontId="2" type="noConversion"/>
  </si>
  <si>
    <t>工程起點</t>
    <phoneticPr fontId="12" type="noConversion"/>
  </si>
  <si>
    <t>工程迄點</t>
    <phoneticPr fontId="12" type="noConversion"/>
  </si>
  <si>
    <t>道路長度(公尺)</t>
    <phoneticPr fontId="2" type="noConversion"/>
  </si>
  <si>
    <t>承攬案件(115年查估)</t>
    <phoneticPr fontId="12" type="noConversion"/>
  </si>
  <si>
    <t>派工單號</t>
    <phoneticPr fontId="12" type="noConversion"/>
  </si>
  <si>
    <t>查估單位</t>
    <phoneticPr fontId="12" type="noConversion"/>
  </si>
  <si>
    <t>機關關聯公文</t>
    <phoneticPr fontId="12" type="noConversion"/>
  </si>
  <si>
    <t>乾坤關聯公文</t>
    <phoneticPr fontId="12" type="noConversion"/>
  </si>
  <si>
    <t>附件紀錄</t>
    <phoneticPr fontId="12" type="noConversion"/>
  </si>
  <si>
    <t>08.作業提繳事項</t>
  </si>
  <si>
    <t>08.作業提繳事項</t>
    <phoneticPr fontId="2" type="noConversion"/>
  </si>
  <si>
    <t>分案名稱</t>
    <phoneticPr fontId="2" type="noConversion"/>
  </si>
  <si>
    <t>115年度桃園市興辦公共設施用地取得所需土地市價及地上物查估、測量作業暨開瓶資料製作委託專業服務(開口契約)</t>
  </si>
  <si>
    <t>行政助理 張語情</t>
    <phoneticPr fontId="2" type="noConversion"/>
  </si>
  <si>
    <t>(03)332-2101#6755</t>
    <phoneticPr fontId="2" type="noConversion"/>
  </si>
  <si>
    <t>80043818@mail.tycg.gov.tw</t>
    <phoneticPr fontId="2" type="noConversion"/>
  </si>
  <si>
    <t>桃園工務局</t>
    <phoneticPr fontId="2" type="noConversion"/>
  </si>
  <si>
    <t>https://reurl.cc/EbM8Dm</t>
    <phoneticPr fontId="2" type="noConversion"/>
  </si>
  <si>
    <t>簡要說明(乾坤備註)</t>
    <phoneticPr fontId="2" type="noConversion"/>
  </si>
  <si>
    <t>115年_派工單號001</t>
  </si>
  <si>
    <t>115年_派工單號001</t>
    <phoneticPr fontId="2" type="noConversion"/>
  </si>
  <si>
    <t>115年_派工單號002</t>
  </si>
  <si>
    <t>115年_派工單號002</t>
    <phoneticPr fontId="2" type="noConversion"/>
  </si>
  <si>
    <r>
      <rPr>
        <sz val="12"/>
        <color theme="1"/>
        <rFont val="新細明體"/>
        <family val="1"/>
        <charset val="136"/>
      </rPr>
      <t>行政助理</t>
    </r>
    <r>
      <rPr>
        <sz val="12"/>
        <color theme="1"/>
        <rFont val="Times New Roman"/>
        <family val="1"/>
      </rPr>
      <t xml:space="preserve"> </t>
    </r>
    <r>
      <rPr>
        <sz val="12"/>
        <color theme="1"/>
        <rFont val="新細明體"/>
        <family val="1"/>
        <charset val="136"/>
      </rPr>
      <t>粘亞溱</t>
    </r>
    <phoneticPr fontId="2" type="noConversion"/>
  </si>
  <si>
    <t>乾坤測字第1150000003號</t>
    <phoneticPr fontId="2" type="noConversion"/>
  </si>
  <si>
    <t>都市計畫</t>
    <phoneticPr fontId="2" type="noConversion"/>
  </si>
  <si>
    <t>俟線型定案後接續辦理都市計畫變更事宜。(都發局113年7月25日公告實施都市計畫變更)(規設科)</t>
    <phoneticPr fontId="2" type="noConversion"/>
  </si>
  <si>
    <t>已獲交通部公路總局「省道改善計畫(108-113年)」補助經費，俟都變完成後續辦用地取得、工程設計及施工事宜。(都發局113年7月19日公告實施都市計畫變更)(規設科)</t>
    <phoneticPr fontId="2" type="noConversion"/>
  </si>
  <si>
    <t>都內/住農</t>
  </si>
  <si>
    <r>
      <rPr>
        <sz val="10"/>
        <rFont val="微軟正黑體"/>
        <family val="2"/>
        <charset val="136"/>
      </rPr>
      <t>桃園區龍泉三街至大慶街(兒28周邊道路西側)</t>
    </r>
    <phoneticPr fontId="2" type="noConversion"/>
  </si>
  <si>
    <r>
      <rPr>
        <sz val="10"/>
        <rFont val="微軟正黑體"/>
        <family val="2"/>
        <charset val="136"/>
      </rPr>
      <t>桃園區經國路208巷打通至南通路21巷</t>
    </r>
    <phoneticPr fontId="2" type="noConversion"/>
  </si>
  <si>
    <r>
      <rPr>
        <sz val="10"/>
        <rFont val="微軟正黑體"/>
        <family val="2"/>
        <charset val="136"/>
      </rPr>
      <t>楊梅區新農街378巷13弄道路</t>
    </r>
    <phoneticPr fontId="2" type="noConversion"/>
  </si>
  <si>
    <r>
      <rPr>
        <sz val="10"/>
        <rFont val="微軟正黑體"/>
        <family val="2"/>
        <charset val="136"/>
      </rPr>
      <t>大園區田溪路(華興路二段至聖德北路)(二期)</t>
    </r>
    <phoneticPr fontId="2" type="noConversion"/>
  </si>
  <si>
    <r>
      <rPr>
        <sz val="10"/>
        <rFont val="微軟正黑體"/>
        <family val="2"/>
        <charset val="136"/>
      </rPr>
      <t>平鎮區陸光路(都內段)道路拓寬(重劃範圍外)</t>
    </r>
    <phoneticPr fontId="2" type="noConversion"/>
  </si>
  <si>
    <r>
      <rPr>
        <sz val="10"/>
        <rFont val="微軟正黑體"/>
        <family val="2"/>
        <charset val="136"/>
      </rPr>
      <t>平鎮區南豐路161巷至兒十一北側道路</t>
    </r>
    <phoneticPr fontId="2" type="noConversion"/>
  </si>
  <si>
    <r>
      <t>線型核定，請接續提報本府專案會議。(規設科專報)
(112年8月10日開瓶道路專案報告會議紀錄為『保留執行案，先辦理定線並</t>
    </r>
    <r>
      <rPr>
        <b/>
        <sz val="10"/>
        <color rgb="FFFF0000"/>
        <rFont val="微軟正黑體"/>
        <family val="2"/>
        <charset val="136"/>
      </rPr>
      <t>申請中央補助</t>
    </r>
    <r>
      <rPr>
        <sz val="10"/>
        <color rgb="FFFF0000"/>
        <rFont val="微軟正黑體"/>
        <family val="2"/>
        <charset val="136"/>
      </rPr>
      <t>，倘爭取中央經費補助後再行研議辦理』)</t>
    </r>
    <phoneticPr fontId="2" type="noConversion"/>
  </si>
  <si>
    <t>已獲交通部公路總局「省道改善計畫(108-113年)」補助經費，俟都變完成後續辦用地取得、工程設計及施工事宜。(都發局113年7月19日公告實施都市計畫變更)(規設科)(納入114年開瓶專報研議)</t>
    <phoneticPr fontId="2" type="noConversion"/>
  </si>
  <si>
    <t>先前「本市軍方管有閒置或低度使用營區釋出活化使用」第29次研商會議，軍方同意於工程階段一併拓寬開闢龍門街15米計畫道路；倘軍方同意施作道路，再續辦用地取得作業。(魯明哲立委)</t>
    <phoneticPr fontId="2" type="noConversion"/>
  </si>
  <si>
    <t>檢送限制性招標決標公告</t>
    <phoneticPr fontId="2" type="noConversion"/>
  </si>
  <si>
    <t>通知雇主意外責任險、專業責任保險單及收據同意備查</t>
    <phoneticPr fontId="2" type="noConversion"/>
  </si>
  <si>
    <t>通知教育訓練計畫書同意核定</t>
    <phoneticPr fontId="2" type="noConversion"/>
  </si>
  <si>
    <t>通知辦理115年_派工單號002</t>
    <phoneticPr fontId="2" type="noConversion"/>
  </si>
  <si>
    <t>115年度第1次教育訓練</t>
  </si>
  <si>
    <t>通知辦理115年_派工單號001</t>
    <phoneticPr fontId="2" type="noConversion"/>
  </si>
  <si>
    <t>https://reurl.cc/rKjOr1</t>
  </si>
  <si>
    <t>Z:\03.專案管控專區\桃園市政府\桃園市政府工務局\2025\115年桃園市興辦公共設施用地取得專業服務\04.專案工作事項\01.派工案件管控\1.各派工案辦理紀錄\115年_派工單號003\</t>
    <phoneticPr fontId="2" type="noConversion"/>
  </si>
  <si>
    <t>Z:\03.專案管控專區\桃園市政府\桃園市政府工務局\2025\115年桃園市興辦公共設施用地取得專業服務\04.專案工作事項\01.派工案件管控\1.各派工案辦理紀錄\115年_派工單號002\</t>
    <phoneticPr fontId="2" type="noConversion"/>
  </si>
  <si>
    <t>Z:\03.專案管控專區\桃園市政府\桃園市政府工務局\2025\115年桃園市興辦公共設施用地取得專業服務\04.專案工作事項\01.派工案件管控\1.各派工案辦理紀錄\115年_派工單號001\</t>
    <phoneticPr fontId="2" type="noConversion"/>
  </si>
  <si>
    <t>115年_派工單號003</t>
  </si>
  <si>
    <t>中壢區龍岡路4-1-10M計畫道路路口瓶頸打通工程</t>
  </si>
  <si>
    <t>中壢區龍岡路4-1-10M計畫道路路口瓶頸打通工程</t>
    <phoneticPr fontId="2" type="noConversion"/>
  </si>
  <si>
    <t>通知辦理115年_派工單號003</t>
  </si>
  <si>
    <t>桃工用字第1150002112號</t>
    <phoneticPr fontId="2" type="noConversion"/>
  </si>
  <si>
    <t>為貴公司承攬本局「115年度桃園市興辦公共設施用地取得所需土地市價及地上物查估、測量作業曁開瓶資料製作委託專業服務(開口契約)」一案,詳如說明,請查照。
說明:
一、依據旨揭案號1141106-2勞務採購契約書辦理。
二、本次委託事項為「中壢區龍岡路4-1-10M計畫道路路口瓶頸
打通工程」案内協議價購市價查估作業,請貴公司依契約規定於25日曆天(115年2月13日)前檢送查估成果報告書。
三、檢附派工單1份,請於正本用印擲回,並自行留存副本,以便後續驗收事宜。</t>
    <phoneticPr fontId="2" type="noConversion"/>
  </si>
  <si>
    <t>115年01月14日</t>
    <phoneticPr fontId="2" type="noConversion"/>
  </si>
  <si>
    <t>115年01月15日</t>
    <phoneticPr fontId="2" type="noConversion"/>
  </si>
  <si>
    <t>115年01月13日</t>
    <phoneticPr fontId="2" type="noConversion"/>
  </si>
  <si>
    <t>115年01月09日</t>
    <phoneticPr fontId="2" type="noConversion"/>
  </si>
  <si>
    <t>115年01月05日</t>
    <phoneticPr fontId="2" type="noConversion"/>
  </si>
  <si>
    <t>115年02月23日前函覆(發文日起25日歷天内檢送成果)</t>
    <phoneticPr fontId="2" type="noConversion"/>
  </si>
  <si>
    <t>115年02月08日前函覆(發文日起25日歷天内檢送成果)</t>
    <phoneticPr fontId="2" type="noConversion"/>
  </si>
  <si>
    <t>115年01月23日辦理</t>
    <phoneticPr fontId="2" type="noConversion"/>
  </si>
  <si>
    <t>115年01月15日前函覆</t>
    <phoneticPr fontId="2" type="noConversion"/>
  </si>
  <si>
    <t>10044694@mail.tycg.gov.tw</t>
  </si>
  <si>
    <t>欄1</t>
  </si>
  <si>
    <t>https://reurl.cc/rKjOr1</t>
    <phoneticPr fontId="2" type="noConversion"/>
  </si>
  <si>
    <r>
      <rPr>
        <sz val="12"/>
        <color theme="1"/>
        <rFont val="微軟正黑體"/>
        <family val="2"/>
        <charset val="136"/>
      </rPr>
      <t>約催助理</t>
    </r>
    <r>
      <rPr>
        <sz val="12"/>
        <color theme="1"/>
        <rFont val="Calibri"/>
        <family val="2"/>
      </rPr>
      <t xml:space="preserve"> </t>
    </r>
    <r>
      <rPr>
        <sz val="12"/>
        <color theme="1"/>
        <rFont val="微軟正黑體"/>
        <family val="2"/>
        <charset val="136"/>
      </rPr>
      <t>吳佳芸</t>
    </r>
    <phoneticPr fontId="2" type="noConversion"/>
  </si>
  <si>
    <t>案件承辦</t>
    <phoneticPr fontId="19" type="noConversion"/>
  </si>
  <si>
    <t>查估單位</t>
    <phoneticPr fontId="19" type="noConversion"/>
  </si>
  <si>
    <t>聯絡備註</t>
    <phoneticPr fontId="2" type="noConversion"/>
  </si>
  <si>
    <t>2026.01.16 星期五
19:23 (桃園工務局)粘亞溱小姐 請駿穠上班再讀
派工單(002)「桃園市八德區霄裡公園及周邊道路興闢工程」土地協議及徵收市價查估作業
1.本案基本資料如上檔，後續其他需求還請不吝連繫告知
(有的謄本是去年的，會影響嗎，如果需要最新版再跟我說)
2.本案為市立醫院案，長官視同1案，目前還是公園用地，未來會都變
3.徵收因興辦事業計畫等因素，需製作成2案，分別為道路用地1案、公園用地1案
4.上述需補充說明或不瞭解的地方，於上班時段方便接電話溝通時，請先訊息通知我後，由我致給給你
以上，謝謝駿穠</t>
    <phoneticPr fontId="2" type="noConversion"/>
  </si>
  <si>
    <t xml:space="preserve">2026.01.20 星期二
09:05 (桃園工務局)吳佳芸小姐 「中壢區龍岡路4-1-10M計畫道路路口瓶頸打通工程」
這案徵收市價由張子亮估價師承辦為統一 請協議市價一由張估辦理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</si>
</sst>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76" formatCode="0.0_);[Red]\(0.0\)"/>
    <numFmt numFmtId="177" formatCode="#,##0_ "/>
    <numFmt numFmtId="178" formatCode="m&quot;月&quot;d&quot;日&quot;"/>
    <numFmt numFmtId="179" formatCode="_-* #,##0_-;\-* #,##0_-;_-* &quot;-&quot;??_-;_-@"/>
    <numFmt numFmtId="180" formatCode="[$-404]e&quot;年&quot;m&quot;月&quot;d&quot;日&quot;;@"/>
  </numFmts>
  <fonts count="38">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12"/>
      <color theme="1"/>
      <name val="微軟正黑體"/>
      <family val="2"/>
      <charset val="136"/>
    </font>
    <font>
      <sz val="11"/>
      <color theme="1"/>
      <name val="微軟正黑體"/>
      <family val="2"/>
      <charset val="136"/>
    </font>
    <font>
      <sz val="11"/>
      <color rgb="FFFF0000"/>
      <name val="微軟正黑體"/>
      <family val="2"/>
      <charset val="136"/>
    </font>
    <font>
      <sz val="11"/>
      <name val="微軟正黑體"/>
      <family val="2"/>
      <charset val="136"/>
    </font>
    <font>
      <b/>
      <sz val="13"/>
      <color rgb="FFFFFFFF"/>
      <name val="Arial"/>
      <family val="2"/>
    </font>
    <font>
      <b/>
      <sz val="13"/>
      <color rgb="FF343434"/>
      <name val="Arial"/>
      <family val="2"/>
    </font>
    <font>
      <u/>
      <sz val="12"/>
      <color theme="10"/>
      <name val="新細明體"/>
      <family val="2"/>
      <charset val="136"/>
      <scheme val="minor"/>
    </font>
    <font>
      <sz val="12"/>
      <color theme="1"/>
      <name val="新細明體"/>
      <family val="2"/>
      <scheme val="minor"/>
    </font>
    <font>
      <sz val="12"/>
      <color theme="1"/>
      <name val="Microsoft JhengHei"/>
      <family val="2"/>
      <charset val="136"/>
    </font>
    <font>
      <sz val="9"/>
      <name val="新細明體"/>
      <family val="3"/>
      <charset val="136"/>
      <scheme val="minor"/>
    </font>
    <font>
      <sz val="12"/>
      <color theme="1"/>
      <name val="Times New Roman"/>
      <family val="1"/>
      <charset val="136"/>
    </font>
    <font>
      <sz val="12"/>
      <color theme="1"/>
      <name val="新細明體"/>
      <family val="1"/>
      <charset val="136"/>
    </font>
    <font>
      <sz val="12"/>
      <color theme="1"/>
      <name val="Times New Roman"/>
      <family val="1"/>
    </font>
    <font>
      <sz val="12"/>
      <color rgb="FFFF0000"/>
      <name val="Times New Roman"/>
      <family val="1"/>
    </font>
    <font>
      <b/>
      <sz val="10"/>
      <name val="微軟正黑體"/>
      <family val="2"/>
      <charset val="136"/>
    </font>
    <font>
      <sz val="12"/>
      <color rgb="FFFF0000"/>
      <name val="微軟正黑體"/>
      <family val="2"/>
      <charset val="136"/>
    </font>
    <font>
      <sz val="9"/>
      <name val="新細明體"/>
      <family val="2"/>
      <charset val="136"/>
    </font>
    <font>
      <sz val="11"/>
      <color rgb="FF000000"/>
      <name val="微軟正黑體"/>
      <family val="2"/>
      <charset val="136"/>
    </font>
    <font>
      <sz val="11"/>
      <color rgb="FFC00000"/>
      <name val="微軟正黑體"/>
      <family val="2"/>
      <charset val="136"/>
    </font>
    <font>
      <b/>
      <sz val="12"/>
      <color theme="1"/>
      <name val="Microsoft JhengHei"/>
      <family val="2"/>
      <charset val="136"/>
    </font>
    <font>
      <sz val="11"/>
      <color theme="0"/>
      <name val="微軟正黑體"/>
      <family val="2"/>
      <charset val="136"/>
    </font>
    <font>
      <sz val="11"/>
      <color rgb="FF00B050"/>
      <name val="微軟正黑體"/>
      <family val="2"/>
      <charset val="136"/>
    </font>
    <font>
      <u/>
      <sz val="11"/>
      <color theme="1"/>
      <name val="微軟正黑體"/>
      <family val="2"/>
      <charset val="136"/>
    </font>
    <font>
      <sz val="12"/>
      <color theme="1"/>
      <name val="Calibri"/>
      <family val="2"/>
    </font>
    <font>
      <sz val="10"/>
      <color theme="1"/>
      <name val="微軟正黑體"/>
      <family val="2"/>
      <charset val="136"/>
    </font>
    <font>
      <sz val="10"/>
      <name val="微軟正黑體"/>
      <family val="2"/>
      <charset val="136"/>
    </font>
    <font>
      <sz val="10"/>
      <color rgb="FFFF0000"/>
      <name val="微軟正黑體"/>
      <family val="2"/>
      <charset val="136"/>
    </font>
    <font>
      <sz val="10"/>
      <color theme="4"/>
      <name val="微軟正黑體"/>
      <family val="2"/>
      <charset val="136"/>
    </font>
    <font>
      <b/>
      <sz val="10"/>
      <color theme="1"/>
      <name val="微軟正黑體"/>
      <family val="2"/>
      <charset val="136"/>
    </font>
    <font>
      <sz val="9"/>
      <color theme="1"/>
      <name val="微軟正黑體"/>
      <family val="2"/>
      <charset val="136"/>
    </font>
    <font>
      <sz val="12"/>
      <name val="微軟正黑體"/>
      <family val="2"/>
      <charset val="136"/>
    </font>
    <font>
      <b/>
      <sz val="10"/>
      <color rgb="FFFF0000"/>
      <name val="微軟正黑體"/>
      <family val="2"/>
      <charset val="136"/>
    </font>
    <font>
      <b/>
      <sz val="12"/>
      <color theme="1"/>
      <name val="微軟正黑體"/>
      <family val="2"/>
      <charset val="136"/>
    </font>
    <font>
      <u/>
      <sz val="12"/>
      <color theme="10"/>
      <name val="微軟正黑體"/>
      <family val="2"/>
      <charset val="136"/>
    </font>
    <font>
      <sz val="12"/>
      <color theme="1"/>
      <name val="Calibri"/>
      <family val="2"/>
      <charset val="136"/>
    </font>
  </fonts>
  <fills count="3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343B42"/>
        <bgColor indexed="64"/>
      </patternFill>
    </fill>
    <fill>
      <patternFill patternType="solid">
        <fgColor rgb="FFF5F5F5"/>
        <bgColor indexed="64"/>
      </patternFill>
    </fill>
    <fill>
      <patternFill patternType="solid">
        <fgColor rgb="FFFEF2CB"/>
        <bgColor rgb="FFFEF2CB"/>
      </patternFill>
    </fill>
    <fill>
      <patternFill patternType="solid">
        <fgColor theme="7" tint="0.79998168889431442"/>
        <bgColor rgb="FFFEF2CB"/>
      </patternFill>
    </fill>
    <fill>
      <patternFill patternType="solid">
        <fgColor rgb="FFB4C6E7"/>
        <bgColor rgb="FFB4C6E7"/>
      </patternFill>
    </fill>
    <fill>
      <patternFill patternType="solid">
        <fgColor rgb="FFC5E0B3"/>
        <bgColor rgb="FFC5E0B3"/>
      </patternFill>
    </fill>
    <fill>
      <patternFill patternType="solid">
        <fgColor theme="9" tint="0.59999389629810485"/>
        <bgColor rgb="FFC5E0B3"/>
      </patternFill>
    </fill>
    <fill>
      <patternFill patternType="solid">
        <fgColor rgb="FFFFFF00"/>
        <bgColor rgb="FFC5E0B3"/>
      </patternFill>
    </fill>
    <fill>
      <patternFill patternType="solid">
        <fgColor rgb="FFDADADA"/>
        <bgColor rgb="FFDADADA"/>
      </patternFill>
    </fill>
    <fill>
      <patternFill patternType="solid">
        <fgColor rgb="FFCC99FF"/>
        <bgColor rgb="FFCC99FF"/>
      </patternFill>
    </fill>
    <fill>
      <patternFill patternType="solid">
        <fgColor theme="0" tint="-0.14999847407452621"/>
        <bgColor rgb="FFCC99FF"/>
      </patternFill>
    </fill>
    <fill>
      <patternFill patternType="solid">
        <fgColor rgb="FFFFFF00"/>
        <bgColor rgb="FFDADADA"/>
      </patternFill>
    </fill>
    <fill>
      <patternFill patternType="solid">
        <fgColor rgb="FFFBE4D5"/>
        <bgColor rgb="FFFBE4D5"/>
      </patternFill>
    </fill>
    <fill>
      <patternFill patternType="solid">
        <fgColor theme="5" tint="0.79998168889431442"/>
        <bgColor rgb="FFC5E0B3"/>
      </patternFill>
    </fill>
    <fill>
      <patternFill patternType="solid">
        <fgColor theme="5" tint="0.79998168889431442"/>
        <bgColor rgb="FFFBE4D5"/>
      </patternFill>
    </fill>
    <fill>
      <patternFill patternType="solid">
        <fgColor rgb="FFCCFFFF"/>
        <bgColor indexed="64"/>
      </patternFill>
    </fill>
    <fill>
      <patternFill patternType="solid">
        <fgColor rgb="FFFFCCCC"/>
        <bgColor indexed="64"/>
      </patternFill>
    </fill>
    <fill>
      <patternFill patternType="solid">
        <fgColor rgb="FFFFC000"/>
        <bgColor rgb="FFFF9900"/>
      </patternFill>
    </fill>
    <fill>
      <patternFill patternType="solid">
        <fgColor rgb="FF00B0F0"/>
        <bgColor rgb="FFFF9900"/>
      </patternFill>
    </fill>
    <fill>
      <patternFill patternType="solid">
        <fgColor theme="4" tint="-0.499984740745262"/>
        <bgColor indexed="64"/>
      </patternFill>
    </fill>
    <fill>
      <patternFill patternType="solid">
        <fgColor rgb="FFFFC000"/>
        <bgColor rgb="FFFEF2CB"/>
      </patternFill>
    </fill>
    <fill>
      <patternFill patternType="solid">
        <fgColor rgb="FFFFC000"/>
        <bgColor indexed="64"/>
      </patternFill>
    </fill>
    <fill>
      <patternFill patternType="solid">
        <fgColor rgb="FF7030A0"/>
        <bgColor rgb="FFFF9900"/>
      </patternFill>
    </fill>
    <fill>
      <patternFill patternType="solid">
        <fgColor theme="7" tint="-0.249977111117893"/>
        <bgColor indexed="64"/>
      </patternFill>
    </fill>
    <fill>
      <patternFill patternType="solid">
        <fgColor rgb="FF00B0F0"/>
        <bgColor indexed="64"/>
      </patternFill>
    </fill>
    <fill>
      <patternFill patternType="solid">
        <fgColor rgb="FFBDD6EE"/>
        <bgColor indexed="64"/>
      </patternFill>
    </fill>
    <fill>
      <patternFill patternType="solid">
        <fgColor rgb="FFFEF2CB"/>
        <bgColor indexed="64"/>
      </patternFill>
    </fill>
    <fill>
      <patternFill patternType="solid">
        <fgColor rgb="FFFFD965"/>
        <bgColor indexed="64"/>
      </patternFill>
    </fill>
    <fill>
      <patternFill patternType="solid">
        <fgColor rgb="FFDEEAF6"/>
        <bgColor indexed="64"/>
      </patternFill>
    </fill>
    <fill>
      <patternFill patternType="solid">
        <fgColor rgb="FF92D050"/>
        <bgColor indexed="64"/>
      </patternFill>
    </fill>
    <fill>
      <patternFill patternType="solid">
        <fgColor rgb="FFFFCC66"/>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FFFF00"/>
        <bgColor indexed="64"/>
      </patternFill>
    </fill>
  </fills>
  <borders count="2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E4E4E4"/>
      </left>
      <right style="medium">
        <color rgb="FFE4E4E4"/>
      </right>
      <top style="medium">
        <color rgb="FFE4E4E4"/>
      </top>
      <bottom style="medium">
        <color rgb="FFE4E4E4"/>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medium">
        <color rgb="FF000000"/>
      </left>
      <right style="medium">
        <color rgb="FFCCCCCC"/>
      </right>
      <top style="medium">
        <color rgb="FF000000"/>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9CC2E5"/>
      </top>
      <bottom style="medium">
        <color rgb="FF9CC2E5"/>
      </bottom>
      <diagonal/>
    </border>
    <border>
      <left/>
      <right/>
      <top style="thin">
        <color theme="4" tint="0.39997558519241921"/>
      </top>
      <bottom style="thin">
        <color theme="4" tint="0.39997558519241921"/>
      </bottom>
      <diagonal/>
    </border>
    <border>
      <left style="medium">
        <color rgb="FF9CC2E5"/>
      </left>
      <right style="medium">
        <color rgb="FFCCCCCC"/>
      </right>
      <top style="medium">
        <color rgb="FF9CC2E5"/>
      </top>
      <bottom style="medium">
        <color rgb="FF9CC2E5"/>
      </bottom>
      <diagonal/>
    </border>
    <border>
      <left style="medium">
        <color rgb="FFCCCCCC"/>
      </left>
      <right style="medium">
        <color rgb="FFCCCCCC"/>
      </right>
      <top style="medium">
        <color rgb="FF9CC2E5"/>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43" fontId="1"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cellStyleXfs>
  <cellXfs count="396">
    <xf numFmtId="0" fontId="0" fillId="0" borderId="0" xfId="0">
      <alignment vertical="center"/>
    </xf>
    <xf numFmtId="0" fontId="3" fillId="0" borderId="0" xfId="0" applyFont="1">
      <alignment vertical="center"/>
    </xf>
    <xf numFmtId="0" fontId="7" fillId="5" borderId="9" xfId="0" applyFont="1" applyFill="1" applyBorder="1" applyAlignment="1">
      <alignment horizontal="center" vertical="center" wrapText="1"/>
    </xf>
    <xf numFmtId="0" fontId="8" fillId="0" borderId="9" xfId="0" applyFont="1" applyBorder="1" applyAlignment="1">
      <alignment vertical="center" wrapText="1"/>
    </xf>
    <xf numFmtId="0" fontId="9" fillId="0" borderId="9" xfId="2" applyBorder="1" applyAlignment="1">
      <alignment vertical="center" wrapText="1"/>
    </xf>
    <xf numFmtId="0" fontId="8" fillId="0" borderId="9" xfId="0" applyFont="1" applyBorder="1" applyAlignment="1">
      <alignment horizontal="left" vertical="center" wrapText="1"/>
    </xf>
    <xf numFmtId="0" fontId="8" fillId="6" borderId="9" xfId="0" applyFont="1" applyFill="1" applyBorder="1" applyAlignment="1">
      <alignment vertical="center" wrapText="1"/>
    </xf>
    <xf numFmtId="0" fontId="9" fillId="6" borderId="9" xfId="2" applyFill="1" applyBorder="1" applyAlignment="1">
      <alignment vertical="center" wrapText="1"/>
    </xf>
    <xf numFmtId="0" fontId="8" fillId="6" borderId="9"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49" fontId="3" fillId="0" borderId="0" xfId="0" applyNumberFormat="1" applyFont="1">
      <alignment vertical="center"/>
    </xf>
    <xf numFmtId="0" fontId="3" fillId="0" borderId="0" xfId="0" applyFont="1" applyAlignment="1">
      <alignment horizontal="center" vertical="center"/>
    </xf>
    <xf numFmtId="49" fontId="17" fillId="23" borderId="2" xfId="0" applyNumberFormat="1" applyFont="1" applyFill="1" applyBorder="1" applyAlignment="1">
      <alignment horizontal="center" vertical="center" wrapText="1"/>
    </xf>
    <xf numFmtId="0" fontId="3" fillId="24" borderId="0" xfId="0" applyFont="1" applyFill="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0" xfId="0" applyFont="1" applyAlignment="1">
      <alignment horizontal="center" vertical="center"/>
    </xf>
    <xf numFmtId="0" fontId="4" fillId="0" borderId="0" xfId="0" applyFont="1">
      <alignment vertical="center"/>
    </xf>
    <xf numFmtId="0" fontId="4" fillId="0" borderId="0" xfId="0" applyFont="1" applyAlignment="1">
      <alignment vertical="center" wrapText="1"/>
    </xf>
    <xf numFmtId="49" fontId="4" fillId="0" borderId="0" xfId="0" applyNumberFormat="1" applyFont="1" applyAlignment="1">
      <alignment horizontal="center" vertical="center" wrapText="1"/>
    </xf>
    <xf numFmtId="0" fontId="3" fillId="0" borderId="0" xfId="0" applyFont="1" applyAlignment="1">
      <alignment horizontal="center"/>
    </xf>
    <xf numFmtId="0" fontId="18" fillId="0" borderId="0" xfId="0" applyFont="1" applyAlignment="1">
      <alignment horizontal="center" vertical="center"/>
    </xf>
    <xf numFmtId="49" fontId="20" fillId="22" borderId="2" xfId="0" applyNumberFormat="1" applyFont="1" applyFill="1" applyBorder="1" applyAlignment="1">
      <alignment horizontal="center" vertical="center" wrapText="1"/>
    </xf>
    <xf numFmtId="0" fontId="9" fillId="0" borderId="0" xfId="2">
      <alignment vertical="center"/>
    </xf>
    <xf numFmtId="49" fontId="5" fillId="0" borderId="2" xfId="0" applyNumberFormat="1" applyFont="1" applyBorder="1" applyAlignment="1">
      <alignment horizontal="center" vertical="center" wrapText="1"/>
    </xf>
    <xf numFmtId="0" fontId="4" fillId="0" borderId="2" xfId="0" applyFont="1" applyBorder="1" applyAlignment="1">
      <alignment vertical="center" wrapText="1"/>
    </xf>
    <xf numFmtId="0" fontId="6" fillId="0" borderId="2" xfId="0" applyFont="1" applyBorder="1" applyAlignment="1">
      <alignment vertical="center" wrapText="1"/>
    </xf>
    <xf numFmtId="0" fontId="21" fillId="0" borderId="0" xfId="0" applyFont="1">
      <alignment vertical="center"/>
    </xf>
    <xf numFmtId="0" fontId="22" fillId="30" borderId="17" xfId="0" applyFont="1" applyFill="1" applyBorder="1" applyAlignment="1">
      <alignment vertical="center" wrapText="1"/>
    </xf>
    <xf numFmtId="0" fontId="11" fillId="21" borderId="18" xfId="0" applyFont="1" applyFill="1" applyBorder="1" applyAlignment="1">
      <alignment vertical="center" wrapText="1"/>
    </xf>
    <xf numFmtId="0" fontId="11" fillId="31" borderId="18" xfId="0" applyFont="1" applyFill="1" applyBorder="1" applyAlignment="1">
      <alignment vertical="center" wrapText="1"/>
    </xf>
    <xf numFmtId="0" fontId="11" fillId="32" borderId="18" xfId="0" applyFont="1" applyFill="1" applyBorder="1" applyAlignment="1">
      <alignment vertical="center" wrapText="1"/>
    </xf>
    <xf numFmtId="0" fontId="15" fillId="33" borderId="19" xfId="0" applyFont="1" applyFill="1" applyBorder="1" applyAlignment="1">
      <alignment vertical="center" wrapText="1"/>
    </xf>
    <xf numFmtId="49" fontId="23" fillId="27" borderId="2" xfId="0" applyNumberFormat="1" applyFont="1" applyFill="1" applyBorder="1" applyAlignment="1">
      <alignment horizontal="center" vertical="center" wrapText="1"/>
    </xf>
    <xf numFmtId="49" fontId="4" fillId="0" borderId="0" xfId="0" applyNumberFormat="1" applyFont="1" applyAlignment="1">
      <alignment horizontal="left" vertical="center" wrapText="1"/>
    </xf>
    <xf numFmtId="49" fontId="24" fillId="0" borderId="0" xfId="0" applyNumberFormat="1" applyFont="1" applyAlignment="1">
      <alignment horizontal="left" vertical="center" wrapText="1"/>
    </xf>
    <xf numFmtId="49" fontId="6" fillId="26" borderId="2" xfId="0" applyNumberFormat="1" applyFont="1" applyFill="1" applyBorder="1" applyAlignment="1">
      <alignment horizontal="center" vertical="center" wrapText="1"/>
    </xf>
    <xf numFmtId="49" fontId="6" fillId="22" borderId="2" xfId="0" applyNumberFormat="1" applyFont="1" applyFill="1" applyBorder="1" applyAlignment="1">
      <alignment horizontal="center" vertical="center" wrapText="1"/>
    </xf>
    <xf numFmtId="49" fontId="21" fillId="22" borderId="2" xfId="0" applyNumberFormat="1" applyFont="1" applyFill="1" applyBorder="1" applyAlignment="1">
      <alignment horizontal="center" vertical="center" wrapText="1"/>
    </xf>
    <xf numFmtId="49" fontId="20" fillId="22" borderId="2" xfId="0" applyNumberFormat="1" applyFont="1" applyFill="1" applyBorder="1" applyAlignment="1">
      <alignment horizontal="left" vertical="center" wrapText="1"/>
    </xf>
    <xf numFmtId="0" fontId="25" fillId="0" borderId="0" xfId="2" applyFont="1">
      <alignment vertical="center"/>
    </xf>
    <xf numFmtId="0" fontId="25" fillId="0" borderId="0" xfId="2" applyFont="1" applyFill="1">
      <alignment vertical="center"/>
    </xf>
    <xf numFmtId="0" fontId="15" fillId="33" borderId="19" xfId="0" applyFont="1" applyFill="1" applyBorder="1" applyAlignment="1">
      <alignment horizontal="center" vertical="center" wrapText="1"/>
    </xf>
    <xf numFmtId="0" fontId="26" fillId="0" borderId="19" xfId="0" applyFont="1" applyBorder="1" applyAlignment="1">
      <alignment vertical="center" wrapText="1"/>
    </xf>
    <xf numFmtId="0" fontId="13" fillId="0" borderId="19" xfId="0" applyFont="1" applyBorder="1" applyAlignment="1">
      <alignment vertical="center" wrapText="1"/>
    </xf>
    <xf numFmtId="0" fontId="9" fillId="33" borderId="19" xfId="2" applyFill="1" applyBorder="1">
      <alignment vertical="center"/>
    </xf>
    <xf numFmtId="0" fontId="4" fillId="0" borderId="2" xfId="0" applyFont="1" applyBorder="1" applyAlignment="1">
      <alignment horizontal="center" vertical="center"/>
    </xf>
    <xf numFmtId="180" fontId="20" fillId="22" borderId="2" xfId="0" applyNumberFormat="1" applyFont="1" applyFill="1" applyBorder="1" applyAlignment="1">
      <alignment horizontal="center" vertical="center" wrapText="1"/>
    </xf>
    <xf numFmtId="180" fontId="4" fillId="0" borderId="0" xfId="0" applyNumberFormat="1" applyFont="1" applyAlignment="1">
      <alignment horizontal="center" vertical="center"/>
    </xf>
    <xf numFmtId="180" fontId="4" fillId="0" borderId="2" xfId="0" applyNumberFormat="1" applyFont="1" applyBorder="1" applyAlignment="1">
      <alignment vertical="center" wrapText="1"/>
    </xf>
    <xf numFmtId="0" fontId="4" fillId="0" borderId="0" xfId="0" applyFont="1" applyAlignment="1">
      <alignment horizontal="left" vertical="center"/>
    </xf>
    <xf numFmtId="180" fontId="4" fillId="28" borderId="2" xfId="0" applyNumberFormat="1" applyFont="1" applyFill="1" applyBorder="1" applyAlignment="1">
      <alignment horizontal="center" vertical="center" wrapText="1"/>
    </xf>
    <xf numFmtId="180" fontId="4" fillId="0" borderId="2" xfId="0" applyNumberFormat="1" applyFont="1" applyBorder="1" applyAlignment="1">
      <alignment horizontal="center" vertical="center" wrapText="1"/>
    </xf>
    <xf numFmtId="180" fontId="4" fillId="0" borderId="0" xfId="0" applyNumberFormat="1" applyFont="1" applyAlignment="1">
      <alignment horizontal="center" vertical="center" wrapText="1"/>
    </xf>
    <xf numFmtId="0" fontId="4" fillId="28" borderId="2" xfId="0" applyFont="1" applyFill="1" applyBorder="1" applyAlignment="1">
      <alignment horizontal="center" vertical="center" wrapText="1"/>
    </xf>
    <xf numFmtId="0" fontId="16" fillId="35" borderId="21" xfId="0" applyFont="1" applyFill="1" applyBorder="1" applyAlignment="1">
      <alignment horizontal="center" vertical="center" wrapText="1"/>
    </xf>
    <xf numFmtId="0" fontId="15" fillId="0" borderId="19" xfId="0" applyFont="1" applyBorder="1" applyAlignment="1">
      <alignment vertical="center" wrapText="1"/>
    </xf>
    <xf numFmtId="0" fontId="3" fillId="0" borderId="22" xfId="0" applyFont="1" applyBorder="1" applyAlignment="1">
      <alignment vertical="center" wrapText="1"/>
    </xf>
    <xf numFmtId="49" fontId="3" fillId="0" borderId="22" xfId="0" applyNumberFormat="1" applyFont="1" applyBorder="1" applyAlignment="1">
      <alignment vertical="center" wrapText="1"/>
    </xf>
    <xf numFmtId="49" fontId="3" fillId="33" borderId="19" xfId="0" applyNumberFormat="1" applyFont="1" applyFill="1" applyBorder="1" applyAlignment="1">
      <alignment vertical="center" wrapText="1"/>
    </xf>
    <xf numFmtId="0" fontId="3" fillId="0" borderId="23" xfId="0" applyFont="1" applyBorder="1" applyAlignment="1">
      <alignment vertical="center" wrapText="1"/>
    </xf>
    <xf numFmtId="43" fontId="4" fillId="0" borderId="2" xfId="1" applyFont="1" applyBorder="1" applyAlignment="1">
      <alignment horizontal="left" vertical="center" wrapText="1"/>
    </xf>
    <xf numFmtId="43" fontId="4" fillId="0" borderId="0" xfId="1" applyFont="1" applyAlignment="1">
      <alignment horizontal="left" vertical="center" wrapText="1"/>
    </xf>
    <xf numFmtId="41" fontId="4" fillId="0" borderId="2" xfId="1" applyNumberFormat="1" applyFont="1" applyBorder="1" applyAlignment="1">
      <alignment horizontal="left" vertical="center" wrapText="1"/>
    </xf>
    <xf numFmtId="41" fontId="4" fillId="0" borderId="0" xfId="1" applyNumberFormat="1" applyFont="1" applyAlignment="1">
      <alignment horizontal="left" vertical="center" wrapText="1"/>
    </xf>
    <xf numFmtId="0" fontId="9" fillId="0" borderId="19" xfId="2" applyBorder="1" applyAlignment="1">
      <alignment vertical="center" wrapText="1"/>
    </xf>
    <xf numFmtId="0" fontId="14" fillId="33" borderId="19" xfId="0" applyFont="1" applyFill="1" applyBorder="1" applyAlignment="1">
      <alignment horizontal="center" vertical="center" wrapText="1"/>
    </xf>
    <xf numFmtId="0" fontId="3" fillId="0" borderId="20" xfId="0" applyFont="1" applyBorder="1" applyAlignment="1">
      <alignment horizontal="center" vertical="center"/>
    </xf>
    <xf numFmtId="0" fontId="3" fillId="7" borderId="2" xfId="3" applyFont="1" applyFill="1" applyBorder="1" applyAlignment="1">
      <alignment horizontal="center" vertical="center" wrapText="1"/>
    </xf>
    <xf numFmtId="0" fontId="27" fillId="7" borderId="10" xfId="3" applyFont="1" applyFill="1" applyBorder="1" applyAlignment="1">
      <alignment horizontal="center" vertical="center" wrapText="1"/>
    </xf>
    <xf numFmtId="0" fontId="27" fillId="7" borderId="4" xfId="3" applyFont="1" applyFill="1" applyBorder="1" applyAlignment="1">
      <alignment horizontal="center" vertical="center" wrapText="1"/>
    </xf>
    <xf numFmtId="38" fontId="27" fillId="7" borderId="4" xfId="3" applyNumberFormat="1" applyFont="1" applyFill="1" applyBorder="1" applyAlignment="1">
      <alignment horizontal="center" vertical="center" wrapText="1"/>
    </xf>
    <xf numFmtId="0" fontId="27" fillId="7" borderId="4" xfId="3" applyFont="1" applyFill="1" applyBorder="1" applyAlignment="1">
      <alignment horizontal="center" vertical="center"/>
    </xf>
    <xf numFmtId="176" fontId="27" fillId="7" borderId="4" xfId="3" applyNumberFormat="1" applyFont="1" applyFill="1" applyBorder="1" applyAlignment="1">
      <alignment horizontal="center" vertical="center"/>
    </xf>
    <xf numFmtId="177" fontId="27" fillId="7" borderId="4" xfId="3" applyNumberFormat="1" applyFont="1" applyFill="1" applyBorder="1" applyAlignment="1">
      <alignment horizontal="center" vertical="center"/>
    </xf>
    <xf numFmtId="0" fontId="27" fillId="7" borderId="6" xfId="3" applyFont="1" applyFill="1" applyBorder="1" applyAlignment="1">
      <alignment horizontal="center" vertical="center" wrapText="1"/>
    </xf>
    <xf numFmtId="0" fontId="27" fillId="7" borderId="2" xfId="3" applyFont="1" applyFill="1" applyBorder="1" applyAlignment="1">
      <alignment horizontal="center" vertical="center" wrapText="1"/>
    </xf>
    <xf numFmtId="0" fontId="3" fillId="0" borderId="1" xfId="3" applyFont="1" applyBorder="1" applyAlignment="1">
      <alignment horizontal="center" vertical="center" shrinkToFit="1"/>
    </xf>
    <xf numFmtId="0" fontId="28" fillId="0" borderId="2" xfId="0" applyFont="1" applyBorder="1" applyAlignment="1">
      <alignment horizontal="center" vertical="center"/>
    </xf>
    <xf numFmtId="0" fontId="27" fillId="25" borderId="4" xfId="3" applyFont="1" applyFill="1" applyBorder="1" applyAlignment="1">
      <alignment horizontal="center" vertical="center" wrapText="1"/>
    </xf>
    <xf numFmtId="0" fontId="3" fillId="0" borderId="0" xfId="0" applyFont="1" applyAlignment="1">
      <alignment vertical="center" wrapText="1"/>
    </xf>
    <xf numFmtId="0" fontId="3" fillId="7" borderId="2" xfId="3" applyFont="1" applyFill="1" applyBorder="1" applyAlignment="1">
      <alignment horizontal="center" vertical="center"/>
    </xf>
    <xf numFmtId="0" fontId="27" fillId="7" borderId="10" xfId="3" applyFont="1" applyFill="1" applyBorder="1" applyAlignment="1">
      <alignment horizontal="center" vertical="center"/>
    </xf>
    <xf numFmtId="0" fontId="27" fillId="7" borderId="4" xfId="3" applyFont="1" applyFill="1" applyBorder="1" applyAlignment="1">
      <alignment vertical="center"/>
    </xf>
    <xf numFmtId="38" fontId="27" fillId="7" borderId="4" xfId="3" applyNumberFormat="1" applyFont="1" applyFill="1" applyBorder="1" applyAlignment="1">
      <alignment horizontal="center" vertical="center"/>
    </xf>
    <xf numFmtId="177" fontId="27" fillId="7" borderId="4" xfId="3" applyNumberFormat="1" applyFont="1" applyFill="1" applyBorder="1" applyAlignment="1">
      <alignment vertical="center"/>
    </xf>
    <xf numFmtId="177" fontId="27" fillId="7" borderId="4" xfId="3" applyNumberFormat="1" applyFont="1" applyFill="1" applyBorder="1" applyAlignment="1">
      <alignment horizontal="right" vertical="center"/>
    </xf>
    <xf numFmtId="0" fontId="27" fillId="7" borderId="6" xfId="3" applyFont="1" applyFill="1" applyBorder="1" applyAlignment="1">
      <alignment horizontal="left" vertical="center" wrapText="1"/>
    </xf>
    <xf numFmtId="0" fontId="3" fillId="0" borderId="1" xfId="3" applyFont="1" applyBorder="1" applyAlignment="1">
      <alignment vertical="center" shrinkToFit="1"/>
    </xf>
    <xf numFmtId="0" fontId="28" fillId="0" borderId="2" xfId="0" applyFont="1" applyBorder="1">
      <alignment vertical="center"/>
    </xf>
    <xf numFmtId="0" fontId="27" fillId="7" borderId="4" xfId="3" applyFont="1" applyFill="1" applyBorder="1" applyAlignment="1">
      <alignment vertical="center" wrapText="1"/>
    </xf>
    <xf numFmtId="0" fontId="27" fillId="8" borderId="4" xfId="3" applyFont="1" applyFill="1" applyBorder="1" applyAlignment="1">
      <alignment horizontal="center" vertical="center"/>
    </xf>
    <xf numFmtId="0" fontId="27" fillId="8" borderId="6" xfId="3" applyFont="1" applyFill="1" applyBorder="1" applyAlignment="1">
      <alignment horizontal="left" vertical="center" wrapText="1"/>
    </xf>
    <xf numFmtId="0" fontId="27" fillId="8" borderId="2" xfId="3" applyFont="1" applyFill="1" applyBorder="1" applyAlignment="1">
      <alignment horizontal="center" vertical="center" wrapText="1"/>
    </xf>
    <xf numFmtId="0" fontId="27" fillId="7" borderId="2" xfId="3" applyFont="1" applyFill="1" applyBorder="1" applyAlignment="1">
      <alignment horizontal="left" vertical="center" wrapText="1"/>
    </xf>
    <xf numFmtId="0" fontId="3" fillId="9" borderId="11" xfId="3" applyFont="1" applyFill="1" applyBorder="1" applyAlignment="1">
      <alignment horizontal="center" vertical="center"/>
    </xf>
    <xf numFmtId="0" fontId="27" fillId="9" borderId="10" xfId="3" applyFont="1" applyFill="1" applyBorder="1" applyAlignment="1">
      <alignment horizontal="center" vertical="center"/>
    </xf>
    <xf numFmtId="0" fontId="27" fillId="9" borderId="4" xfId="3" applyFont="1" applyFill="1" applyBorder="1" applyAlignment="1">
      <alignment horizontal="center" vertical="center"/>
    </xf>
    <xf numFmtId="0" fontId="28" fillId="9" borderId="4" xfId="3" applyFont="1" applyFill="1" applyBorder="1" applyAlignment="1">
      <alignment vertical="center" wrapText="1"/>
    </xf>
    <xf numFmtId="0" fontId="27" fillId="9" borderId="4" xfId="3" applyFont="1" applyFill="1" applyBorder="1" applyAlignment="1">
      <alignment vertical="center" wrapText="1"/>
    </xf>
    <xf numFmtId="38" fontId="27" fillId="9" borderId="4" xfId="3" applyNumberFormat="1" applyFont="1" applyFill="1" applyBorder="1" applyAlignment="1">
      <alignment horizontal="center" vertical="center"/>
    </xf>
    <xf numFmtId="176" fontId="27" fillId="9" borderId="4" xfId="3" applyNumberFormat="1" applyFont="1" applyFill="1" applyBorder="1" applyAlignment="1">
      <alignment horizontal="center" vertical="center"/>
    </xf>
    <xf numFmtId="177" fontId="27" fillId="9" borderId="4" xfId="3" applyNumberFormat="1" applyFont="1" applyFill="1" applyBorder="1" applyAlignment="1">
      <alignment vertical="center"/>
    </xf>
    <xf numFmtId="177" fontId="27" fillId="9" borderId="4" xfId="3" applyNumberFormat="1" applyFont="1" applyFill="1" applyBorder="1" applyAlignment="1">
      <alignment horizontal="right" vertical="center"/>
    </xf>
    <xf numFmtId="0" fontId="27" fillId="9" borderId="4" xfId="3" applyFont="1" applyFill="1" applyBorder="1" applyAlignment="1">
      <alignment horizontal="center" vertical="center" wrapText="1"/>
    </xf>
    <xf numFmtId="49" fontId="27" fillId="9" borderId="6" xfId="3" applyNumberFormat="1" applyFont="1" applyFill="1" applyBorder="1" applyAlignment="1">
      <alignment horizontal="left" vertical="center" wrapText="1"/>
    </xf>
    <xf numFmtId="49" fontId="27" fillId="9" borderId="2" xfId="3" applyNumberFormat="1" applyFont="1" applyFill="1" applyBorder="1" applyAlignment="1">
      <alignment horizontal="center" vertical="center" wrapText="1"/>
    </xf>
    <xf numFmtId="0" fontId="28" fillId="9" borderId="4" xfId="3" applyFont="1" applyFill="1" applyBorder="1" applyAlignment="1">
      <alignment vertical="center"/>
    </xf>
    <xf numFmtId="0" fontId="27" fillId="9" borderId="4" xfId="3" applyFont="1" applyFill="1" applyBorder="1" applyAlignment="1">
      <alignment vertical="center"/>
    </xf>
    <xf numFmtId="0" fontId="27" fillId="9" borderId="6" xfId="3" applyFont="1" applyFill="1" applyBorder="1" applyAlignment="1">
      <alignment horizontal="left" vertical="center" wrapText="1"/>
    </xf>
    <xf numFmtId="0" fontId="27" fillId="9" borderId="2" xfId="3" applyFont="1" applyFill="1" applyBorder="1" applyAlignment="1">
      <alignment horizontal="center" vertical="center" wrapText="1"/>
    </xf>
    <xf numFmtId="38" fontId="27" fillId="9" borderId="4" xfId="3" applyNumberFormat="1" applyFont="1" applyFill="1" applyBorder="1" applyAlignment="1">
      <alignment horizontal="center" vertical="center" wrapText="1"/>
    </xf>
    <xf numFmtId="176" fontId="27" fillId="9" borderId="4" xfId="3" applyNumberFormat="1" applyFont="1" applyFill="1" applyBorder="1" applyAlignment="1">
      <alignment horizontal="center" vertical="center" wrapText="1"/>
    </xf>
    <xf numFmtId="177" fontId="27" fillId="9" borderId="4" xfId="3" applyNumberFormat="1" applyFont="1" applyFill="1" applyBorder="1" applyAlignment="1">
      <alignment vertical="center" wrapText="1"/>
    </xf>
    <xf numFmtId="177" fontId="27" fillId="9" borderId="4" xfId="3" applyNumberFormat="1" applyFont="1" applyFill="1" applyBorder="1" applyAlignment="1">
      <alignment horizontal="right" vertical="center" wrapText="1"/>
    </xf>
    <xf numFmtId="0" fontId="27" fillId="9" borderId="10" xfId="3" applyFont="1" applyFill="1" applyBorder="1" applyAlignment="1">
      <alignment horizontal="center" vertical="center" wrapText="1"/>
    </xf>
    <xf numFmtId="0" fontId="27" fillId="9" borderId="2" xfId="3" applyFont="1" applyFill="1" applyBorder="1" applyAlignment="1">
      <alignment horizontal="left" vertical="center" wrapText="1"/>
    </xf>
    <xf numFmtId="0" fontId="3" fillId="10" borderId="10" xfId="3" applyFont="1" applyFill="1" applyBorder="1" applyAlignment="1">
      <alignment horizontal="center" vertical="center"/>
    </xf>
    <xf numFmtId="0" fontId="27" fillId="10" borderId="10" xfId="3" applyFont="1" applyFill="1" applyBorder="1" applyAlignment="1">
      <alignment horizontal="center" vertical="center"/>
    </xf>
    <xf numFmtId="0" fontId="27" fillId="10" borderId="4" xfId="3" applyFont="1" applyFill="1" applyBorder="1" applyAlignment="1">
      <alignment horizontal="center" vertical="center"/>
    </xf>
    <xf numFmtId="0" fontId="27" fillId="10" borderId="4" xfId="3" applyFont="1" applyFill="1" applyBorder="1" applyAlignment="1">
      <alignment vertical="center" wrapText="1"/>
    </xf>
    <xf numFmtId="38" fontId="27" fillId="10" borderId="4" xfId="3" applyNumberFormat="1" applyFont="1" applyFill="1" applyBorder="1" applyAlignment="1">
      <alignment horizontal="center" vertical="center"/>
    </xf>
    <xf numFmtId="176" fontId="27" fillId="10" borderId="4" xfId="3" applyNumberFormat="1" applyFont="1" applyFill="1" applyBorder="1" applyAlignment="1">
      <alignment horizontal="center" vertical="center"/>
    </xf>
    <xf numFmtId="177" fontId="27" fillId="10" borderId="4" xfId="3" applyNumberFormat="1" applyFont="1" applyFill="1" applyBorder="1" applyAlignment="1">
      <alignment vertical="center"/>
    </xf>
    <xf numFmtId="177" fontId="27" fillId="10" borderId="4" xfId="3" applyNumberFormat="1" applyFont="1" applyFill="1" applyBorder="1" applyAlignment="1">
      <alignment horizontal="right" vertical="center"/>
    </xf>
    <xf numFmtId="0" fontId="27" fillId="10" borderId="4" xfId="3" applyFont="1" applyFill="1" applyBorder="1" applyAlignment="1">
      <alignment horizontal="center" vertical="center" wrapText="1"/>
    </xf>
    <xf numFmtId="49" fontId="27" fillId="10" borderId="6" xfId="3" applyNumberFormat="1" applyFont="1" applyFill="1" applyBorder="1" applyAlignment="1">
      <alignment horizontal="left" vertical="center" wrapText="1"/>
    </xf>
    <xf numFmtId="49" fontId="27" fillId="10" borderId="2" xfId="3" applyNumberFormat="1" applyFont="1" applyFill="1" applyBorder="1" applyAlignment="1">
      <alignment horizontal="center" vertical="center" wrapText="1"/>
    </xf>
    <xf numFmtId="0" fontId="3" fillId="0" borderId="1" xfId="3" applyFont="1" applyBorder="1" applyAlignment="1">
      <alignment vertical="center" wrapText="1" shrinkToFit="1"/>
    </xf>
    <xf numFmtId="49" fontId="27" fillId="11" borderId="6" xfId="3" applyNumberFormat="1" applyFont="1" applyFill="1" applyBorder="1" applyAlignment="1">
      <alignment horizontal="left" vertical="center" wrapText="1"/>
    </xf>
    <xf numFmtId="49" fontId="27" fillId="11" borderId="2" xfId="3" applyNumberFormat="1" applyFont="1" applyFill="1" applyBorder="1" applyAlignment="1">
      <alignment horizontal="center" vertical="center" wrapText="1"/>
    </xf>
    <xf numFmtId="0" fontId="29" fillId="10" borderId="4" xfId="3" applyFont="1" applyFill="1" applyBorder="1" applyAlignment="1">
      <alignment horizontal="center" vertical="center" wrapText="1"/>
    </xf>
    <xf numFmtId="0" fontId="27" fillId="11" borderId="4" xfId="3" applyFont="1" applyFill="1" applyBorder="1" applyAlignment="1">
      <alignment horizontal="center" vertical="center" wrapText="1"/>
    </xf>
    <xf numFmtId="38" fontId="27" fillId="10" borderId="4" xfId="3" applyNumberFormat="1" applyFont="1" applyFill="1" applyBorder="1" applyAlignment="1">
      <alignment horizontal="center" vertical="center" wrapText="1"/>
    </xf>
    <xf numFmtId="176" fontId="27" fillId="10" borderId="4" xfId="3" applyNumberFormat="1" applyFont="1" applyFill="1" applyBorder="1" applyAlignment="1">
      <alignment horizontal="center" vertical="center" wrapText="1"/>
    </xf>
    <xf numFmtId="177" fontId="27" fillId="10" borderId="4" xfId="3" applyNumberFormat="1" applyFont="1" applyFill="1" applyBorder="1" applyAlignment="1">
      <alignment vertical="center" wrapText="1"/>
    </xf>
    <xf numFmtId="177" fontId="27" fillId="10" borderId="4" xfId="3" applyNumberFormat="1" applyFont="1" applyFill="1" applyBorder="1" applyAlignment="1">
      <alignment horizontal="right" vertical="center" wrapText="1"/>
    </xf>
    <xf numFmtId="49" fontId="27" fillId="12" borderId="2" xfId="3" applyNumberFormat="1" applyFont="1" applyFill="1" applyBorder="1" applyAlignment="1">
      <alignment horizontal="center" vertical="center" wrapText="1"/>
    </xf>
    <xf numFmtId="38" fontId="27" fillId="10" borderId="4" xfId="3" applyNumberFormat="1" applyFont="1" applyFill="1" applyBorder="1" applyAlignment="1">
      <alignment horizontal="right" vertical="center"/>
    </xf>
    <xf numFmtId="0" fontId="27" fillId="10" borderId="4" xfId="3" applyFont="1" applyFill="1" applyBorder="1" applyAlignment="1">
      <alignment vertical="center"/>
    </xf>
    <xf numFmtId="0" fontId="30" fillId="10" borderId="4" xfId="3" applyFont="1" applyFill="1" applyBorder="1" applyAlignment="1">
      <alignment horizontal="center" vertical="center" wrapText="1"/>
    </xf>
    <xf numFmtId="0" fontId="27" fillId="10" borderId="6" xfId="3" applyFont="1" applyFill="1" applyBorder="1" applyAlignment="1">
      <alignment horizontal="left" vertical="center" wrapText="1"/>
    </xf>
    <xf numFmtId="0" fontId="27" fillId="10" borderId="2" xfId="3" applyFont="1" applyFill="1" applyBorder="1" applyAlignment="1">
      <alignment horizontal="center" vertical="center" wrapText="1"/>
    </xf>
    <xf numFmtId="178" fontId="27" fillId="10" borderId="4" xfId="3" applyNumberFormat="1" applyFont="1" applyFill="1" applyBorder="1" applyAlignment="1">
      <alignment horizontal="center" vertical="center"/>
    </xf>
    <xf numFmtId="49" fontId="27" fillId="13" borderId="4" xfId="3" applyNumberFormat="1" applyFont="1" applyFill="1" applyBorder="1" applyAlignment="1">
      <alignment horizontal="center" vertical="center" wrapText="1"/>
    </xf>
    <xf numFmtId="0" fontId="27" fillId="13" borderId="6" xfId="3" applyFont="1" applyFill="1" applyBorder="1" applyAlignment="1">
      <alignment horizontal="left" vertical="center" wrapText="1"/>
    </xf>
    <xf numFmtId="0" fontId="3" fillId="14" borderId="10" xfId="3" applyFont="1" applyFill="1" applyBorder="1" applyAlignment="1">
      <alignment horizontal="center" vertical="center"/>
    </xf>
    <xf numFmtId="0" fontId="27" fillId="14" borderId="10" xfId="3" applyFont="1" applyFill="1" applyBorder="1" applyAlignment="1">
      <alignment horizontal="center" vertical="center"/>
    </xf>
    <xf numFmtId="0" fontId="27" fillId="14" borderId="4" xfId="3" applyFont="1" applyFill="1" applyBorder="1" applyAlignment="1">
      <alignment horizontal="center" vertical="center"/>
    </xf>
    <xf numFmtId="0" fontId="27" fillId="14" borderId="4" xfId="3" applyFont="1" applyFill="1" applyBorder="1" applyAlignment="1">
      <alignment horizontal="left" vertical="center" wrapText="1"/>
    </xf>
    <xf numFmtId="38" fontId="31" fillId="14" borderId="4" xfId="3" applyNumberFormat="1" applyFont="1" applyFill="1" applyBorder="1" applyAlignment="1">
      <alignment horizontal="center" vertical="center"/>
    </xf>
    <xf numFmtId="176" fontId="27" fillId="14" borderId="4" xfId="3" applyNumberFormat="1" applyFont="1" applyFill="1" applyBorder="1" applyAlignment="1">
      <alignment horizontal="center" vertical="center"/>
    </xf>
    <xf numFmtId="177" fontId="27" fillId="14" borderId="4" xfId="3" applyNumberFormat="1" applyFont="1" applyFill="1" applyBorder="1" applyAlignment="1">
      <alignment horizontal="right" vertical="center"/>
    </xf>
    <xf numFmtId="0" fontId="27" fillId="14" borderId="4" xfId="3" applyFont="1" applyFill="1" applyBorder="1" applyAlignment="1">
      <alignment horizontal="center" vertical="center" wrapText="1"/>
    </xf>
    <xf numFmtId="49" fontId="27" fillId="14" borderId="6" xfId="3" applyNumberFormat="1" applyFont="1" applyFill="1" applyBorder="1" applyAlignment="1">
      <alignment horizontal="left" vertical="center" wrapText="1"/>
    </xf>
    <xf numFmtId="49" fontId="27" fillId="14" borderId="2" xfId="3" applyNumberFormat="1" applyFont="1" applyFill="1" applyBorder="1" applyAlignment="1">
      <alignment horizontal="center" vertical="center" wrapText="1"/>
    </xf>
    <xf numFmtId="0" fontId="27" fillId="14" borderId="4" xfId="3" applyFont="1" applyFill="1" applyBorder="1" applyAlignment="1">
      <alignment vertical="center"/>
    </xf>
    <xf numFmtId="38" fontId="27" fillId="14" borderId="4" xfId="3" applyNumberFormat="1" applyFont="1" applyFill="1" applyBorder="1" applyAlignment="1">
      <alignment horizontal="center" vertical="center"/>
    </xf>
    <xf numFmtId="49" fontId="27" fillId="14" borderId="2" xfId="3" applyNumberFormat="1" applyFont="1" applyFill="1" applyBorder="1" applyAlignment="1">
      <alignment horizontal="center" vertical="top" wrapText="1"/>
    </xf>
    <xf numFmtId="0" fontId="27" fillId="14" borderId="4" xfId="3" applyFont="1" applyFill="1" applyBorder="1" applyAlignment="1">
      <alignment vertical="center" wrapText="1"/>
    </xf>
    <xf numFmtId="38" fontId="27" fillId="14" borderId="4" xfId="3" applyNumberFormat="1" applyFont="1" applyFill="1" applyBorder="1" applyAlignment="1">
      <alignment horizontal="center" vertical="center" wrapText="1"/>
    </xf>
    <xf numFmtId="176" fontId="27" fillId="14" borderId="4" xfId="3" applyNumberFormat="1" applyFont="1" applyFill="1" applyBorder="1" applyAlignment="1">
      <alignment horizontal="center" vertical="center" wrapText="1"/>
    </xf>
    <xf numFmtId="177" fontId="27" fillId="14" borderId="4" xfId="3" applyNumberFormat="1" applyFont="1" applyFill="1" applyBorder="1" applyAlignment="1">
      <alignment horizontal="right" vertical="center" wrapText="1"/>
    </xf>
    <xf numFmtId="38" fontId="27" fillId="14" borderId="4" xfId="3" applyNumberFormat="1" applyFont="1" applyFill="1" applyBorder="1" applyAlignment="1">
      <alignment horizontal="right" vertical="center"/>
    </xf>
    <xf numFmtId="0" fontId="32" fillId="14" borderId="4" xfId="3" applyFont="1" applyFill="1" applyBorder="1" applyAlignment="1">
      <alignment vertical="center" wrapText="1"/>
    </xf>
    <xf numFmtId="0" fontId="27" fillId="14" borderId="4" xfId="3" applyFont="1" applyFill="1" applyBorder="1" applyAlignment="1">
      <alignment horizontal="left" vertical="center"/>
    </xf>
    <xf numFmtId="0" fontId="27" fillId="14" borderId="6" xfId="3" applyFont="1" applyFill="1" applyBorder="1" applyAlignment="1">
      <alignment vertical="center"/>
    </xf>
    <xf numFmtId="0" fontId="27" fillId="14" borderId="2" xfId="3" applyFont="1" applyFill="1" applyBorder="1" applyAlignment="1">
      <alignment horizontal="center" vertical="center"/>
    </xf>
    <xf numFmtId="0" fontId="27" fillId="14" borderId="6" xfId="3" applyFont="1" applyFill="1" applyBorder="1" applyAlignment="1">
      <alignment horizontal="left" vertical="center" wrapText="1"/>
    </xf>
    <xf numFmtId="0" fontId="27" fillId="14" borderId="2" xfId="3" applyFont="1" applyFill="1" applyBorder="1" applyAlignment="1">
      <alignment horizontal="center" vertical="center" wrapText="1"/>
    </xf>
    <xf numFmtId="0" fontId="3" fillId="15" borderId="10" xfId="3" applyFont="1" applyFill="1" applyBorder="1" applyAlignment="1">
      <alignment horizontal="center" vertical="center"/>
    </xf>
    <xf numFmtId="0" fontId="27" fillId="13" borderId="10" xfId="3" applyFont="1" applyFill="1" applyBorder="1" applyAlignment="1">
      <alignment horizontal="center" vertical="center"/>
    </xf>
    <xf numFmtId="0" fontId="27" fillId="13" borderId="4" xfId="3" applyFont="1" applyFill="1" applyBorder="1" applyAlignment="1">
      <alignment horizontal="center" vertical="center"/>
    </xf>
    <xf numFmtId="0" fontId="27" fillId="13" borderId="4" xfId="3" applyFont="1" applyFill="1" applyBorder="1" applyAlignment="1">
      <alignment horizontal="left" vertical="center"/>
    </xf>
    <xf numFmtId="0" fontId="27" fillId="13" borderId="4" xfId="3" applyFont="1" applyFill="1" applyBorder="1" applyAlignment="1">
      <alignment horizontal="center" vertical="center" wrapText="1"/>
    </xf>
    <xf numFmtId="176" fontId="27" fillId="13" borderId="4" xfId="3" applyNumberFormat="1" applyFont="1" applyFill="1" applyBorder="1" applyAlignment="1">
      <alignment horizontal="center" vertical="center" wrapText="1"/>
    </xf>
    <xf numFmtId="179" fontId="27" fillId="13" borderId="4" xfId="3" applyNumberFormat="1" applyFont="1" applyFill="1" applyBorder="1" applyAlignment="1">
      <alignment horizontal="center" vertical="center" wrapText="1"/>
    </xf>
    <xf numFmtId="38" fontId="27" fillId="13" borderId="4" xfId="3" applyNumberFormat="1" applyFont="1" applyFill="1" applyBorder="1" applyAlignment="1">
      <alignment vertical="center"/>
    </xf>
    <xf numFmtId="49" fontId="27" fillId="13" borderId="6" xfId="3" applyNumberFormat="1" applyFont="1" applyFill="1" applyBorder="1" applyAlignment="1">
      <alignment horizontal="left" vertical="center" wrapText="1"/>
    </xf>
    <xf numFmtId="49" fontId="27" fillId="13" borderId="2" xfId="3" applyNumberFormat="1" applyFont="1" applyFill="1" applyBorder="1" applyAlignment="1">
      <alignment horizontal="center" vertical="center" wrapText="1"/>
    </xf>
    <xf numFmtId="0" fontId="27" fillId="13" borderId="14" xfId="3" applyFont="1" applyFill="1" applyBorder="1" applyAlignment="1">
      <alignment horizontal="center" vertical="center"/>
    </xf>
    <xf numFmtId="0" fontId="27" fillId="13" borderId="5" xfId="3" applyFont="1" applyFill="1" applyBorder="1" applyAlignment="1">
      <alignment horizontal="center" vertical="center"/>
    </xf>
    <xf numFmtId="0" fontId="27" fillId="13" borderId="11" xfId="3" applyFont="1" applyFill="1" applyBorder="1" applyAlignment="1">
      <alignment horizontal="center" vertical="center"/>
    </xf>
    <xf numFmtId="0" fontId="27" fillId="13" borderId="8" xfId="3" applyFont="1" applyFill="1" applyBorder="1" applyAlignment="1">
      <alignment horizontal="center" vertical="center"/>
    </xf>
    <xf numFmtId="0" fontId="27" fillId="13" borderId="5" xfId="3" applyFont="1" applyFill="1" applyBorder="1" applyAlignment="1">
      <alignment horizontal="left" vertical="center"/>
    </xf>
    <xf numFmtId="49" fontId="27" fillId="13" borderId="12" xfId="3" applyNumberFormat="1" applyFont="1" applyFill="1" applyBorder="1" applyAlignment="1">
      <alignment horizontal="left" vertical="center" wrapText="1"/>
    </xf>
    <xf numFmtId="0" fontId="27" fillId="13" borderId="8" xfId="3" applyFont="1" applyFill="1" applyBorder="1" applyAlignment="1">
      <alignment horizontal="left" vertical="center"/>
    </xf>
    <xf numFmtId="49" fontId="27" fillId="13" borderId="13" xfId="3" applyNumberFormat="1" applyFont="1" applyFill="1" applyBorder="1" applyAlignment="1">
      <alignment horizontal="left" vertical="center" wrapText="1"/>
    </xf>
    <xf numFmtId="0" fontId="27" fillId="13" borderId="4" xfId="3" applyFont="1" applyFill="1" applyBorder="1" applyAlignment="1">
      <alignment horizontal="left" vertical="center" wrapText="1"/>
    </xf>
    <xf numFmtId="0" fontId="27" fillId="13" borderId="2" xfId="3" applyFont="1" applyFill="1" applyBorder="1" applyAlignment="1">
      <alignment horizontal="center" vertical="center" wrapText="1"/>
    </xf>
    <xf numFmtId="49" fontId="27" fillId="13" borderId="4" xfId="3" applyNumberFormat="1" applyFont="1" applyFill="1" applyBorder="1" applyAlignment="1">
      <alignment horizontal="center" vertical="center"/>
    </xf>
    <xf numFmtId="49" fontId="27" fillId="13" borderId="14" xfId="3" applyNumberFormat="1" applyFont="1" applyFill="1" applyBorder="1" applyAlignment="1">
      <alignment horizontal="center" vertical="center"/>
    </xf>
    <xf numFmtId="0" fontId="27" fillId="13" borderId="5" xfId="3" applyFont="1" applyFill="1" applyBorder="1" applyAlignment="1">
      <alignment horizontal="center" vertical="center" wrapText="1"/>
    </xf>
    <xf numFmtId="0" fontId="27" fillId="13" borderId="5" xfId="3" applyFont="1" applyFill="1" applyBorder="1" applyAlignment="1">
      <alignment horizontal="left" vertical="center" wrapText="1"/>
    </xf>
    <xf numFmtId="0" fontId="27" fillId="13" borderId="12" xfId="3" applyFont="1" applyFill="1" applyBorder="1" applyAlignment="1">
      <alignment horizontal="left" vertical="center" wrapText="1"/>
    </xf>
    <xf numFmtId="49" fontId="27" fillId="13" borderId="15" xfId="3" applyNumberFormat="1" applyFont="1" applyFill="1" applyBorder="1" applyAlignment="1">
      <alignment horizontal="center" vertical="center"/>
    </xf>
    <xf numFmtId="0" fontId="27" fillId="13" borderId="7" xfId="3" applyFont="1" applyFill="1" applyBorder="1" applyAlignment="1">
      <alignment horizontal="center" vertical="center" wrapText="1"/>
    </xf>
    <xf numFmtId="0" fontId="27" fillId="13" borderId="7" xfId="3" applyFont="1" applyFill="1" applyBorder="1" applyAlignment="1">
      <alignment horizontal="left" vertical="center" wrapText="1"/>
    </xf>
    <xf numFmtId="0" fontId="27" fillId="13" borderId="16" xfId="3" applyFont="1" applyFill="1" applyBorder="1" applyAlignment="1">
      <alignment horizontal="left" vertical="center" wrapText="1"/>
    </xf>
    <xf numFmtId="49" fontId="27" fillId="13" borderId="11" xfId="3" applyNumberFormat="1" applyFont="1" applyFill="1" applyBorder="1" applyAlignment="1">
      <alignment horizontal="center" vertical="center"/>
    </xf>
    <xf numFmtId="0" fontId="27" fillId="13" borderId="8" xfId="3" applyFont="1" applyFill="1" applyBorder="1" applyAlignment="1">
      <alignment horizontal="center" vertical="center" wrapText="1"/>
    </xf>
    <xf numFmtId="0" fontId="27" fillId="13" borderId="8" xfId="3" applyFont="1" applyFill="1" applyBorder="1" applyAlignment="1">
      <alignment horizontal="left" vertical="center" wrapText="1"/>
    </xf>
    <xf numFmtId="0" fontId="27" fillId="13" borderId="13" xfId="3" applyFont="1" applyFill="1" applyBorder="1" applyAlignment="1">
      <alignment horizontal="left" vertical="center" wrapText="1"/>
    </xf>
    <xf numFmtId="176" fontId="27" fillId="13" borderId="4" xfId="3" applyNumberFormat="1" applyFont="1" applyFill="1" applyBorder="1" applyAlignment="1">
      <alignment horizontal="center" vertical="center"/>
    </xf>
    <xf numFmtId="49" fontId="27" fillId="16" borderId="2" xfId="3" applyNumberFormat="1" applyFont="1" applyFill="1" applyBorder="1" applyAlignment="1">
      <alignment horizontal="center" vertical="center" wrapText="1"/>
    </xf>
    <xf numFmtId="0" fontId="3" fillId="17" borderId="10" xfId="3" applyFont="1" applyFill="1" applyBorder="1" applyAlignment="1">
      <alignment horizontal="center" vertical="center"/>
    </xf>
    <xf numFmtId="0" fontId="27" fillId="17" borderId="10" xfId="3" applyFont="1" applyFill="1" applyBorder="1" applyAlignment="1">
      <alignment horizontal="center" vertical="center"/>
    </xf>
    <xf numFmtId="0" fontId="27" fillId="17" borderId="4" xfId="3" applyFont="1" applyFill="1" applyBorder="1" applyAlignment="1">
      <alignment horizontal="center" vertical="center" wrapText="1"/>
    </xf>
    <xf numFmtId="0" fontId="27" fillId="17" borderId="4" xfId="3" applyFont="1" applyFill="1" applyBorder="1" applyAlignment="1">
      <alignment horizontal="left" vertical="center" wrapText="1"/>
    </xf>
    <xf numFmtId="176" fontId="27" fillId="17" borderId="4" xfId="3" applyNumberFormat="1" applyFont="1" applyFill="1" applyBorder="1" applyAlignment="1">
      <alignment horizontal="center" vertical="center" wrapText="1"/>
    </xf>
    <xf numFmtId="0" fontId="27" fillId="17" borderId="4" xfId="3" applyFont="1" applyFill="1" applyBorder="1" applyAlignment="1">
      <alignment horizontal="center" vertical="center"/>
    </xf>
    <xf numFmtId="179" fontId="27" fillId="17" borderId="4" xfId="3" applyNumberFormat="1" applyFont="1" applyFill="1" applyBorder="1" applyAlignment="1">
      <alignment horizontal="center" vertical="center" wrapText="1"/>
    </xf>
    <xf numFmtId="38" fontId="27" fillId="17" borderId="4" xfId="3" applyNumberFormat="1" applyFont="1" applyFill="1" applyBorder="1" applyAlignment="1">
      <alignment vertical="center"/>
    </xf>
    <xf numFmtId="49" fontId="27" fillId="17" borderId="4" xfId="3" applyNumberFormat="1" applyFont="1" applyFill="1" applyBorder="1" applyAlignment="1">
      <alignment horizontal="center" vertical="center" wrapText="1"/>
    </xf>
    <xf numFmtId="0" fontId="27" fillId="17" borderId="6" xfId="3" applyFont="1" applyFill="1" applyBorder="1" applyAlignment="1">
      <alignment horizontal="left" vertical="center" wrapText="1"/>
    </xf>
    <xf numFmtId="0" fontId="27" fillId="17" borderId="2" xfId="3" applyFont="1" applyFill="1" applyBorder="1" applyAlignment="1">
      <alignment horizontal="center" vertical="center" wrapText="1"/>
    </xf>
    <xf numFmtId="179" fontId="29" fillId="17" borderId="4" xfId="3" applyNumberFormat="1" applyFont="1" applyFill="1" applyBorder="1" applyAlignment="1">
      <alignment horizontal="center" vertical="center" wrapText="1"/>
    </xf>
    <xf numFmtId="38" fontId="29" fillId="17" borderId="4" xfId="3" applyNumberFormat="1" applyFont="1" applyFill="1" applyBorder="1" applyAlignment="1">
      <alignment vertical="center"/>
    </xf>
    <xf numFmtId="0" fontId="27" fillId="17" borderId="14" xfId="3" applyFont="1" applyFill="1" applyBorder="1" applyAlignment="1">
      <alignment horizontal="center" vertical="center"/>
    </xf>
    <xf numFmtId="0" fontId="27" fillId="17" borderId="5" xfId="3" applyFont="1" applyFill="1" applyBorder="1" applyAlignment="1">
      <alignment horizontal="center" vertical="center" wrapText="1"/>
    </xf>
    <xf numFmtId="0" fontId="27" fillId="17" borderId="5" xfId="3" applyFont="1" applyFill="1" applyBorder="1" applyAlignment="1">
      <alignment horizontal="left" vertical="center" wrapText="1"/>
    </xf>
    <xf numFmtId="176" fontId="27" fillId="17" borderId="5" xfId="3" applyNumberFormat="1" applyFont="1" applyFill="1" applyBorder="1" applyAlignment="1">
      <alignment horizontal="center" vertical="center" wrapText="1"/>
    </xf>
    <xf numFmtId="0" fontId="27" fillId="17" borderId="5" xfId="3" applyFont="1" applyFill="1" applyBorder="1" applyAlignment="1">
      <alignment horizontal="center" vertical="center"/>
    </xf>
    <xf numFmtId="179" fontId="27" fillId="17" borderId="5" xfId="3" applyNumberFormat="1" applyFont="1" applyFill="1" applyBorder="1" applyAlignment="1">
      <alignment horizontal="center" vertical="center" wrapText="1"/>
    </xf>
    <xf numFmtId="38" fontId="27" fillId="17" borderId="5" xfId="3" applyNumberFormat="1" applyFont="1" applyFill="1" applyBorder="1" applyAlignment="1">
      <alignment vertical="center"/>
    </xf>
    <xf numFmtId="49" fontId="27" fillId="17" borderId="5" xfId="3" applyNumberFormat="1" applyFont="1" applyFill="1" applyBorder="1" applyAlignment="1">
      <alignment horizontal="center" vertical="center" wrapText="1"/>
    </xf>
    <xf numFmtId="0" fontId="27" fillId="17" borderId="12" xfId="3" applyFont="1" applyFill="1" applyBorder="1" applyAlignment="1">
      <alignment horizontal="left" vertical="center" wrapText="1"/>
    </xf>
    <xf numFmtId="0" fontId="27" fillId="3" borderId="10" xfId="3" applyFont="1" applyFill="1" applyBorder="1" applyAlignment="1">
      <alignment horizontal="center" vertical="center"/>
    </xf>
    <xf numFmtId="0" fontId="27" fillId="3" borderId="4" xfId="3" applyFont="1" applyFill="1" applyBorder="1" applyAlignment="1">
      <alignment horizontal="center" vertical="center" wrapText="1"/>
    </xf>
    <xf numFmtId="0" fontId="27" fillId="3" borderId="4" xfId="3" applyFont="1" applyFill="1" applyBorder="1" applyAlignment="1">
      <alignment horizontal="center" vertical="center"/>
    </xf>
    <xf numFmtId="0" fontId="27" fillId="18" borderId="4" xfId="3" applyFont="1" applyFill="1" applyBorder="1" applyAlignment="1">
      <alignment vertical="center" wrapText="1"/>
    </xf>
    <xf numFmtId="38" fontId="27" fillId="18" borderId="4" xfId="3" applyNumberFormat="1" applyFont="1" applyFill="1" applyBorder="1" applyAlignment="1">
      <alignment horizontal="center" vertical="center"/>
    </xf>
    <xf numFmtId="178" fontId="27" fillId="18" borderId="4" xfId="3" applyNumberFormat="1" applyFont="1" applyFill="1" applyBorder="1" applyAlignment="1">
      <alignment horizontal="center" vertical="center"/>
    </xf>
    <xf numFmtId="176" fontId="27" fillId="18" borderId="4" xfId="3" applyNumberFormat="1" applyFont="1" applyFill="1" applyBorder="1" applyAlignment="1">
      <alignment horizontal="center" vertical="center"/>
    </xf>
    <xf numFmtId="0" fontId="27" fillId="18" borderId="4" xfId="3" applyFont="1" applyFill="1" applyBorder="1" applyAlignment="1">
      <alignment horizontal="center" vertical="center"/>
    </xf>
    <xf numFmtId="177" fontId="27" fillId="18" borderId="4" xfId="3" applyNumberFormat="1" applyFont="1" applyFill="1" applyBorder="1" applyAlignment="1">
      <alignment vertical="center"/>
    </xf>
    <xf numFmtId="177" fontId="27" fillId="18" borderId="4" xfId="3" applyNumberFormat="1" applyFont="1" applyFill="1" applyBorder="1" applyAlignment="1">
      <alignment horizontal="right" vertical="center"/>
    </xf>
    <xf numFmtId="0" fontId="27" fillId="19" borderId="12" xfId="3" applyFont="1" applyFill="1" applyBorder="1" applyAlignment="1">
      <alignment horizontal="left" vertical="center" wrapText="1"/>
    </xf>
    <xf numFmtId="49" fontId="27" fillId="3" borderId="2" xfId="3" applyNumberFormat="1" applyFont="1" applyFill="1" applyBorder="1" applyAlignment="1">
      <alignment horizontal="center" vertical="center" wrapText="1"/>
    </xf>
    <xf numFmtId="0" fontId="3" fillId="3" borderId="1" xfId="3" applyFont="1" applyFill="1" applyBorder="1" applyAlignment="1">
      <alignment vertical="center" shrinkToFit="1"/>
    </xf>
    <xf numFmtId="0" fontId="27" fillId="3" borderId="2" xfId="0" applyFont="1" applyFill="1" applyBorder="1">
      <alignment vertical="center"/>
    </xf>
    <xf numFmtId="0" fontId="27" fillId="3" borderId="4" xfId="3" applyFont="1" applyFill="1" applyBorder="1" applyAlignment="1">
      <alignment vertical="center"/>
    </xf>
    <xf numFmtId="38" fontId="27" fillId="3" borderId="4" xfId="3" applyNumberFormat="1" applyFont="1" applyFill="1" applyBorder="1" applyAlignment="1">
      <alignment horizontal="center" vertical="center"/>
    </xf>
    <xf numFmtId="176" fontId="27" fillId="3" borderId="4" xfId="3" applyNumberFormat="1" applyFont="1" applyFill="1" applyBorder="1" applyAlignment="1">
      <alignment horizontal="center" vertical="center"/>
    </xf>
    <xf numFmtId="177" fontId="27" fillId="3" borderId="4" xfId="3" applyNumberFormat="1" applyFont="1" applyFill="1" applyBorder="1" applyAlignment="1">
      <alignment vertical="center"/>
    </xf>
    <xf numFmtId="177" fontId="27" fillId="3" borderId="4" xfId="3" applyNumberFormat="1" applyFont="1" applyFill="1" applyBorder="1" applyAlignment="1">
      <alignment horizontal="right" vertical="center"/>
    </xf>
    <xf numFmtId="0" fontId="3" fillId="0" borderId="10" xfId="3" applyFont="1" applyBorder="1" applyAlignment="1">
      <alignment horizontal="center" vertical="center"/>
    </xf>
    <xf numFmtId="0" fontId="27" fillId="4" borderId="14" xfId="3" applyFont="1" applyFill="1" applyBorder="1" applyAlignment="1">
      <alignment horizontal="center" vertical="center"/>
    </xf>
    <xf numFmtId="0" fontId="27" fillId="4" borderId="4" xfId="3" applyFont="1" applyFill="1" applyBorder="1" applyAlignment="1">
      <alignment horizontal="center" vertical="center" wrapText="1"/>
    </xf>
    <xf numFmtId="0" fontId="27" fillId="4" borderId="5" xfId="3" applyFont="1" applyFill="1" applyBorder="1" applyAlignment="1">
      <alignment horizontal="center" vertical="center" wrapText="1"/>
    </xf>
    <xf numFmtId="0" fontId="27" fillId="4" borderId="5" xfId="3" applyFont="1" applyFill="1" applyBorder="1" applyAlignment="1">
      <alignment horizontal="left" vertical="center" wrapText="1"/>
    </xf>
    <xf numFmtId="176" fontId="27" fillId="4" borderId="5" xfId="3" applyNumberFormat="1" applyFont="1" applyFill="1" applyBorder="1" applyAlignment="1">
      <alignment horizontal="center" vertical="center" wrapText="1"/>
    </xf>
    <xf numFmtId="0" fontId="27" fillId="4" borderId="5" xfId="3" applyFont="1" applyFill="1" applyBorder="1" applyAlignment="1">
      <alignment horizontal="center" vertical="center"/>
    </xf>
    <xf numFmtId="179" fontId="27" fillId="4" borderId="5" xfId="3" applyNumberFormat="1" applyFont="1" applyFill="1" applyBorder="1" applyAlignment="1">
      <alignment horizontal="center" vertical="center" wrapText="1"/>
    </xf>
    <xf numFmtId="38" fontId="27" fillId="4" borderId="5" xfId="3" applyNumberFormat="1" applyFont="1" applyFill="1" applyBorder="1" applyAlignment="1">
      <alignment vertical="center"/>
    </xf>
    <xf numFmtId="49" fontId="27" fillId="4" borderId="5" xfId="3" applyNumberFormat="1" applyFont="1" applyFill="1" applyBorder="1" applyAlignment="1">
      <alignment horizontal="center" vertical="center" wrapText="1"/>
    </xf>
    <xf numFmtId="0" fontId="27" fillId="4" borderId="12" xfId="3" applyFont="1" applyFill="1" applyBorder="1" applyAlignment="1">
      <alignment horizontal="left" vertical="center" wrapText="1"/>
    </xf>
    <xf numFmtId="0" fontId="27" fillId="4" borderId="2" xfId="3" applyFont="1" applyFill="1" applyBorder="1" applyAlignment="1">
      <alignment horizontal="center" vertical="center" wrapText="1"/>
    </xf>
    <xf numFmtId="0" fontId="33" fillId="0" borderId="0" xfId="0" applyFont="1" applyAlignment="1">
      <alignment vertical="center" shrinkToFit="1"/>
    </xf>
    <xf numFmtId="49" fontId="27" fillId="4" borderId="12" xfId="3" applyNumberFormat="1" applyFont="1" applyFill="1" applyBorder="1" applyAlignment="1">
      <alignment horizontal="left" vertical="center" wrapText="1"/>
    </xf>
    <xf numFmtId="49" fontId="27" fillId="4" borderId="2" xfId="3" applyNumberFormat="1" applyFont="1" applyFill="1" applyBorder="1" applyAlignment="1">
      <alignment horizontal="center" vertical="center" wrapText="1"/>
    </xf>
    <xf numFmtId="0" fontId="27" fillId="4" borderId="4" xfId="3" applyFont="1" applyFill="1" applyBorder="1" applyAlignment="1">
      <alignment vertical="center" wrapText="1"/>
    </xf>
    <xf numFmtId="38" fontId="27" fillId="4" borderId="4" xfId="3" applyNumberFormat="1" applyFont="1" applyFill="1" applyBorder="1" applyAlignment="1">
      <alignment horizontal="center" vertical="center" wrapText="1"/>
    </xf>
    <xf numFmtId="176" fontId="27" fillId="4" borderId="4" xfId="3" applyNumberFormat="1" applyFont="1" applyFill="1" applyBorder="1" applyAlignment="1">
      <alignment horizontal="center" vertical="center" wrapText="1"/>
    </xf>
    <xf numFmtId="177" fontId="27" fillId="4" borderId="4" xfId="3" applyNumberFormat="1" applyFont="1" applyFill="1" applyBorder="1" applyAlignment="1">
      <alignment vertical="center" wrapText="1"/>
    </xf>
    <xf numFmtId="177" fontId="27" fillId="4" borderId="4" xfId="3" applyNumberFormat="1" applyFont="1" applyFill="1" applyBorder="1" applyAlignment="1">
      <alignment horizontal="right" vertical="center" wrapText="1"/>
    </xf>
    <xf numFmtId="0" fontId="27" fillId="4" borderId="6" xfId="3" applyFont="1" applyFill="1" applyBorder="1" applyAlignment="1">
      <alignment horizontal="left" vertical="center" wrapText="1"/>
    </xf>
    <xf numFmtId="0" fontId="3" fillId="20" borderId="10" xfId="3" applyFont="1" applyFill="1" applyBorder="1" applyAlignment="1">
      <alignment horizontal="center" vertical="center"/>
    </xf>
    <xf numFmtId="0" fontId="27" fillId="20" borderId="14" xfId="3" applyFont="1" applyFill="1" applyBorder="1" applyAlignment="1">
      <alignment horizontal="center" vertical="center"/>
    </xf>
    <xf numFmtId="0" fontId="27" fillId="20" borderId="4" xfId="3" applyFont="1" applyFill="1" applyBorder="1" applyAlignment="1">
      <alignment horizontal="center" vertical="center" wrapText="1"/>
    </xf>
    <xf numFmtId="0" fontId="27" fillId="20" borderId="4" xfId="3" applyFont="1" applyFill="1" applyBorder="1" applyAlignment="1">
      <alignment vertical="center" wrapText="1"/>
    </xf>
    <xf numFmtId="38" fontId="27" fillId="20" borderId="4" xfId="3" applyNumberFormat="1" applyFont="1" applyFill="1" applyBorder="1" applyAlignment="1">
      <alignment horizontal="center" vertical="center" wrapText="1"/>
    </xf>
    <xf numFmtId="176" fontId="27" fillId="20" borderId="4" xfId="3" applyNumberFormat="1" applyFont="1" applyFill="1" applyBorder="1" applyAlignment="1">
      <alignment horizontal="center" vertical="center" wrapText="1"/>
    </xf>
    <xf numFmtId="177" fontId="27" fillId="20" borderId="4" xfId="3" applyNumberFormat="1" applyFont="1" applyFill="1" applyBorder="1" applyAlignment="1">
      <alignment vertical="center" wrapText="1"/>
    </xf>
    <xf numFmtId="177" fontId="27" fillId="20" borderId="4" xfId="3" applyNumberFormat="1" applyFont="1" applyFill="1" applyBorder="1" applyAlignment="1">
      <alignment horizontal="right" vertical="center" wrapText="1"/>
    </xf>
    <xf numFmtId="0" fontId="27" fillId="20" borderId="6" xfId="3" applyFont="1" applyFill="1" applyBorder="1" applyAlignment="1">
      <alignment horizontal="left" vertical="center" wrapText="1"/>
    </xf>
    <xf numFmtId="0" fontId="27" fillId="20" borderId="2" xfId="3" applyFont="1" applyFill="1" applyBorder="1" applyAlignment="1">
      <alignment horizontal="center" vertical="center" wrapText="1"/>
    </xf>
    <xf numFmtId="49" fontId="27" fillId="20" borderId="1" xfId="3" applyNumberFormat="1" applyFont="1" applyFill="1" applyBorder="1" applyAlignment="1">
      <alignment horizontal="center" vertical="center" wrapText="1"/>
    </xf>
    <xf numFmtId="0" fontId="28" fillId="20" borderId="2" xfId="0" applyFont="1" applyFill="1" applyBorder="1">
      <alignment vertical="center"/>
    </xf>
    <xf numFmtId="0" fontId="27" fillId="20" borderId="5" xfId="3" applyFont="1" applyFill="1" applyBorder="1" applyAlignment="1">
      <alignment horizontal="center" vertical="center" wrapText="1"/>
    </xf>
    <xf numFmtId="0" fontId="33" fillId="20" borderId="0" xfId="0" applyFont="1" applyFill="1">
      <alignment vertical="center"/>
    </xf>
    <xf numFmtId="0" fontId="27" fillId="20" borderId="5" xfId="3" applyFont="1" applyFill="1" applyBorder="1" applyAlignment="1">
      <alignment vertical="center" wrapText="1"/>
    </xf>
    <xf numFmtId="38" fontId="27" fillId="20" borderId="5" xfId="3" applyNumberFormat="1" applyFont="1" applyFill="1" applyBorder="1" applyAlignment="1">
      <alignment horizontal="center" vertical="center" wrapText="1"/>
    </xf>
    <xf numFmtId="176" fontId="27" fillId="20" borderId="5" xfId="3" applyNumberFormat="1" applyFont="1" applyFill="1" applyBorder="1" applyAlignment="1">
      <alignment horizontal="center" vertical="center" wrapText="1"/>
    </xf>
    <xf numFmtId="177" fontId="27" fillId="20" borderId="5" xfId="3" applyNumberFormat="1" applyFont="1" applyFill="1" applyBorder="1" applyAlignment="1">
      <alignment vertical="center" wrapText="1"/>
    </xf>
    <xf numFmtId="177" fontId="27" fillId="20" borderId="5" xfId="3" applyNumberFormat="1" applyFont="1" applyFill="1" applyBorder="1" applyAlignment="1">
      <alignment horizontal="right" vertical="center" wrapText="1"/>
    </xf>
    <xf numFmtId="0" fontId="27" fillId="20" borderId="12" xfId="3" applyFont="1" applyFill="1" applyBorder="1" applyAlignment="1">
      <alignment horizontal="left" vertical="center" wrapText="1"/>
    </xf>
    <xf numFmtId="0" fontId="27" fillId="20" borderId="3" xfId="3" applyFont="1" applyFill="1" applyBorder="1" applyAlignment="1">
      <alignment horizontal="center" vertical="center" wrapText="1"/>
    </xf>
    <xf numFmtId="0" fontId="27" fillId="20" borderId="1" xfId="3" applyFont="1" applyFill="1" applyBorder="1" applyAlignment="1">
      <alignment vertical="center" shrinkToFit="1"/>
    </xf>
    <xf numFmtId="0" fontId="27" fillId="20" borderId="2" xfId="3" applyFont="1" applyFill="1" applyBorder="1" applyAlignment="1">
      <alignment horizontal="center" vertical="center"/>
    </xf>
    <xf numFmtId="0" fontId="27" fillId="20" borderId="2" xfId="3" applyFont="1" applyFill="1" applyBorder="1" applyAlignment="1">
      <alignment vertical="center" wrapText="1"/>
    </xf>
    <xf numFmtId="38" fontId="27" fillId="20" borderId="2" xfId="3" applyNumberFormat="1" applyFont="1" applyFill="1" applyBorder="1" applyAlignment="1">
      <alignment horizontal="center" vertical="center" wrapText="1"/>
    </xf>
    <xf numFmtId="176" fontId="27" fillId="20" borderId="2" xfId="3" applyNumberFormat="1" applyFont="1" applyFill="1" applyBorder="1" applyAlignment="1">
      <alignment horizontal="center" vertical="center" wrapText="1"/>
    </xf>
    <xf numFmtId="177" fontId="27" fillId="20" borderId="2" xfId="3" applyNumberFormat="1" applyFont="1" applyFill="1" applyBorder="1" applyAlignment="1">
      <alignment vertical="center" wrapText="1"/>
    </xf>
    <xf numFmtId="177" fontId="27" fillId="20" borderId="2" xfId="3" applyNumberFormat="1" applyFont="1" applyFill="1" applyBorder="1" applyAlignment="1">
      <alignment horizontal="right" vertical="center" wrapText="1"/>
    </xf>
    <xf numFmtId="0" fontId="27" fillId="20" borderId="2" xfId="3" applyFont="1" applyFill="1" applyBorder="1" applyAlignment="1">
      <alignment horizontal="left" vertical="center" wrapText="1"/>
    </xf>
    <xf numFmtId="0" fontId="27" fillId="20" borderId="1" xfId="3" applyFont="1" applyFill="1" applyBorder="1" applyAlignment="1">
      <alignment vertical="center" wrapText="1"/>
    </xf>
    <xf numFmtId="9" fontId="27" fillId="20" borderId="2" xfId="3" applyNumberFormat="1" applyFont="1" applyFill="1" applyBorder="1" applyAlignment="1">
      <alignment horizontal="center" vertical="center" wrapText="1"/>
    </xf>
    <xf numFmtId="0" fontId="27" fillId="20" borderId="7" xfId="3" applyFont="1" applyFill="1" applyBorder="1" applyAlignment="1">
      <alignment horizontal="center" vertical="center" wrapText="1"/>
    </xf>
    <xf numFmtId="0" fontId="28" fillId="20" borderId="2" xfId="3" applyFont="1" applyFill="1" applyBorder="1" applyAlignment="1">
      <alignment vertical="center" wrapText="1"/>
    </xf>
    <xf numFmtId="0" fontId="29" fillId="20" borderId="2" xfId="3" applyFont="1" applyFill="1" applyBorder="1" applyAlignment="1">
      <alignment horizontal="center" vertical="center"/>
    </xf>
    <xf numFmtId="0" fontId="29" fillId="20" borderId="4" xfId="3" applyFont="1" applyFill="1" applyBorder="1" applyAlignment="1">
      <alignment horizontal="center" vertical="center" wrapText="1"/>
    </xf>
    <xf numFmtId="0" fontId="29" fillId="20" borderId="2" xfId="3" applyFont="1" applyFill="1" applyBorder="1" applyAlignment="1">
      <alignment horizontal="center" vertical="center" wrapText="1"/>
    </xf>
    <xf numFmtId="0" fontId="29" fillId="20" borderId="2" xfId="3" applyFont="1" applyFill="1" applyBorder="1" applyAlignment="1">
      <alignment vertical="center" wrapText="1"/>
    </xf>
    <xf numFmtId="177" fontId="29" fillId="20" borderId="2" xfId="3" applyNumberFormat="1" applyFont="1" applyFill="1" applyBorder="1" applyAlignment="1">
      <alignment vertical="center" wrapText="1"/>
    </xf>
    <xf numFmtId="49" fontId="29" fillId="20" borderId="1" xfId="3" applyNumberFormat="1" applyFont="1" applyFill="1" applyBorder="1" applyAlignment="1">
      <alignment horizontal="center" vertical="center" wrapText="1"/>
    </xf>
    <xf numFmtId="178" fontId="29" fillId="20" borderId="2" xfId="3" applyNumberFormat="1" applyFont="1" applyFill="1" applyBorder="1" applyAlignment="1">
      <alignment horizontal="center" vertical="center" wrapText="1"/>
    </xf>
    <xf numFmtId="0" fontId="29" fillId="20" borderId="10" xfId="3" applyFont="1" applyFill="1" applyBorder="1" applyAlignment="1">
      <alignment horizontal="center" vertical="center"/>
    </xf>
    <xf numFmtId="0" fontId="29" fillId="20" borderId="4" xfId="3" applyFont="1" applyFill="1" applyBorder="1" applyAlignment="1">
      <alignment horizontal="center" vertical="center"/>
    </xf>
    <xf numFmtId="0" fontId="29" fillId="20" borderId="4" xfId="3" applyFont="1" applyFill="1" applyBorder="1" applyAlignment="1">
      <alignment vertical="center"/>
    </xf>
    <xf numFmtId="38" fontId="29" fillId="20" borderId="4" xfId="3" applyNumberFormat="1" applyFont="1" applyFill="1" applyBorder="1" applyAlignment="1">
      <alignment horizontal="center" vertical="center"/>
    </xf>
    <xf numFmtId="176" fontId="29" fillId="20" borderId="4" xfId="3" applyNumberFormat="1" applyFont="1" applyFill="1" applyBorder="1" applyAlignment="1">
      <alignment horizontal="center" vertical="center"/>
    </xf>
    <xf numFmtId="177" fontId="29" fillId="20" borderId="4" xfId="3" applyNumberFormat="1" applyFont="1" applyFill="1" applyBorder="1" applyAlignment="1">
      <alignment vertical="center"/>
    </xf>
    <xf numFmtId="177" fontId="29" fillId="20" borderId="4" xfId="3" applyNumberFormat="1" applyFont="1" applyFill="1" applyBorder="1" applyAlignment="1">
      <alignment horizontal="right" vertical="center"/>
    </xf>
    <xf numFmtId="49" fontId="29" fillId="20" borderId="2" xfId="3" applyNumberFormat="1" applyFont="1" applyFill="1" applyBorder="1" applyAlignment="1">
      <alignment horizontal="center" vertical="center" wrapText="1"/>
    </xf>
    <xf numFmtId="0" fontId="18" fillId="20" borderId="1" xfId="3" applyFont="1" applyFill="1" applyBorder="1" applyAlignment="1">
      <alignment vertical="center" shrinkToFit="1"/>
    </xf>
    <xf numFmtId="0" fontId="3" fillId="0" borderId="10" xfId="3" applyFont="1" applyBorder="1" applyAlignment="1">
      <alignment horizontal="center" vertical="center" wrapText="1"/>
    </xf>
    <xf numFmtId="0" fontId="29" fillId="0" borderId="10" xfId="3" applyFont="1" applyBorder="1" applyAlignment="1">
      <alignment horizontal="center" vertical="center" wrapText="1"/>
    </xf>
    <xf numFmtId="0" fontId="29" fillId="0" borderId="4" xfId="3" applyFont="1" applyBorder="1" applyAlignment="1">
      <alignment horizontal="center" vertical="center" wrapText="1"/>
    </xf>
    <xf numFmtId="0" fontId="29" fillId="0" borderId="4" xfId="3" applyFont="1" applyBorder="1" applyAlignment="1">
      <alignment vertical="center" wrapText="1"/>
    </xf>
    <xf numFmtId="38" fontId="29" fillId="0" borderId="4" xfId="3" applyNumberFormat="1" applyFont="1" applyBorder="1" applyAlignment="1">
      <alignment horizontal="center" vertical="center" wrapText="1"/>
    </xf>
    <xf numFmtId="0" fontId="29" fillId="0" borderId="4" xfId="3" applyFont="1" applyBorder="1" applyAlignment="1">
      <alignment horizontal="center" vertical="center"/>
    </xf>
    <xf numFmtId="176" fontId="29" fillId="0" borderId="4" xfId="3" applyNumberFormat="1" applyFont="1" applyBorder="1" applyAlignment="1">
      <alignment horizontal="center" vertical="center"/>
    </xf>
    <xf numFmtId="177" fontId="29" fillId="0" borderId="4" xfId="3" applyNumberFormat="1" applyFont="1" applyBorder="1" applyAlignment="1">
      <alignment vertical="center"/>
    </xf>
    <xf numFmtId="177" fontId="29" fillId="0" borderId="4" xfId="3" applyNumberFormat="1" applyFont="1" applyBorder="1" applyAlignment="1">
      <alignment horizontal="right" vertical="center"/>
    </xf>
    <xf numFmtId="0" fontId="29" fillId="0" borderId="2" xfId="3" applyFont="1" applyBorder="1" applyAlignment="1">
      <alignment horizontal="center" vertical="center" wrapText="1"/>
    </xf>
    <xf numFmtId="0" fontId="29" fillId="0" borderId="2" xfId="3" applyFont="1" applyBorder="1" applyAlignment="1">
      <alignment vertical="center" wrapText="1"/>
    </xf>
    <xf numFmtId="49" fontId="29" fillId="0" borderId="2" xfId="3" applyNumberFormat="1" applyFont="1" applyBorder="1" applyAlignment="1">
      <alignment horizontal="center" vertical="center" wrapText="1"/>
    </xf>
    <xf numFmtId="0" fontId="18" fillId="0" borderId="1" xfId="3" applyFont="1" applyBorder="1" applyAlignment="1">
      <alignment vertical="center" shrinkToFit="1"/>
    </xf>
    <xf numFmtId="176" fontId="29" fillId="0" borderId="4" xfId="3" applyNumberFormat="1" applyFont="1" applyBorder="1" applyAlignment="1">
      <alignment horizontal="center" vertical="center" wrapText="1"/>
    </xf>
    <xf numFmtId="0" fontId="28" fillId="0" borderId="10" xfId="3" applyFont="1" applyBorder="1" applyAlignment="1">
      <alignment horizontal="center" vertical="center" wrapText="1"/>
    </xf>
    <xf numFmtId="0" fontId="28" fillId="0" borderId="4" xfId="3" applyFont="1" applyBorder="1" applyAlignment="1">
      <alignment horizontal="center" vertical="center" wrapText="1"/>
    </xf>
    <xf numFmtId="0" fontId="28" fillId="0" borderId="4" xfId="3" applyFont="1" applyBorder="1" applyAlignment="1">
      <alignment vertical="center" wrapText="1"/>
    </xf>
    <xf numFmtId="38" fontId="28" fillId="0" borderId="4" xfId="3" applyNumberFormat="1" applyFont="1" applyBorder="1" applyAlignment="1">
      <alignment horizontal="center" vertical="center" wrapText="1"/>
    </xf>
    <xf numFmtId="0" fontId="28" fillId="0" borderId="4" xfId="3" applyFont="1" applyBorder="1" applyAlignment="1">
      <alignment horizontal="center" vertical="center"/>
    </xf>
    <xf numFmtId="176" fontId="28" fillId="0" borderId="4" xfId="3" applyNumberFormat="1" applyFont="1" applyBorder="1" applyAlignment="1">
      <alignment horizontal="center" vertical="center"/>
    </xf>
    <xf numFmtId="9" fontId="28" fillId="0" borderId="4" xfId="3" applyNumberFormat="1" applyFont="1" applyBorder="1" applyAlignment="1">
      <alignment horizontal="center" vertical="center"/>
    </xf>
    <xf numFmtId="177" fontId="28" fillId="0" borderId="4" xfId="3" applyNumberFormat="1" applyFont="1" applyBorder="1" applyAlignment="1">
      <alignment vertical="center"/>
    </xf>
    <xf numFmtId="177" fontId="28" fillId="0" borderId="4" xfId="3" applyNumberFormat="1" applyFont="1" applyBorder="1" applyAlignment="1">
      <alignment horizontal="right" vertical="center"/>
    </xf>
    <xf numFmtId="0" fontId="28" fillId="0" borderId="2" xfId="3" applyFont="1" applyBorder="1" applyAlignment="1">
      <alignment horizontal="center" vertical="center" wrapText="1"/>
    </xf>
    <xf numFmtId="0" fontId="28" fillId="0" borderId="2" xfId="3" applyFont="1" applyBorder="1" applyAlignment="1">
      <alignment vertical="center" wrapText="1"/>
    </xf>
    <xf numFmtId="49" fontId="28" fillId="0" borderId="2" xfId="3" applyNumberFormat="1" applyFont="1" applyBorder="1" applyAlignment="1">
      <alignment horizontal="center" vertical="center" wrapText="1"/>
    </xf>
    <xf numFmtId="0" fontId="33" fillId="0" borderId="1" xfId="3" applyFont="1" applyBorder="1" applyAlignment="1">
      <alignment vertical="center" shrinkToFit="1"/>
    </xf>
    <xf numFmtId="176" fontId="28" fillId="0" borderId="4" xfId="3" applyNumberFormat="1" applyFont="1" applyBorder="1" applyAlignment="1">
      <alignment horizontal="center" vertical="center" wrapText="1"/>
    </xf>
    <xf numFmtId="0" fontId="28" fillId="0" borderId="10" xfId="3" applyFont="1" applyBorder="1" applyAlignment="1">
      <alignment horizontal="center" vertical="center"/>
    </xf>
    <xf numFmtId="0" fontId="28" fillId="0" borderId="4" xfId="3" applyFont="1" applyBorder="1" applyAlignment="1">
      <alignment vertical="center"/>
    </xf>
    <xf numFmtId="38" fontId="28" fillId="0" borderId="4" xfId="3" applyNumberFormat="1" applyFont="1" applyBorder="1" applyAlignment="1">
      <alignment horizontal="center" vertical="center"/>
    </xf>
    <xf numFmtId="9" fontId="28" fillId="0" borderId="4" xfId="3" applyNumberFormat="1" applyFont="1" applyBorder="1" applyAlignment="1">
      <alignment horizontal="center" vertical="center" wrapText="1"/>
    </xf>
    <xf numFmtId="0" fontId="28" fillId="0" borderId="0" xfId="3" applyFont="1" applyAlignment="1">
      <alignment horizontal="center" vertical="center"/>
    </xf>
    <xf numFmtId="0" fontId="28" fillId="0" borderId="0" xfId="3" applyFont="1" applyAlignment="1">
      <alignment vertical="center"/>
    </xf>
    <xf numFmtId="38" fontId="28" fillId="0" borderId="0" xfId="3" applyNumberFormat="1" applyFont="1" applyAlignment="1">
      <alignment horizontal="center" vertical="center"/>
    </xf>
    <xf numFmtId="0" fontId="28" fillId="0" borderId="0" xfId="3" applyFont="1" applyAlignment="1">
      <alignment horizontal="center" vertical="center" wrapText="1"/>
    </xf>
    <xf numFmtId="176" fontId="28" fillId="0" borderId="0" xfId="3" applyNumberFormat="1" applyFont="1" applyAlignment="1">
      <alignment horizontal="center" vertical="center"/>
    </xf>
    <xf numFmtId="177" fontId="28" fillId="0" borderId="0" xfId="3" applyNumberFormat="1" applyFont="1" applyAlignment="1">
      <alignment vertical="center"/>
    </xf>
    <xf numFmtId="177" fontId="28" fillId="0" borderId="0" xfId="3" applyNumberFormat="1" applyFont="1" applyAlignment="1">
      <alignment horizontal="right" vertical="center"/>
    </xf>
    <xf numFmtId="0" fontId="28" fillId="0" borderId="0" xfId="3" applyFont="1" applyAlignment="1">
      <alignment vertical="center" wrapText="1"/>
    </xf>
    <xf numFmtId="49" fontId="28" fillId="0" borderId="0" xfId="3" applyNumberFormat="1" applyFont="1" applyAlignment="1">
      <alignment horizontal="center" vertical="center" wrapText="1"/>
    </xf>
    <xf numFmtId="0" fontId="33" fillId="0" borderId="0" xfId="3" applyFont="1" applyAlignment="1">
      <alignment vertical="center" shrinkToFit="1"/>
    </xf>
    <xf numFmtId="0" fontId="28" fillId="0" borderId="0" xfId="0" applyFont="1">
      <alignment vertical="center"/>
    </xf>
    <xf numFmtId="0" fontId="3" fillId="0" borderId="0" xfId="3" applyFont="1" applyAlignment="1">
      <alignment horizontal="center" vertical="center"/>
    </xf>
    <xf numFmtId="0" fontId="35" fillId="30" borderId="17" xfId="0" applyFont="1" applyFill="1" applyBorder="1" applyAlignment="1">
      <alignment vertical="center" wrapText="1"/>
    </xf>
    <xf numFmtId="0" fontId="3" fillId="21" borderId="18" xfId="0" applyFont="1" applyFill="1" applyBorder="1" applyAlignment="1">
      <alignment vertical="center" wrapText="1"/>
    </xf>
    <xf numFmtId="0" fontId="3" fillId="31" borderId="18" xfId="0" applyFont="1" applyFill="1" applyBorder="1" applyAlignment="1">
      <alignment vertical="center" wrapText="1"/>
    </xf>
    <xf numFmtId="0" fontId="3" fillId="32" borderId="18" xfId="0" applyFont="1" applyFill="1" applyBorder="1" applyAlignment="1">
      <alignment vertical="center" wrapText="1"/>
    </xf>
    <xf numFmtId="0" fontId="3" fillId="34" borderId="0" xfId="0" applyFont="1" applyFill="1">
      <alignment vertical="center"/>
    </xf>
    <xf numFmtId="0" fontId="36" fillId="0" borderId="0" xfId="2" applyFont="1">
      <alignment vertical="center"/>
    </xf>
    <xf numFmtId="0" fontId="26" fillId="0" borderId="23" xfId="0" applyFont="1" applyBorder="1" applyAlignment="1">
      <alignment vertical="center" wrapText="1"/>
    </xf>
    <xf numFmtId="0" fontId="26" fillId="0" borderId="22" xfId="0" applyFont="1" applyBorder="1" applyAlignment="1">
      <alignment vertical="center" wrapText="1"/>
    </xf>
    <xf numFmtId="0" fontId="11" fillId="0" borderId="23" xfId="0" applyFont="1" applyBorder="1" applyAlignment="1">
      <alignment vertical="center" wrapText="1"/>
    </xf>
    <xf numFmtId="0" fontId="9" fillId="0" borderId="23" xfId="2" applyBorder="1" applyAlignment="1">
      <alignment vertical="center" wrapText="1"/>
    </xf>
    <xf numFmtId="0" fontId="37" fillId="0" borderId="23" xfId="0" applyFont="1" applyBorder="1" applyAlignment="1">
      <alignment vertical="center" wrapText="1"/>
    </xf>
    <xf numFmtId="0" fontId="3" fillId="37" borderId="20" xfId="0" applyFont="1" applyFill="1" applyBorder="1">
      <alignment vertical="center"/>
    </xf>
    <xf numFmtId="0" fontId="3" fillId="0" borderId="20" xfId="0" applyFont="1" applyBorder="1">
      <alignment vertical="center"/>
    </xf>
    <xf numFmtId="49" fontId="27" fillId="14" borderId="12" xfId="3" applyNumberFormat="1" applyFont="1" applyFill="1" applyBorder="1" applyAlignment="1">
      <alignment horizontal="left" vertical="top" wrapText="1"/>
    </xf>
    <xf numFmtId="49" fontId="27" fillId="14" borderId="13" xfId="3" applyNumberFormat="1" applyFont="1" applyFill="1" applyBorder="1" applyAlignment="1">
      <alignment horizontal="left" vertical="top" wrapText="1"/>
    </xf>
    <xf numFmtId="49" fontId="27" fillId="14" borderId="12" xfId="3" applyNumberFormat="1" applyFont="1" applyFill="1" applyBorder="1" applyAlignment="1">
      <alignment horizontal="left" vertical="center" wrapText="1"/>
    </xf>
    <xf numFmtId="49" fontId="27" fillId="14" borderId="13" xfId="3" applyNumberFormat="1" applyFont="1" applyFill="1" applyBorder="1" applyAlignment="1">
      <alignment horizontal="left" vertical="center" wrapText="1"/>
    </xf>
    <xf numFmtId="49" fontId="27" fillId="13" borderId="12" xfId="3" applyNumberFormat="1" applyFont="1" applyFill="1" applyBorder="1" applyAlignment="1">
      <alignment horizontal="left" vertical="top" wrapText="1"/>
    </xf>
    <xf numFmtId="49" fontId="27" fillId="13" borderId="13" xfId="3" applyNumberFormat="1" applyFont="1" applyFill="1" applyBorder="1" applyAlignment="1">
      <alignment horizontal="left" vertical="top" wrapText="1"/>
    </xf>
    <xf numFmtId="0" fontId="4" fillId="38" borderId="3" xfId="0" applyFont="1" applyFill="1" applyBorder="1" applyAlignment="1">
      <alignment horizontal="center" vertical="center" wrapText="1"/>
    </xf>
    <xf numFmtId="0" fontId="4" fillId="38" borderId="24" xfId="0" applyFont="1" applyFill="1" applyBorder="1" applyAlignment="1">
      <alignment horizontal="center" vertical="center" wrapText="1"/>
    </xf>
    <xf numFmtId="0" fontId="4" fillId="29" borderId="3" xfId="0" applyFont="1" applyFill="1" applyBorder="1" applyAlignment="1">
      <alignment horizontal="center" vertical="center" wrapText="1"/>
    </xf>
    <xf numFmtId="0" fontId="4" fillId="29" borderId="24" xfId="0" applyFont="1" applyFill="1" applyBorder="1" applyAlignment="1">
      <alignment horizontal="center" vertical="center" wrapText="1"/>
    </xf>
    <xf numFmtId="0" fontId="4" fillId="36" borderId="2" xfId="0" applyFont="1" applyFill="1" applyBorder="1" applyAlignment="1">
      <alignment horizontal="center" vertical="center" wrapText="1"/>
    </xf>
    <xf numFmtId="0" fontId="4" fillId="29" borderId="2" xfId="0" applyFont="1" applyFill="1" applyBorder="1" applyAlignment="1">
      <alignment horizontal="center" vertical="center" wrapText="1"/>
    </xf>
    <xf numFmtId="0" fontId="4" fillId="36" borderId="3" xfId="0" applyFont="1" applyFill="1" applyBorder="1" applyAlignment="1">
      <alignment horizontal="center" vertical="center" wrapText="1"/>
    </xf>
    <xf numFmtId="0" fontId="4" fillId="36" borderId="24"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4" fillId="28" borderId="25" xfId="0" applyFont="1" applyFill="1" applyBorder="1" applyAlignment="1">
      <alignment horizontal="center" vertical="center" wrapText="1"/>
    </xf>
    <xf numFmtId="43" fontId="4" fillId="2" borderId="3" xfId="1" applyFont="1" applyFill="1" applyBorder="1" applyAlignment="1">
      <alignment horizontal="center" vertical="center" wrapText="1"/>
    </xf>
    <xf numFmtId="43" fontId="4" fillId="2" borderId="24" xfId="1" applyFont="1" applyFill="1" applyBorder="1" applyAlignment="1">
      <alignment horizontal="center" vertical="center" wrapText="1"/>
    </xf>
    <xf numFmtId="41" fontId="4" fillId="2" borderId="3" xfId="1" applyNumberFormat="1" applyFont="1" applyFill="1" applyBorder="1" applyAlignment="1">
      <alignment horizontal="center" vertical="center" wrapText="1"/>
    </xf>
    <xf numFmtId="41" fontId="4" fillId="2" borderId="24" xfId="1"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4" xfId="0" applyFont="1" applyFill="1" applyBorder="1" applyAlignment="1">
      <alignment horizontal="center" vertical="center" wrapText="1"/>
    </xf>
  </cellXfs>
  <cellStyles count="4">
    <cellStyle name="一般" xfId="0" builtinId="0"/>
    <cellStyle name="一般 2" xfId="3" xr:uid="{13F06CEF-1C09-4A2C-BCD1-98F641F51AE0}"/>
    <cellStyle name="千分位" xfId="1" builtinId="3"/>
    <cellStyle name="超連結" xfId="2" builtinId="8"/>
  </cellStyles>
  <dxfs count="26">
    <dxf>
      <font>
        <color rgb="FFFFC000"/>
      </font>
      <fill>
        <patternFill>
          <bgColor rgb="FFC00000"/>
        </patternFill>
      </fill>
    </dxf>
    <dxf>
      <font>
        <color rgb="FFFFC000"/>
      </font>
      <fill>
        <patternFill>
          <bgColor rgb="FFC00000"/>
        </patternFill>
      </fill>
    </dxf>
    <dxf>
      <font>
        <color rgb="FFFFC000"/>
      </font>
      <fill>
        <patternFill>
          <bgColor rgb="FFC00000"/>
        </patternFill>
      </fill>
    </dxf>
    <dxf>
      <font>
        <color rgb="FFFFC000"/>
      </font>
      <fill>
        <patternFill>
          <bgColor rgb="FFC00000"/>
        </patternFill>
      </fill>
    </dxf>
    <dxf>
      <font>
        <color rgb="FFFFC000"/>
      </font>
      <fill>
        <patternFill>
          <bgColor rgb="FFC00000"/>
        </patternFill>
      </fill>
    </dxf>
    <dxf>
      <font>
        <color rgb="FF9C0006"/>
      </font>
      <fill>
        <patternFill>
          <bgColor rgb="FFFFC7CE"/>
        </patternFill>
      </fill>
    </dxf>
    <dxf>
      <fill>
        <patternFill>
          <bgColor rgb="FFC1E5F5"/>
        </patternFill>
      </fill>
    </dxf>
    <dxf>
      <fill>
        <patternFill>
          <bgColor rgb="FFF2CFEE"/>
        </patternFill>
      </fill>
    </dxf>
    <dxf>
      <fill>
        <patternFill>
          <bgColor rgb="FFD9F2D0"/>
        </patternFill>
      </fill>
    </dxf>
    <dxf>
      <font>
        <color auto="1"/>
      </font>
      <fill>
        <patternFill>
          <bgColor rgb="FFD1D1D1"/>
        </patternFill>
      </fill>
    </dxf>
    <dxf>
      <fill>
        <patternFill>
          <bgColor rgb="FFFFFF00"/>
        </patternFill>
      </fill>
    </dxf>
    <dxf>
      <font>
        <color rgb="FFFF0000"/>
      </font>
      <fill>
        <patternFill>
          <bgColor rgb="FFFFCC66"/>
        </patternFill>
      </fill>
    </dxf>
    <dxf>
      <font>
        <color theme="1"/>
      </font>
      <fill>
        <patternFill>
          <bgColor rgb="FF00B0F0"/>
        </patternFill>
      </fill>
    </dxf>
    <dxf>
      <fill>
        <patternFill>
          <bgColor rgb="FF92D050"/>
        </patternFill>
      </fill>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numFmt numFmtId="30" formatCode="@"/>
    </dxf>
    <dxf>
      <font>
        <b val="0"/>
        <i val="0"/>
        <strike val="0"/>
        <condense val="0"/>
        <extend val="0"/>
        <outline val="0"/>
        <shadow val="0"/>
        <u val="none"/>
        <vertAlign val="baseline"/>
        <sz val="12"/>
        <color theme="1"/>
        <name val="微軟正黑體"/>
        <family val="2"/>
        <charset val="136"/>
        <scheme val="none"/>
      </font>
      <numFmt numFmtId="30" formatCode="@"/>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alignment horizontal="center" textRotation="0" wrapText="0" indent="0" justifyLastLine="0" shrinkToFit="0" readingOrder="0"/>
    </dxf>
    <dxf>
      <font>
        <b val="0"/>
        <i val="0"/>
        <strike val="0"/>
        <condense val="0"/>
        <extend val="0"/>
        <outline val="0"/>
        <shadow val="0"/>
        <u val="none"/>
        <vertAlign val="baseline"/>
        <sz val="12"/>
        <color theme="1"/>
        <name val="微軟正黑體"/>
        <family val="2"/>
        <charset val="136"/>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微軟正黑體"/>
        <family val="2"/>
        <charset val="136"/>
        <scheme val="none"/>
      </font>
    </dxf>
    <dxf>
      <font>
        <b val="0"/>
        <i val="0"/>
        <strike val="0"/>
        <condense val="0"/>
        <extend val="0"/>
        <outline val="0"/>
        <shadow val="0"/>
        <u val="none"/>
        <vertAlign val="baseline"/>
        <sz val="12"/>
        <color theme="1"/>
        <name val="微軟正黑體"/>
        <family val="2"/>
        <charset val="136"/>
        <scheme val="none"/>
      </font>
      <fill>
        <patternFill patternType="solid">
          <fgColor indexed="64"/>
          <bgColor theme="4" tint="-0.499984740745262"/>
        </patternFill>
      </fill>
      <alignment horizontal="center" vertical="center" textRotation="0" wrapText="0" indent="0" justifyLastLine="0" shrinkToFit="0" readingOrder="0"/>
    </dxf>
  </dxfs>
  <tableStyles count="0" defaultTableStyle="TableStyleMedium2" defaultPivotStyle="PivotStyleLight16"/>
  <colors>
    <mruColors>
      <color rgb="FFFFCC66"/>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84F0DC-2A70-4401-A0DE-8EAC433D944F}" name="表格2" displayName="表格2" ref="A1:J1048576" totalsRowShown="0" headerRowDxfId="25" dataDxfId="24">
  <autoFilter ref="A1:J1048576" xr:uid="{3984F0DC-2A70-4401-A0DE-8EAC433D944F}"/>
  <tableColumns count="10">
    <tableColumn id="1" xr3:uid="{79276F60-4B4E-45C9-8381-DDC974FBB065}" name="類別" dataDxfId="23"/>
    <tableColumn id="2" xr3:uid="{DAC396FD-8257-4416-9B35-E19BD06281C9}" name="單位簡稱" dataDxfId="22"/>
    <tableColumn id="3" xr3:uid="{1DE87591-4895-4FA5-8A02-2710B0785483}" name="姓名/職稱" dataDxfId="21"/>
    <tableColumn id="7" xr3:uid="{4F4EB2B0-37EE-4034-950C-B5C153A5A9CB}" name="LINE名稱" dataDxfId="20"/>
    <tableColumn id="4" xr3:uid="{E047D59B-5B5C-438D-A7BE-72B2B76A086E}" name="聯絡手機" dataDxfId="19"/>
    <tableColumn id="5" xr3:uid="{5D57CCDA-958C-4743-B897-B7E9DEFD25EF}" name="辦公室電話" dataDxfId="18"/>
    <tableColumn id="6" xr3:uid="{1D43D0D6-0D9A-4D2A-92E0-37B0C17149D0}" name="聯絡信箱" dataDxfId="17"/>
    <tableColumn id="8" xr3:uid="{954B7A88-0352-4AF2-91AA-ED124AFD1F44}" name="專案雲端路徑" dataDxfId="16"/>
    <tableColumn id="9" xr3:uid="{AF4E5F41-7AE1-4C4A-8981-13FE04C9153C}" name="工程名稱" dataDxfId="15"/>
    <tableColumn id="10" xr3:uid="{5D63176D-B1D4-479A-9A3D-B006199DA796}" name="欄1" dataDxfId="14"/>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10079858@mail.tycg.gov.tw" TargetMode="External"/><Relationship Id="rId13" Type="http://schemas.openxmlformats.org/officeDocument/2006/relationships/table" Target="../tables/table1.xml"/><Relationship Id="rId3" Type="http://schemas.openxmlformats.org/officeDocument/2006/relationships/hyperlink" Target="https://reurl.cc/ORzM77" TargetMode="External"/><Relationship Id="rId7" Type="http://schemas.openxmlformats.org/officeDocument/2006/relationships/hyperlink" Target="mailto:p66984100@gmail.com" TargetMode="External"/><Relationship Id="rId12" Type="http://schemas.openxmlformats.org/officeDocument/2006/relationships/printerSettings" Target="../printerSettings/printerSettings1.bin"/><Relationship Id="rId2" Type="http://schemas.openxmlformats.org/officeDocument/2006/relationships/hyperlink" Target="mailto:lander2000y@yahoo.com.tw" TargetMode="External"/><Relationship Id="rId1" Type="http://schemas.openxmlformats.org/officeDocument/2006/relationships/hyperlink" Target="mailto:goodjobliu99@gmail.com" TargetMode="External"/><Relationship Id="rId6" Type="http://schemas.openxmlformats.org/officeDocument/2006/relationships/hyperlink" Target="https://reurl.cc/R98q0x" TargetMode="External"/><Relationship Id="rId11" Type="http://schemas.openxmlformats.org/officeDocument/2006/relationships/hyperlink" Target="https://reurl.cc/EbM8Dm" TargetMode="External"/><Relationship Id="rId5" Type="http://schemas.openxmlformats.org/officeDocument/2006/relationships/hyperlink" Target="https://reurl.cc/vKoaqk" TargetMode="External"/><Relationship Id="rId10" Type="http://schemas.openxmlformats.org/officeDocument/2006/relationships/hyperlink" Target="https://reurl.cc/rKjOr1" TargetMode="External"/><Relationship Id="rId4" Type="http://schemas.openxmlformats.org/officeDocument/2006/relationships/hyperlink" Target="https://reurl.cc/dq9nVV" TargetMode="External"/><Relationship Id="rId9" Type="http://schemas.openxmlformats.org/officeDocument/2006/relationships/hyperlink" Target="mailto:80043818@mail.tycg.gov.tw"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eurl.cc/EbM8Dm" TargetMode="External"/><Relationship Id="rId2" Type="http://schemas.openxmlformats.org/officeDocument/2006/relationships/hyperlink" Target="https://reurl.cc/8bzjR4" TargetMode="External"/><Relationship Id="rId1" Type="http://schemas.openxmlformats.org/officeDocument/2006/relationships/hyperlink" Target="https://reurl.cc/rKo52Z"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opc.tycg.gov.tw/News_Content.aspx?n=9371&amp;s=1008953" TargetMode="External"/><Relationship Id="rId3" Type="http://schemas.openxmlformats.org/officeDocument/2006/relationships/hyperlink" Target="https://opc.tycg.gov.tw/News_Content.aspx?n=9371&amp;s=1418460" TargetMode="External"/><Relationship Id="rId7" Type="http://schemas.openxmlformats.org/officeDocument/2006/relationships/hyperlink" Target="https://opc.tycg.gov.tw/News_Content.aspx?n=9371&amp;s=1008941" TargetMode="External"/><Relationship Id="rId2" Type="http://schemas.openxmlformats.org/officeDocument/2006/relationships/hyperlink" Target="https://opc.tycg.gov.tw/News_Content.aspx?n=9371&amp;s=1008952" TargetMode="External"/><Relationship Id="rId1" Type="http://schemas.openxmlformats.org/officeDocument/2006/relationships/hyperlink" Target="https://opc.tycg.gov.tw/News_Content.aspx?n=9371&amp;s=1589599" TargetMode="External"/><Relationship Id="rId6" Type="http://schemas.openxmlformats.org/officeDocument/2006/relationships/hyperlink" Target="https://opc.tycg.gov.tw/News_Content.aspx?n=9371&amp;s=1223276" TargetMode="External"/><Relationship Id="rId5" Type="http://schemas.openxmlformats.org/officeDocument/2006/relationships/hyperlink" Target="https://opc.tycg.gov.tw/News_Content.aspx?n=9371&amp;s=1314374" TargetMode="External"/><Relationship Id="rId4" Type="http://schemas.openxmlformats.org/officeDocument/2006/relationships/hyperlink" Target="https://opc.tycg.gov.tw/News_Content.aspx?n=9371&amp;s=10089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FE0E-61A1-4540-899B-2F6828F48FCF}">
  <dimension ref="A1:J13"/>
  <sheetViews>
    <sheetView workbookViewId="0">
      <selection activeCell="C13" sqref="C13"/>
    </sheetView>
  </sheetViews>
  <sheetFormatPr defaultRowHeight="15.75"/>
  <cols>
    <col min="1" max="1" width="9.75" style="12" bestFit="1" customWidth="1"/>
    <col min="2" max="2" width="13.75" style="12" bestFit="1" customWidth="1"/>
    <col min="3" max="3" width="19.125" style="1" bestFit="1" customWidth="1"/>
    <col min="4" max="4" width="14.125" style="1" bestFit="1" customWidth="1"/>
    <col min="5" max="5" width="13.75" style="11" bestFit="1" customWidth="1"/>
    <col min="6" max="6" width="20.75" style="11" bestFit="1" customWidth="1"/>
    <col min="7" max="7" width="30.125" style="1" bestFit="1" customWidth="1"/>
    <col min="8" max="8" width="27" style="1" bestFit="1" customWidth="1"/>
    <col min="9" max="9" width="40.75" style="1" customWidth="1"/>
    <col min="10" max="10" width="22.5" style="1" customWidth="1"/>
    <col min="11" max="16384" width="9" style="1"/>
  </cols>
  <sheetData>
    <row r="1" spans="1:10" ht="16.5" thickBot="1">
      <c r="A1" s="14" t="s">
        <v>2982</v>
      </c>
      <c r="B1" s="14" t="s">
        <v>2985</v>
      </c>
      <c r="C1" s="14" t="s">
        <v>2983</v>
      </c>
      <c r="D1" s="14" t="s">
        <v>3008</v>
      </c>
      <c r="E1" s="14" t="s">
        <v>2987</v>
      </c>
      <c r="F1" s="14" t="s">
        <v>2989</v>
      </c>
      <c r="G1" s="14" t="s">
        <v>2988</v>
      </c>
      <c r="H1" s="14" t="s">
        <v>3019</v>
      </c>
      <c r="I1" s="14" t="s">
        <v>3115</v>
      </c>
      <c r="J1" s="14" t="s">
        <v>3187</v>
      </c>
    </row>
    <row r="2" spans="1:10" ht="17.25" thickBot="1">
      <c r="A2" s="12" t="s">
        <v>2997</v>
      </c>
      <c r="B2" s="12" t="s">
        <v>2984</v>
      </c>
      <c r="C2" s="1" t="s">
        <v>3029</v>
      </c>
      <c r="E2" s="11" t="s">
        <v>3032</v>
      </c>
      <c r="F2" s="33" t="s">
        <v>3031</v>
      </c>
      <c r="G2" s="24" t="s">
        <v>3033</v>
      </c>
    </row>
    <row r="3" spans="1:10">
      <c r="A3" s="12" t="s">
        <v>2997</v>
      </c>
      <c r="B3" s="12" t="s">
        <v>2984</v>
      </c>
      <c r="C3" s="1" t="s">
        <v>3002</v>
      </c>
      <c r="D3" s="1" t="s">
        <v>3027</v>
      </c>
      <c r="E3" s="11" t="s">
        <v>2986</v>
      </c>
      <c r="F3" s="11" t="s">
        <v>3028</v>
      </c>
      <c r="G3" s="1" t="s">
        <v>2990</v>
      </c>
    </row>
    <row r="4" spans="1:10">
      <c r="A4" s="12" t="s">
        <v>2997</v>
      </c>
      <c r="B4" s="12" t="s">
        <v>2984</v>
      </c>
      <c r="C4" s="1" t="s">
        <v>3026</v>
      </c>
      <c r="G4" s="1" t="s">
        <v>2990</v>
      </c>
    </row>
    <row r="5" spans="1:10" ht="16.5">
      <c r="A5" s="12" t="s">
        <v>2970</v>
      </c>
      <c r="B5" s="12" t="s">
        <v>2971</v>
      </c>
      <c r="C5" s="1" t="s">
        <v>3004</v>
      </c>
      <c r="H5" s="24" t="s">
        <v>3025</v>
      </c>
    </row>
    <row r="6" spans="1:10" ht="16.5">
      <c r="A6" s="12" t="s">
        <v>2970</v>
      </c>
      <c r="B6" s="21" t="s">
        <v>2972</v>
      </c>
      <c r="C6" s="1" t="s">
        <v>3003</v>
      </c>
      <c r="E6" s="11" t="s">
        <v>2991</v>
      </c>
      <c r="G6" s="24" t="s">
        <v>3021</v>
      </c>
      <c r="H6" s="24" t="s">
        <v>3018</v>
      </c>
    </row>
    <row r="7" spans="1:10" ht="16.5">
      <c r="A7" s="12" t="s">
        <v>2970</v>
      </c>
      <c r="B7" s="12" t="s">
        <v>2973</v>
      </c>
      <c r="C7" s="1" t="s">
        <v>3005</v>
      </c>
      <c r="H7" s="24" t="s">
        <v>3022</v>
      </c>
    </row>
    <row r="8" spans="1:10" ht="16.5">
      <c r="A8" s="12" t="s">
        <v>2970</v>
      </c>
      <c r="B8" s="12" t="s">
        <v>3023</v>
      </c>
      <c r="C8" s="1" t="s">
        <v>3020</v>
      </c>
      <c r="F8" s="11" t="s">
        <v>2993</v>
      </c>
      <c r="G8" s="24" t="s">
        <v>2992</v>
      </c>
      <c r="H8" s="24" t="s">
        <v>3024</v>
      </c>
    </row>
    <row r="9" spans="1:10" ht="16.5" thickBot="1"/>
    <row r="10" spans="1:10" ht="17.25" thickBot="1">
      <c r="A10" s="22" t="s">
        <v>2981</v>
      </c>
      <c r="B10" s="43" t="s">
        <v>3096</v>
      </c>
      <c r="C10" s="45" t="s">
        <v>3099</v>
      </c>
      <c r="F10" s="44" t="s">
        <v>3100</v>
      </c>
      <c r="G10" s="46" t="s">
        <v>3101</v>
      </c>
    </row>
    <row r="11" spans="1:10" ht="17.25" thickBot="1">
      <c r="A11" s="56" t="s">
        <v>3106</v>
      </c>
      <c r="B11" s="43" t="s">
        <v>3096</v>
      </c>
      <c r="C11" s="45" t="s">
        <v>3146</v>
      </c>
      <c r="D11" s="44"/>
      <c r="E11" s="44"/>
      <c r="F11" s="33" t="s">
        <v>3107</v>
      </c>
      <c r="G11" s="57" t="s">
        <v>3108</v>
      </c>
      <c r="H11" s="366" t="s">
        <v>3140</v>
      </c>
      <c r="I11" s="61" t="s">
        <v>3114</v>
      </c>
      <c r="J11" s="61" t="s">
        <v>3171</v>
      </c>
    </row>
    <row r="12" spans="1:10" ht="17.25" thickBot="1">
      <c r="A12" s="56" t="s">
        <v>3106</v>
      </c>
      <c r="B12" s="67" t="s">
        <v>3139</v>
      </c>
      <c r="C12" s="58" t="s">
        <v>3136</v>
      </c>
      <c r="D12" s="58"/>
      <c r="E12" s="59"/>
      <c r="F12" s="60" t="s">
        <v>3137</v>
      </c>
      <c r="G12" s="66" t="s">
        <v>3138</v>
      </c>
      <c r="I12" s="61" t="s">
        <v>3110</v>
      </c>
    </row>
    <row r="13" spans="1:10" ht="32.25" thickBot="1">
      <c r="A13" s="56" t="s">
        <v>3106</v>
      </c>
      <c r="B13" s="43" t="s">
        <v>3096</v>
      </c>
      <c r="C13" s="371" t="s">
        <v>3189</v>
      </c>
      <c r="D13" s="367"/>
      <c r="E13" s="367"/>
      <c r="F13" s="33" t="s">
        <v>3107</v>
      </c>
      <c r="G13" s="368" t="s">
        <v>3186</v>
      </c>
      <c r="H13" s="370" t="s">
        <v>3188</v>
      </c>
      <c r="I13" s="369" t="s">
        <v>3172</v>
      </c>
      <c r="J13" s="61" t="s">
        <v>3171</v>
      </c>
    </row>
  </sheetData>
  <phoneticPr fontId="2" type="noConversion"/>
  <conditionalFormatting sqref="A1:A10 A14:A1048576">
    <cfRule type="containsText" dxfId="13" priority="1" operator="containsText" text="查估">
      <formula>NOT(ISERROR(SEARCH("查估",A1)))</formula>
    </cfRule>
    <cfRule type="containsText" dxfId="12" priority="2" operator="containsText" text="承攬">
      <formula>NOT(ISERROR(SEARCH("承攬",A1)))</formula>
    </cfRule>
    <cfRule type="containsText" dxfId="11" priority="3" operator="containsText" text="承辦">
      <formula>NOT(ISERROR(SEARCH("承辦",A1)))</formula>
    </cfRule>
  </conditionalFormatting>
  <hyperlinks>
    <hyperlink ref="G8" r:id="rId1" xr:uid="{1C40CA0F-455D-4F8C-AD9B-636FC79A95D4}"/>
    <hyperlink ref="G6" r:id="rId2" xr:uid="{14148C05-C587-4215-92F6-2C4FB5A1AE10}"/>
    <hyperlink ref="H6" r:id="rId3" xr:uid="{D7CF11D6-B116-4721-B70A-F06CEA1B20DF}"/>
    <hyperlink ref="H7" r:id="rId4" xr:uid="{3C923524-290B-45EC-8E19-0FE2261EBD59}"/>
    <hyperlink ref="H8" r:id="rId5" xr:uid="{0DFDF0C2-130F-426C-B1DA-B24E644AA54F}"/>
    <hyperlink ref="H5" r:id="rId6" xr:uid="{A66DFD49-66EA-4B4F-A0A4-8C70ED9F2753}"/>
    <hyperlink ref="G2" r:id="rId7" xr:uid="{D1158544-E1BA-4D6B-8400-198E39C227DC}"/>
    <hyperlink ref="G10" r:id="rId8" xr:uid="{E925DA7A-8471-448D-BA91-E340BDAC8766}"/>
    <hyperlink ref="G12" r:id="rId9" xr:uid="{A63CD7B9-2E49-437F-972C-85D9FBCC27DE}"/>
    <hyperlink ref="H13" r:id="rId10" xr:uid="{C32AF187-CF78-413A-9BB6-C151CCBBD11E}"/>
    <hyperlink ref="H11" r:id="rId11" xr:uid="{B719F229-09B5-443B-B923-580EE6460EC6}"/>
  </hyperlinks>
  <pageMargins left="0.7" right="0.7" top="0.75" bottom="0.75" header="0.3" footer="0.3"/>
  <pageSetup paperSize="9" orientation="portrait"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12BA-7637-4C86-913B-0AE5C58BFA83}">
  <sheetPr>
    <tabColor rgb="FF00B050"/>
  </sheetPr>
  <dimension ref="A1:AE803"/>
  <sheetViews>
    <sheetView tabSelected="1" workbookViewId="0">
      <pane ySplit="1" topLeftCell="A776" activePane="bottomLeft" state="frozen"/>
      <selection activeCell="G1" sqref="G1"/>
      <selection pane="bottomLeft" activeCell="E785" sqref="E785"/>
    </sheetView>
  </sheetViews>
  <sheetFormatPr defaultRowHeight="30" customHeight="1"/>
  <cols>
    <col min="1" max="1" width="5.75" style="81" bestFit="1" customWidth="1"/>
    <col min="2" max="2" width="8" style="81" bestFit="1" customWidth="1"/>
    <col min="3" max="3" width="8.75" style="81" customWidth="1"/>
    <col min="4" max="4" width="7.25" style="81" customWidth="1"/>
    <col min="5" max="5" width="46.5" style="81" customWidth="1"/>
    <col min="6" max="6" width="25.875" style="81" customWidth="1"/>
    <col min="7" max="7" width="21.125" style="81" customWidth="1"/>
    <col min="8" max="8" width="12.5" style="81" bestFit="1" customWidth="1"/>
    <col min="9" max="9" width="12.5" style="1" customWidth="1"/>
    <col min="10" max="10" width="14" style="1" customWidth="1"/>
    <col min="11" max="11" width="10.625" style="1" customWidth="1"/>
    <col min="12" max="12" width="12.875" style="1" customWidth="1"/>
    <col min="13" max="13" width="9.625" style="1" customWidth="1"/>
    <col min="14" max="14" width="15.375" style="1" customWidth="1"/>
    <col min="15" max="15" width="13.375" style="1" customWidth="1"/>
    <col min="16" max="16" width="13.75" style="1" customWidth="1"/>
    <col min="17" max="17" width="12.25" style="1" customWidth="1"/>
    <col min="18" max="18" width="13.375" style="1" customWidth="1"/>
    <col min="19" max="19" width="32.5" style="81" bestFit="1" customWidth="1"/>
    <col min="20" max="20" width="24.875" style="1" customWidth="1"/>
    <col min="21" max="21" width="10.25" style="1" customWidth="1"/>
    <col min="22" max="22" width="21.625" style="1" customWidth="1"/>
    <col min="23" max="23" width="42" style="1" customWidth="1"/>
    <col min="24" max="24" width="20.75" style="81" bestFit="1" customWidth="1"/>
    <col min="25" max="25" width="16.625" style="81" bestFit="1" customWidth="1"/>
    <col min="26" max="26" width="20.75" style="81" customWidth="1"/>
    <col min="27" max="27" width="18" style="81" customWidth="1"/>
    <col min="28" max="28" width="11.75" style="81" customWidth="1"/>
    <col min="29" max="29" width="8.375" style="81" customWidth="1"/>
    <col min="30" max="30" width="8" style="81" bestFit="1" customWidth="1"/>
    <col min="31" max="16384" width="9" style="81"/>
  </cols>
  <sheetData>
    <row r="1" spans="1:31" ht="30" customHeight="1">
      <c r="A1" s="69" t="s">
        <v>21</v>
      </c>
      <c r="B1" s="70" t="s">
        <v>2996</v>
      </c>
      <c r="C1" s="71" t="s">
        <v>22</v>
      </c>
      <c r="D1" s="71" t="s">
        <v>23</v>
      </c>
      <c r="E1" s="71" t="s">
        <v>3115</v>
      </c>
      <c r="F1" s="71" t="s">
        <v>3123</v>
      </c>
      <c r="G1" s="71" t="s">
        <v>3124</v>
      </c>
      <c r="H1" s="72" t="s">
        <v>3125</v>
      </c>
      <c r="I1" s="73" t="s">
        <v>24</v>
      </c>
      <c r="J1" s="74" t="s">
        <v>25</v>
      </c>
      <c r="K1" s="73" t="s">
        <v>26</v>
      </c>
      <c r="L1" s="73" t="s">
        <v>27</v>
      </c>
      <c r="M1" s="73" t="s">
        <v>28</v>
      </c>
      <c r="N1" s="73" t="s">
        <v>29</v>
      </c>
      <c r="O1" s="75" t="s">
        <v>30</v>
      </c>
      <c r="P1" s="75" t="s">
        <v>31</v>
      </c>
      <c r="Q1" s="75" t="s">
        <v>32</v>
      </c>
      <c r="R1" s="75" t="s">
        <v>33</v>
      </c>
      <c r="S1" s="71" t="s">
        <v>34</v>
      </c>
      <c r="T1" s="76" t="s">
        <v>35</v>
      </c>
      <c r="U1" s="77" t="s">
        <v>36</v>
      </c>
      <c r="V1" s="78" t="s">
        <v>3148</v>
      </c>
      <c r="W1" s="79" t="s">
        <v>37</v>
      </c>
      <c r="X1" s="80" t="s">
        <v>3126</v>
      </c>
      <c r="Y1" s="80" t="s">
        <v>2998</v>
      </c>
      <c r="Z1" s="80" t="s">
        <v>3134</v>
      </c>
      <c r="AA1" s="80" t="s">
        <v>3127</v>
      </c>
      <c r="AB1" s="80" t="s">
        <v>3128</v>
      </c>
      <c r="AC1" s="80" t="s">
        <v>3129</v>
      </c>
      <c r="AD1" s="80" t="s">
        <v>3130</v>
      </c>
      <c r="AE1" s="80" t="s">
        <v>3131</v>
      </c>
    </row>
    <row r="2" spans="1:31" s="1" customFormat="1" ht="15.75">
      <c r="A2" s="82">
        <v>1</v>
      </c>
      <c r="B2" s="83" t="s">
        <v>38</v>
      </c>
      <c r="C2" s="73" t="s">
        <v>39</v>
      </c>
      <c r="D2" s="73" t="s">
        <v>40</v>
      </c>
      <c r="E2" s="84" t="s">
        <v>41</v>
      </c>
      <c r="F2" s="84"/>
      <c r="G2" s="84"/>
      <c r="H2" s="85">
        <v>40</v>
      </c>
      <c r="I2" s="73" t="s">
        <v>42</v>
      </c>
      <c r="J2" s="74">
        <v>10</v>
      </c>
      <c r="K2" s="73">
        <v>3</v>
      </c>
      <c r="L2" s="73">
        <v>3</v>
      </c>
      <c r="M2" s="73">
        <v>0</v>
      </c>
      <c r="N2" s="73">
        <v>1</v>
      </c>
      <c r="O2" s="86">
        <v>960000</v>
      </c>
      <c r="P2" s="86">
        <v>4104542.4</v>
      </c>
      <c r="Q2" s="86">
        <v>0</v>
      </c>
      <c r="R2" s="87">
        <v>5064542.4000000004</v>
      </c>
      <c r="S2" s="73" t="s">
        <v>43</v>
      </c>
      <c r="T2" s="88"/>
      <c r="U2" s="77"/>
      <c r="V2" s="89"/>
      <c r="W2" s="90"/>
      <c r="X2" s="81"/>
      <c r="Y2" s="81"/>
      <c r="Z2" s="81"/>
      <c r="AA2" s="81"/>
      <c r="AB2" s="81"/>
      <c r="AC2" s="81"/>
      <c r="AD2" s="81"/>
      <c r="AE2" s="81"/>
    </row>
    <row r="3" spans="1:31" s="1" customFormat="1" ht="15.75">
      <c r="A3" s="82">
        <v>2</v>
      </c>
      <c r="B3" s="83" t="s">
        <v>38</v>
      </c>
      <c r="C3" s="73" t="s">
        <v>39</v>
      </c>
      <c r="D3" s="73" t="s">
        <v>40</v>
      </c>
      <c r="E3" s="84" t="s">
        <v>44</v>
      </c>
      <c r="F3" s="84"/>
      <c r="G3" s="84"/>
      <c r="H3" s="85">
        <v>35</v>
      </c>
      <c r="I3" s="73" t="s">
        <v>42</v>
      </c>
      <c r="J3" s="74">
        <v>10</v>
      </c>
      <c r="K3" s="73">
        <v>1</v>
      </c>
      <c r="L3" s="73">
        <v>6</v>
      </c>
      <c r="M3" s="73">
        <v>0</v>
      </c>
      <c r="N3" s="73">
        <v>3</v>
      </c>
      <c r="O3" s="86">
        <v>1400000</v>
      </c>
      <c r="P3" s="86">
        <v>20607646.800000001</v>
      </c>
      <c r="Q3" s="86">
        <v>1212000</v>
      </c>
      <c r="R3" s="87">
        <v>23219646.800000001</v>
      </c>
      <c r="S3" s="73" t="s">
        <v>43</v>
      </c>
      <c r="T3" s="88" t="s">
        <v>45</v>
      </c>
      <c r="U3" s="77"/>
      <c r="V3" s="89"/>
      <c r="W3" s="90" t="s">
        <v>46</v>
      </c>
      <c r="X3" s="81"/>
      <c r="Y3" s="81"/>
      <c r="Z3" s="81"/>
      <c r="AA3" s="81"/>
      <c r="AB3" s="81"/>
      <c r="AC3" s="81"/>
      <c r="AD3" s="81"/>
      <c r="AE3" s="81"/>
    </row>
    <row r="4" spans="1:31" s="1" customFormat="1" ht="15.75">
      <c r="A4" s="82">
        <v>3</v>
      </c>
      <c r="B4" s="83" t="s">
        <v>38</v>
      </c>
      <c r="C4" s="73" t="s">
        <v>39</v>
      </c>
      <c r="D4" s="73" t="s">
        <v>40</v>
      </c>
      <c r="E4" s="84" t="s">
        <v>47</v>
      </c>
      <c r="F4" s="84"/>
      <c r="G4" s="84"/>
      <c r="H4" s="85">
        <v>25</v>
      </c>
      <c r="I4" s="73" t="s">
        <v>42</v>
      </c>
      <c r="J4" s="74">
        <v>8</v>
      </c>
      <c r="K4" s="73">
        <v>1</v>
      </c>
      <c r="L4" s="73">
        <v>1</v>
      </c>
      <c r="M4" s="73">
        <v>0</v>
      </c>
      <c r="N4" s="73">
        <v>0</v>
      </c>
      <c r="O4" s="86">
        <v>800000</v>
      </c>
      <c r="P4" s="86">
        <v>13130964</v>
      </c>
      <c r="Q4" s="86">
        <v>0</v>
      </c>
      <c r="R4" s="87">
        <v>13930964</v>
      </c>
      <c r="S4" s="73" t="s">
        <v>43</v>
      </c>
      <c r="T4" s="88"/>
      <c r="U4" s="77" t="s">
        <v>48</v>
      </c>
      <c r="V4" s="89"/>
      <c r="W4" s="90"/>
      <c r="X4" s="81"/>
      <c r="Y4" s="81"/>
      <c r="Z4" s="81"/>
      <c r="AA4" s="81"/>
      <c r="AB4" s="81"/>
      <c r="AC4" s="81"/>
      <c r="AD4" s="81"/>
      <c r="AE4" s="81"/>
    </row>
    <row r="5" spans="1:31" s="1" customFormat="1" ht="15.75">
      <c r="A5" s="82">
        <v>4</v>
      </c>
      <c r="B5" s="83" t="s">
        <v>38</v>
      </c>
      <c r="C5" s="73" t="s">
        <v>39</v>
      </c>
      <c r="D5" s="73" t="s">
        <v>40</v>
      </c>
      <c r="E5" s="84" t="s">
        <v>49</v>
      </c>
      <c r="F5" s="84"/>
      <c r="G5" s="84"/>
      <c r="H5" s="85">
        <v>25</v>
      </c>
      <c r="I5" s="73" t="s">
        <v>42</v>
      </c>
      <c r="J5" s="74">
        <v>10</v>
      </c>
      <c r="K5" s="73">
        <v>1</v>
      </c>
      <c r="L5" s="73">
        <v>3</v>
      </c>
      <c r="M5" s="73">
        <v>0</v>
      </c>
      <c r="N5" s="73">
        <v>1</v>
      </c>
      <c r="O5" s="86">
        <v>1000000</v>
      </c>
      <c r="P5" s="86">
        <v>72327522</v>
      </c>
      <c r="Q5" s="86">
        <v>3272400</v>
      </c>
      <c r="R5" s="87">
        <v>76599922</v>
      </c>
      <c r="S5" s="73" t="s">
        <v>43</v>
      </c>
      <c r="T5" s="88"/>
      <c r="U5" s="77"/>
      <c r="V5" s="89"/>
      <c r="W5" s="90"/>
      <c r="X5" s="81"/>
      <c r="Y5" s="81"/>
      <c r="Z5" s="81"/>
      <c r="AA5" s="81"/>
      <c r="AB5" s="81"/>
      <c r="AC5" s="81"/>
      <c r="AD5" s="81"/>
      <c r="AE5" s="81"/>
    </row>
    <row r="6" spans="1:31" s="1" customFormat="1" ht="15.75">
      <c r="A6" s="82">
        <v>5</v>
      </c>
      <c r="B6" s="83" t="s">
        <v>38</v>
      </c>
      <c r="C6" s="73" t="s">
        <v>39</v>
      </c>
      <c r="D6" s="73" t="s">
        <v>40</v>
      </c>
      <c r="E6" s="84" t="s">
        <v>50</v>
      </c>
      <c r="F6" s="84"/>
      <c r="G6" s="84"/>
      <c r="H6" s="85">
        <v>15</v>
      </c>
      <c r="I6" s="73" t="s">
        <v>51</v>
      </c>
      <c r="J6" s="74">
        <v>8</v>
      </c>
      <c r="K6" s="73">
        <v>2</v>
      </c>
      <c r="L6" s="73">
        <v>2</v>
      </c>
      <c r="M6" s="73">
        <v>0</v>
      </c>
      <c r="N6" s="73">
        <v>0</v>
      </c>
      <c r="O6" s="86">
        <v>480000</v>
      </c>
      <c r="P6" s="86">
        <v>40468680</v>
      </c>
      <c r="Q6" s="86">
        <v>0</v>
      </c>
      <c r="R6" s="87">
        <v>40948680</v>
      </c>
      <c r="S6" s="73"/>
      <c r="T6" s="88" t="s">
        <v>52</v>
      </c>
      <c r="U6" s="77"/>
      <c r="V6" s="89"/>
      <c r="W6" s="90" t="s">
        <v>53</v>
      </c>
      <c r="X6" s="81"/>
      <c r="Y6" s="81"/>
      <c r="Z6" s="81"/>
      <c r="AA6" s="81"/>
      <c r="AB6" s="81"/>
      <c r="AC6" s="81"/>
      <c r="AD6" s="81"/>
      <c r="AE6" s="81"/>
    </row>
    <row r="7" spans="1:31" s="1" customFormat="1" ht="15.75">
      <c r="A7" s="82">
        <v>6</v>
      </c>
      <c r="B7" s="83" t="s">
        <v>38</v>
      </c>
      <c r="C7" s="73" t="s">
        <v>39</v>
      </c>
      <c r="D7" s="73" t="s">
        <v>40</v>
      </c>
      <c r="E7" s="84" t="s">
        <v>54</v>
      </c>
      <c r="F7" s="84"/>
      <c r="G7" s="84"/>
      <c r="H7" s="85">
        <v>34</v>
      </c>
      <c r="I7" s="73" t="s">
        <v>42</v>
      </c>
      <c r="J7" s="74">
        <v>7</v>
      </c>
      <c r="K7" s="73">
        <v>2</v>
      </c>
      <c r="L7" s="73">
        <v>2</v>
      </c>
      <c r="M7" s="73">
        <v>0</v>
      </c>
      <c r="N7" s="73">
        <v>0</v>
      </c>
      <c r="O7" s="86">
        <v>672000</v>
      </c>
      <c r="P7" s="86">
        <v>18888360</v>
      </c>
      <c r="Q7" s="86">
        <v>0</v>
      </c>
      <c r="R7" s="87">
        <v>11410560</v>
      </c>
      <c r="S7" s="73"/>
      <c r="T7" s="88" t="s">
        <v>45</v>
      </c>
      <c r="U7" s="77" t="s">
        <v>55</v>
      </c>
      <c r="V7" s="89"/>
      <c r="W7" s="90" t="s">
        <v>46</v>
      </c>
      <c r="X7" s="81"/>
      <c r="Y7" s="81"/>
      <c r="Z7" s="81"/>
      <c r="AA7" s="81"/>
      <c r="AB7" s="81"/>
      <c r="AC7" s="81"/>
      <c r="AD7" s="81"/>
      <c r="AE7" s="81"/>
    </row>
    <row r="8" spans="1:31" s="1" customFormat="1" ht="15.75">
      <c r="A8" s="82">
        <v>7</v>
      </c>
      <c r="B8" s="83" t="s">
        <v>38</v>
      </c>
      <c r="C8" s="73" t="s">
        <v>39</v>
      </c>
      <c r="D8" s="73" t="s">
        <v>56</v>
      </c>
      <c r="E8" s="84" t="s">
        <v>57</v>
      </c>
      <c r="F8" s="84"/>
      <c r="G8" s="84"/>
      <c r="H8" s="85">
        <v>20</v>
      </c>
      <c r="I8" s="73" t="s">
        <v>42</v>
      </c>
      <c r="J8" s="74">
        <v>8</v>
      </c>
      <c r="K8" s="73">
        <v>0</v>
      </c>
      <c r="L8" s="73">
        <v>3</v>
      </c>
      <c r="M8" s="73">
        <v>1</v>
      </c>
      <c r="N8" s="73">
        <v>0</v>
      </c>
      <c r="O8" s="86">
        <v>640000</v>
      </c>
      <c r="P8" s="86">
        <v>6026400</v>
      </c>
      <c r="Q8" s="86">
        <v>2424000</v>
      </c>
      <c r="R8" s="87">
        <v>9090400</v>
      </c>
      <c r="S8" s="73" t="s">
        <v>58</v>
      </c>
      <c r="T8" s="88"/>
      <c r="U8" s="77"/>
      <c r="V8" s="89"/>
      <c r="W8" s="90"/>
      <c r="X8" s="81"/>
      <c r="Y8" s="81"/>
      <c r="Z8" s="81"/>
      <c r="AA8" s="81"/>
      <c r="AB8" s="81"/>
      <c r="AC8" s="81"/>
      <c r="AD8" s="81"/>
      <c r="AE8" s="81"/>
    </row>
    <row r="9" spans="1:31" s="1" customFormat="1" ht="27">
      <c r="A9" s="82">
        <v>8</v>
      </c>
      <c r="B9" s="83" t="s">
        <v>38</v>
      </c>
      <c r="C9" s="73" t="s">
        <v>39</v>
      </c>
      <c r="D9" s="73" t="s">
        <v>56</v>
      </c>
      <c r="E9" s="84" t="s">
        <v>59</v>
      </c>
      <c r="F9" s="84" t="s">
        <v>60</v>
      </c>
      <c r="G9" s="84" t="s">
        <v>61</v>
      </c>
      <c r="H9" s="85">
        <v>34</v>
      </c>
      <c r="I9" s="73" t="s">
        <v>42</v>
      </c>
      <c r="J9" s="74">
        <v>8</v>
      </c>
      <c r="K9" s="73">
        <v>0</v>
      </c>
      <c r="L9" s="73">
        <v>2</v>
      </c>
      <c r="M9" s="73">
        <v>2</v>
      </c>
      <c r="N9" s="73">
        <v>0</v>
      </c>
      <c r="O9" s="86">
        <v>1088000</v>
      </c>
      <c r="P9" s="86">
        <v>96645960</v>
      </c>
      <c r="Q9" s="86">
        <v>0</v>
      </c>
      <c r="R9" s="87">
        <v>97733960</v>
      </c>
      <c r="S9" s="73" t="s">
        <v>62</v>
      </c>
      <c r="T9" s="88" t="s">
        <v>63</v>
      </c>
      <c r="U9" s="77" t="s">
        <v>64</v>
      </c>
      <c r="V9" s="89"/>
      <c r="W9" s="90"/>
      <c r="X9" s="81"/>
      <c r="Y9" s="81"/>
      <c r="Z9" s="81"/>
      <c r="AA9" s="81"/>
      <c r="AB9" s="81"/>
      <c r="AC9" s="81"/>
      <c r="AD9" s="81"/>
      <c r="AE9" s="81"/>
    </row>
    <row r="10" spans="1:31" s="1" customFormat="1" ht="15.75">
      <c r="A10" s="82">
        <v>9</v>
      </c>
      <c r="B10" s="83" t="s">
        <v>38</v>
      </c>
      <c r="C10" s="73" t="s">
        <v>39</v>
      </c>
      <c r="D10" s="73" t="s">
        <v>56</v>
      </c>
      <c r="E10" s="84" t="s">
        <v>65</v>
      </c>
      <c r="F10" s="84"/>
      <c r="G10" s="84"/>
      <c r="H10" s="85">
        <v>45</v>
      </c>
      <c r="I10" s="73" t="s">
        <v>42</v>
      </c>
      <c r="J10" s="74">
        <v>8</v>
      </c>
      <c r="K10" s="73">
        <v>0</v>
      </c>
      <c r="L10" s="73">
        <v>8</v>
      </c>
      <c r="M10" s="73">
        <v>0</v>
      </c>
      <c r="N10" s="73">
        <v>2</v>
      </c>
      <c r="O10" s="86">
        <v>1440000</v>
      </c>
      <c r="P10" s="86">
        <v>25123550.399999999</v>
      </c>
      <c r="Q10" s="86">
        <v>3030000</v>
      </c>
      <c r="R10" s="87">
        <v>29593550.399999999</v>
      </c>
      <c r="S10" s="73" t="s">
        <v>43</v>
      </c>
      <c r="T10" s="88"/>
      <c r="U10" s="77"/>
      <c r="V10" s="89"/>
      <c r="W10" s="90"/>
      <c r="X10" s="81"/>
      <c r="Y10" s="81"/>
      <c r="Z10" s="81"/>
      <c r="AA10" s="81"/>
      <c r="AB10" s="81"/>
      <c r="AC10" s="81"/>
      <c r="AD10" s="81"/>
      <c r="AE10" s="81"/>
    </row>
    <row r="11" spans="1:31" s="1" customFormat="1" ht="15.75">
      <c r="A11" s="82">
        <v>10</v>
      </c>
      <c r="B11" s="83" t="s">
        <v>38</v>
      </c>
      <c r="C11" s="73" t="s">
        <v>39</v>
      </c>
      <c r="D11" s="73" t="s">
        <v>56</v>
      </c>
      <c r="E11" s="84" t="s">
        <v>66</v>
      </c>
      <c r="F11" s="84"/>
      <c r="G11" s="84"/>
      <c r="H11" s="85">
        <v>45</v>
      </c>
      <c r="I11" s="73" t="s">
        <v>42</v>
      </c>
      <c r="J11" s="74">
        <v>8</v>
      </c>
      <c r="K11" s="73">
        <v>0</v>
      </c>
      <c r="L11" s="73">
        <v>3</v>
      </c>
      <c r="M11" s="73">
        <v>0</v>
      </c>
      <c r="N11" s="73">
        <v>0</v>
      </c>
      <c r="O11" s="86">
        <v>1440000</v>
      </c>
      <c r="P11" s="86">
        <v>39138120</v>
      </c>
      <c r="Q11" s="86">
        <v>0</v>
      </c>
      <c r="R11" s="87">
        <v>40578120</v>
      </c>
      <c r="S11" s="73" t="s">
        <v>43</v>
      </c>
      <c r="T11" s="88"/>
      <c r="U11" s="77" t="s">
        <v>67</v>
      </c>
      <c r="V11" s="89"/>
      <c r="W11" s="90"/>
      <c r="X11" s="81"/>
      <c r="Y11" s="81"/>
      <c r="Z11" s="81"/>
      <c r="AA11" s="81"/>
      <c r="AB11" s="81"/>
      <c r="AC11" s="81"/>
      <c r="AD11" s="81"/>
      <c r="AE11" s="81"/>
    </row>
    <row r="12" spans="1:31" s="1" customFormat="1" ht="15.75">
      <c r="A12" s="82">
        <v>11</v>
      </c>
      <c r="B12" s="83" t="s">
        <v>38</v>
      </c>
      <c r="C12" s="73" t="s">
        <v>39</v>
      </c>
      <c r="D12" s="73" t="s">
        <v>56</v>
      </c>
      <c r="E12" s="84" t="s">
        <v>68</v>
      </c>
      <c r="F12" s="84"/>
      <c r="G12" s="84"/>
      <c r="H12" s="85">
        <v>16</v>
      </c>
      <c r="I12" s="73" t="s">
        <v>42</v>
      </c>
      <c r="J12" s="74">
        <v>8</v>
      </c>
      <c r="K12" s="73">
        <v>1</v>
      </c>
      <c r="L12" s="73">
        <v>3</v>
      </c>
      <c r="M12" s="73">
        <v>0</v>
      </c>
      <c r="N12" s="73">
        <v>0</v>
      </c>
      <c r="O12" s="86">
        <v>512000</v>
      </c>
      <c r="P12" s="86">
        <v>1910400</v>
      </c>
      <c r="Q12" s="86">
        <v>0</v>
      </c>
      <c r="R12" s="87">
        <v>2422400</v>
      </c>
      <c r="S12" s="73" t="s">
        <v>43</v>
      </c>
      <c r="T12" s="88" t="s">
        <v>69</v>
      </c>
      <c r="U12" s="77"/>
      <c r="V12" s="89"/>
      <c r="W12" s="90" t="s">
        <v>70</v>
      </c>
      <c r="X12" s="81"/>
      <c r="Y12" s="81"/>
      <c r="Z12" s="81"/>
      <c r="AA12" s="81"/>
      <c r="AB12" s="81"/>
      <c r="AC12" s="81"/>
      <c r="AD12" s="81"/>
      <c r="AE12" s="81"/>
    </row>
    <row r="13" spans="1:31" s="1" customFormat="1" ht="15.75">
      <c r="A13" s="82">
        <v>12</v>
      </c>
      <c r="B13" s="83" t="s">
        <v>38</v>
      </c>
      <c r="C13" s="73" t="s">
        <v>39</v>
      </c>
      <c r="D13" s="73" t="s">
        <v>56</v>
      </c>
      <c r="E13" s="84" t="s">
        <v>71</v>
      </c>
      <c r="F13" s="84"/>
      <c r="G13" s="84"/>
      <c r="H13" s="85">
        <v>50</v>
      </c>
      <c r="I13" s="73">
        <v>3</v>
      </c>
      <c r="J13" s="74">
        <v>12</v>
      </c>
      <c r="K13" s="73">
        <v>3</v>
      </c>
      <c r="L13" s="73">
        <v>3</v>
      </c>
      <c r="M13" s="73">
        <v>1</v>
      </c>
      <c r="N13" s="73">
        <v>1</v>
      </c>
      <c r="O13" s="86">
        <v>2400000</v>
      </c>
      <c r="P13" s="86">
        <v>24031052.136</v>
      </c>
      <c r="Q13" s="86">
        <v>8019400</v>
      </c>
      <c r="R13" s="87">
        <v>34450452.136</v>
      </c>
      <c r="S13" s="73" t="s">
        <v>43</v>
      </c>
      <c r="T13" s="88" t="s">
        <v>72</v>
      </c>
      <c r="U13" s="77"/>
      <c r="V13" s="89"/>
      <c r="W13" s="90" t="s">
        <v>73</v>
      </c>
      <c r="X13" s="81"/>
      <c r="Y13" s="81"/>
      <c r="Z13" s="81"/>
      <c r="AA13" s="81"/>
      <c r="AB13" s="81"/>
      <c r="AC13" s="81"/>
      <c r="AD13" s="81"/>
      <c r="AE13" s="81"/>
    </row>
    <row r="14" spans="1:31" s="1" customFormat="1" ht="15.75">
      <c r="A14" s="82">
        <v>13</v>
      </c>
      <c r="B14" s="83" t="s">
        <v>38</v>
      </c>
      <c r="C14" s="73" t="s">
        <v>39</v>
      </c>
      <c r="D14" s="73" t="s">
        <v>56</v>
      </c>
      <c r="E14" s="84" t="s">
        <v>74</v>
      </c>
      <c r="F14" s="84"/>
      <c r="G14" s="84"/>
      <c r="H14" s="85">
        <v>38</v>
      </c>
      <c r="I14" s="73">
        <v>7</v>
      </c>
      <c r="J14" s="74">
        <v>12</v>
      </c>
      <c r="K14" s="73">
        <v>4</v>
      </c>
      <c r="L14" s="73">
        <v>5</v>
      </c>
      <c r="M14" s="73">
        <v>2</v>
      </c>
      <c r="N14" s="73">
        <v>0</v>
      </c>
      <c r="O14" s="86">
        <v>1824000</v>
      </c>
      <c r="P14" s="86">
        <v>14749900.799999999</v>
      </c>
      <c r="Q14" s="86">
        <v>5514600</v>
      </c>
      <c r="R14" s="87">
        <v>22088500.799999997</v>
      </c>
      <c r="S14" s="73" t="s">
        <v>43</v>
      </c>
      <c r="T14" s="88"/>
      <c r="U14" s="77"/>
      <c r="V14" s="89"/>
      <c r="W14" s="90"/>
      <c r="X14" s="81"/>
      <c r="Y14" s="81"/>
      <c r="Z14" s="81"/>
      <c r="AA14" s="81"/>
      <c r="AB14" s="81"/>
      <c r="AC14" s="81"/>
      <c r="AD14" s="81"/>
      <c r="AE14" s="81"/>
    </row>
    <row r="15" spans="1:31" s="1" customFormat="1" ht="15.75">
      <c r="A15" s="82">
        <v>14</v>
      </c>
      <c r="B15" s="83" t="s">
        <v>38</v>
      </c>
      <c r="C15" s="73" t="s">
        <v>39</v>
      </c>
      <c r="D15" s="73" t="s">
        <v>56</v>
      </c>
      <c r="E15" s="84" t="s">
        <v>75</v>
      </c>
      <c r="F15" s="84"/>
      <c r="G15" s="84"/>
      <c r="H15" s="85">
        <v>15</v>
      </c>
      <c r="I15" s="73">
        <v>2.5</v>
      </c>
      <c r="J15" s="74">
        <v>8</v>
      </c>
      <c r="K15" s="73">
        <v>0</v>
      </c>
      <c r="L15" s="73">
        <v>1</v>
      </c>
      <c r="M15" s="73">
        <v>0</v>
      </c>
      <c r="N15" s="73">
        <v>0</v>
      </c>
      <c r="O15" s="86">
        <v>480000</v>
      </c>
      <c r="P15" s="86">
        <v>1528320</v>
      </c>
      <c r="Q15" s="86">
        <v>0</v>
      </c>
      <c r="R15" s="87">
        <v>2008320</v>
      </c>
      <c r="S15" s="73"/>
      <c r="T15" s="88" t="s">
        <v>72</v>
      </c>
      <c r="U15" s="77"/>
      <c r="V15" s="89"/>
      <c r="W15" s="90" t="s">
        <v>73</v>
      </c>
      <c r="X15" s="81"/>
      <c r="Y15" s="81"/>
      <c r="Z15" s="81"/>
      <c r="AA15" s="81"/>
      <c r="AB15" s="81"/>
      <c r="AC15" s="81"/>
      <c r="AD15" s="81"/>
      <c r="AE15" s="81"/>
    </row>
    <row r="16" spans="1:31" s="1" customFormat="1" ht="27">
      <c r="A16" s="82">
        <v>15</v>
      </c>
      <c r="B16" s="83" t="s">
        <v>38</v>
      </c>
      <c r="C16" s="73" t="s">
        <v>39</v>
      </c>
      <c r="D16" s="73" t="s">
        <v>56</v>
      </c>
      <c r="E16" s="91" t="s">
        <v>76</v>
      </c>
      <c r="F16" s="91"/>
      <c r="G16" s="91"/>
      <c r="H16" s="85">
        <v>15</v>
      </c>
      <c r="I16" s="73">
        <v>4.5</v>
      </c>
      <c r="J16" s="74">
        <v>8</v>
      </c>
      <c r="K16" s="73">
        <v>4</v>
      </c>
      <c r="L16" s="73">
        <v>0</v>
      </c>
      <c r="M16" s="73">
        <v>1</v>
      </c>
      <c r="N16" s="73">
        <v>0</v>
      </c>
      <c r="O16" s="86">
        <v>480000</v>
      </c>
      <c r="P16" s="86">
        <v>0</v>
      </c>
      <c r="Q16" s="86">
        <v>5555000</v>
      </c>
      <c r="R16" s="87">
        <v>6035000</v>
      </c>
      <c r="S16" s="92" t="s">
        <v>43</v>
      </c>
      <c r="T16" s="93"/>
      <c r="U16" s="94" t="s">
        <v>77</v>
      </c>
      <c r="V16" s="89"/>
      <c r="W16" s="90"/>
      <c r="X16" s="81"/>
      <c r="Y16" s="81"/>
      <c r="Z16" s="81"/>
      <c r="AA16" s="81"/>
      <c r="AB16" s="81"/>
      <c r="AC16" s="81"/>
      <c r="AD16" s="81"/>
      <c r="AE16" s="81"/>
    </row>
    <row r="17" spans="1:31" s="1" customFormat="1" ht="15.75">
      <c r="A17" s="82">
        <v>16</v>
      </c>
      <c r="B17" s="83" t="s">
        <v>38</v>
      </c>
      <c r="C17" s="73" t="s">
        <v>39</v>
      </c>
      <c r="D17" s="73" t="s">
        <v>56</v>
      </c>
      <c r="E17" s="84" t="s">
        <v>78</v>
      </c>
      <c r="F17" s="84"/>
      <c r="G17" s="84"/>
      <c r="H17" s="85">
        <v>36</v>
      </c>
      <c r="I17" s="73" t="s">
        <v>79</v>
      </c>
      <c r="J17" s="74">
        <v>8</v>
      </c>
      <c r="K17" s="73">
        <v>0</v>
      </c>
      <c r="L17" s="73">
        <v>5</v>
      </c>
      <c r="M17" s="73">
        <v>2</v>
      </c>
      <c r="N17" s="73">
        <v>0</v>
      </c>
      <c r="O17" s="86">
        <v>1152000</v>
      </c>
      <c r="P17" s="86">
        <v>16195046.399999999</v>
      </c>
      <c r="Q17" s="86">
        <v>2282600</v>
      </c>
      <c r="R17" s="87">
        <v>19629646.399999999</v>
      </c>
      <c r="S17" s="73"/>
      <c r="T17" s="88"/>
      <c r="U17" s="77" t="s">
        <v>80</v>
      </c>
      <c r="V17" s="89"/>
      <c r="W17" s="90"/>
      <c r="X17" s="81"/>
      <c r="Y17" s="81"/>
      <c r="Z17" s="81"/>
      <c r="AA17" s="81"/>
      <c r="AB17" s="81"/>
      <c r="AC17" s="81"/>
      <c r="AD17" s="81"/>
      <c r="AE17" s="81"/>
    </row>
    <row r="18" spans="1:31" s="1" customFormat="1" ht="27">
      <c r="A18" s="82">
        <v>17</v>
      </c>
      <c r="B18" s="83" t="s">
        <v>38</v>
      </c>
      <c r="C18" s="73" t="s">
        <v>39</v>
      </c>
      <c r="D18" s="73" t="s">
        <v>56</v>
      </c>
      <c r="E18" s="84" t="s">
        <v>81</v>
      </c>
      <c r="F18" s="84"/>
      <c r="G18" s="84"/>
      <c r="H18" s="85">
        <v>42</v>
      </c>
      <c r="I18" s="73" t="s">
        <v>79</v>
      </c>
      <c r="J18" s="74">
        <v>8</v>
      </c>
      <c r="K18" s="73">
        <v>2</v>
      </c>
      <c r="L18" s="73">
        <v>5</v>
      </c>
      <c r="M18" s="73">
        <v>0</v>
      </c>
      <c r="N18" s="73">
        <v>0</v>
      </c>
      <c r="O18" s="86">
        <v>1344000</v>
      </c>
      <c r="P18" s="86">
        <v>10419903.6</v>
      </c>
      <c r="Q18" s="86">
        <v>0</v>
      </c>
      <c r="R18" s="87">
        <v>11763903.6</v>
      </c>
      <c r="S18" s="73"/>
      <c r="T18" s="88"/>
      <c r="U18" s="77" t="s">
        <v>82</v>
      </c>
      <c r="V18" s="89"/>
      <c r="W18" s="90"/>
      <c r="X18" s="81"/>
      <c r="Y18" s="81"/>
      <c r="Z18" s="81"/>
      <c r="AA18" s="81"/>
      <c r="AB18" s="81"/>
      <c r="AC18" s="81"/>
      <c r="AD18" s="81"/>
      <c r="AE18" s="81"/>
    </row>
    <row r="19" spans="1:31" s="1" customFormat="1" ht="15.75">
      <c r="A19" s="82">
        <v>18</v>
      </c>
      <c r="B19" s="83" t="s">
        <v>38</v>
      </c>
      <c r="C19" s="73" t="s">
        <v>39</v>
      </c>
      <c r="D19" s="73" t="s">
        <v>83</v>
      </c>
      <c r="E19" s="84" t="s">
        <v>84</v>
      </c>
      <c r="F19" s="84"/>
      <c r="G19" s="84"/>
      <c r="H19" s="85">
        <v>67</v>
      </c>
      <c r="I19" s="73">
        <v>8</v>
      </c>
      <c r="J19" s="74">
        <v>15</v>
      </c>
      <c r="K19" s="73">
        <v>2</v>
      </c>
      <c r="L19" s="73">
        <v>0</v>
      </c>
      <c r="M19" s="73">
        <v>0</v>
      </c>
      <c r="N19" s="73">
        <v>0</v>
      </c>
      <c r="O19" s="86">
        <v>4020000</v>
      </c>
      <c r="P19" s="86">
        <v>0</v>
      </c>
      <c r="Q19" s="86">
        <v>0</v>
      </c>
      <c r="R19" s="87">
        <v>4020000</v>
      </c>
      <c r="S19" s="73" t="s">
        <v>43</v>
      </c>
      <c r="T19" s="88" t="s">
        <v>85</v>
      </c>
      <c r="U19" s="77" t="s">
        <v>86</v>
      </c>
      <c r="V19" s="89"/>
      <c r="W19" s="90"/>
      <c r="X19" s="81"/>
      <c r="Y19" s="81"/>
      <c r="Z19" s="81"/>
      <c r="AA19" s="81"/>
      <c r="AB19" s="81"/>
      <c r="AC19" s="81"/>
      <c r="AD19" s="81"/>
      <c r="AE19" s="81"/>
    </row>
    <row r="20" spans="1:31" s="1" customFormat="1" ht="27">
      <c r="A20" s="82">
        <v>19</v>
      </c>
      <c r="B20" s="83" t="s">
        <v>38</v>
      </c>
      <c r="C20" s="73" t="s">
        <v>39</v>
      </c>
      <c r="D20" s="73" t="s">
        <v>83</v>
      </c>
      <c r="E20" s="84" t="s">
        <v>87</v>
      </c>
      <c r="F20" s="84"/>
      <c r="G20" s="84"/>
      <c r="H20" s="85" t="s">
        <v>88</v>
      </c>
      <c r="I20" s="73">
        <v>3.5</v>
      </c>
      <c r="J20" s="74">
        <v>15</v>
      </c>
      <c r="K20" s="73">
        <v>22</v>
      </c>
      <c r="L20" s="73">
        <v>0</v>
      </c>
      <c r="M20" s="73">
        <v>0</v>
      </c>
      <c r="N20" s="73">
        <v>0</v>
      </c>
      <c r="O20" s="86">
        <v>33075454</v>
      </c>
      <c r="P20" s="86">
        <v>0</v>
      </c>
      <c r="Q20" s="86">
        <v>0</v>
      </c>
      <c r="R20" s="87">
        <v>33075454</v>
      </c>
      <c r="S20" s="73" t="s">
        <v>43</v>
      </c>
      <c r="T20" s="88" t="s">
        <v>89</v>
      </c>
      <c r="U20" s="77" t="s">
        <v>90</v>
      </c>
      <c r="V20" s="89"/>
      <c r="W20" s="95" t="s">
        <v>91</v>
      </c>
      <c r="X20" s="81"/>
      <c r="Y20" s="81"/>
      <c r="Z20" s="81"/>
      <c r="AA20" s="81"/>
      <c r="AB20" s="81"/>
      <c r="AC20" s="81"/>
      <c r="AD20" s="81"/>
      <c r="AE20" s="81"/>
    </row>
    <row r="21" spans="1:31" s="1" customFormat="1" ht="15.75">
      <c r="A21" s="82">
        <v>20</v>
      </c>
      <c r="B21" s="83" t="s">
        <v>38</v>
      </c>
      <c r="C21" s="73" t="s">
        <v>39</v>
      </c>
      <c r="D21" s="73" t="s">
        <v>83</v>
      </c>
      <c r="E21" s="84" t="s">
        <v>92</v>
      </c>
      <c r="F21" s="84"/>
      <c r="G21" s="84"/>
      <c r="H21" s="85">
        <v>50</v>
      </c>
      <c r="I21" s="73">
        <v>6</v>
      </c>
      <c r="J21" s="74">
        <v>15</v>
      </c>
      <c r="K21" s="73">
        <v>1</v>
      </c>
      <c r="L21" s="73">
        <v>2</v>
      </c>
      <c r="M21" s="73">
        <v>0</v>
      </c>
      <c r="N21" s="73">
        <v>2</v>
      </c>
      <c r="O21" s="86">
        <v>3000000</v>
      </c>
      <c r="P21" s="86">
        <v>16749076.751999998</v>
      </c>
      <c r="Q21" s="86">
        <v>1696800</v>
      </c>
      <c r="R21" s="87">
        <v>21445876.751999997</v>
      </c>
      <c r="S21" s="73" t="s">
        <v>43</v>
      </c>
      <c r="T21" s="88" t="s">
        <v>93</v>
      </c>
      <c r="U21" s="77" t="s">
        <v>94</v>
      </c>
      <c r="V21" s="89"/>
      <c r="W21" s="95" t="s">
        <v>95</v>
      </c>
      <c r="X21" s="81"/>
      <c r="Y21" s="81"/>
      <c r="Z21" s="81"/>
      <c r="AA21" s="81"/>
      <c r="AB21" s="81"/>
      <c r="AC21" s="81"/>
      <c r="AD21" s="81"/>
      <c r="AE21" s="81"/>
    </row>
    <row r="22" spans="1:31" s="1" customFormat="1" ht="15.75">
      <c r="A22" s="82">
        <v>21</v>
      </c>
      <c r="B22" s="83" t="s">
        <v>38</v>
      </c>
      <c r="C22" s="73" t="s">
        <v>39</v>
      </c>
      <c r="D22" s="73" t="s">
        <v>83</v>
      </c>
      <c r="E22" s="84" t="s">
        <v>96</v>
      </c>
      <c r="F22" s="84"/>
      <c r="G22" s="84"/>
      <c r="H22" s="85">
        <v>20</v>
      </c>
      <c r="I22" s="73">
        <v>3.5</v>
      </c>
      <c r="J22" s="74">
        <v>8</v>
      </c>
      <c r="K22" s="73">
        <v>0</v>
      </c>
      <c r="L22" s="73">
        <v>1</v>
      </c>
      <c r="M22" s="73">
        <v>2</v>
      </c>
      <c r="N22" s="73">
        <v>1</v>
      </c>
      <c r="O22" s="86">
        <v>640000</v>
      </c>
      <c r="P22" s="86">
        <v>3014382.4919999996</v>
      </c>
      <c r="Q22" s="86">
        <v>3878400</v>
      </c>
      <c r="R22" s="87">
        <v>7532782.4919999996</v>
      </c>
      <c r="S22" s="73" t="s">
        <v>43</v>
      </c>
      <c r="T22" s="88" t="s">
        <v>93</v>
      </c>
      <c r="U22" s="77"/>
      <c r="V22" s="89"/>
      <c r="W22" s="95" t="s">
        <v>95</v>
      </c>
      <c r="X22" s="81"/>
      <c r="Y22" s="81"/>
      <c r="Z22" s="81"/>
      <c r="AA22" s="81"/>
      <c r="AB22" s="81"/>
      <c r="AC22" s="81"/>
      <c r="AD22" s="81"/>
      <c r="AE22" s="81"/>
    </row>
    <row r="23" spans="1:31" s="1" customFormat="1" ht="15.75">
      <c r="A23" s="82">
        <v>22</v>
      </c>
      <c r="B23" s="83" t="s">
        <v>38</v>
      </c>
      <c r="C23" s="73" t="s">
        <v>39</v>
      </c>
      <c r="D23" s="73" t="s">
        <v>83</v>
      </c>
      <c r="E23" s="84" t="s">
        <v>97</v>
      </c>
      <c r="F23" s="84"/>
      <c r="G23" s="84"/>
      <c r="H23" s="85">
        <v>20</v>
      </c>
      <c r="I23" s="73" t="s">
        <v>42</v>
      </c>
      <c r="J23" s="74">
        <v>8</v>
      </c>
      <c r="K23" s="73">
        <v>0</v>
      </c>
      <c r="L23" s="73">
        <v>2</v>
      </c>
      <c r="M23" s="73">
        <v>0</v>
      </c>
      <c r="N23" s="73">
        <v>0</v>
      </c>
      <c r="O23" s="86">
        <v>640000</v>
      </c>
      <c r="P23" s="86">
        <v>23806796.976</v>
      </c>
      <c r="Q23" s="86">
        <v>0</v>
      </c>
      <c r="R23" s="87">
        <v>24446796.976</v>
      </c>
      <c r="S23" s="73"/>
      <c r="T23" s="88" t="s">
        <v>98</v>
      </c>
      <c r="U23" s="77" t="s">
        <v>99</v>
      </c>
      <c r="V23" s="89"/>
      <c r="W23" s="95" t="s">
        <v>100</v>
      </c>
      <c r="X23" s="81"/>
      <c r="Y23" s="81"/>
      <c r="Z23" s="81"/>
      <c r="AA23" s="81"/>
      <c r="AB23" s="81"/>
      <c r="AC23" s="81"/>
      <c r="AD23" s="81"/>
      <c r="AE23" s="81"/>
    </row>
    <row r="24" spans="1:31" s="1" customFormat="1" ht="15.75">
      <c r="A24" s="82">
        <v>23</v>
      </c>
      <c r="B24" s="83" t="s">
        <v>38</v>
      </c>
      <c r="C24" s="73" t="s">
        <v>39</v>
      </c>
      <c r="D24" s="73" t="s">
        <v>83</v>
      </c>
      <c r="E24" s="84" t="s">
        <v>101</v>
      </c>
      <c r="F24" s="84"/>
      <c r="G24" s="84"/>
      <c r="H24" s="85">
        <v>50</v>
      </c>
      <c r="I24" s="73" t="s">
        <v>42</v>
      </c>
      <c r="J24" s="74">
        <v>15</v>
      </c>
      <c r="K24" s="73">
        <v>0</v>
      </c>
      <c r="L24" s="73">
        <v>11</v>
      </c>
      <c r="M24" s="73">
        <v>0</v>
      </c>
      <c r="N24" s="73">
        <v>4</v>
      </c>
      <c r="O24" s="86">
        <v>3000000</v>
      </c>
      <c r="P24" s="86">
        <v>67959103.84799999</v>
      </c>
      <c r="Q24" s="86">
        <v>4848000</v>
      </c>
      <c r="R24" s="87">
        <v>75807103.84799999</v>
      </c>
      <c r="S24" s="73"/>
      <c r="T24" s="88"/>
      <c r="U24" s="77"/>
      <c r="V24" s="89"/>
      <c r="W24" s="90"/>
      <c r="X24" s="81"/>
      <c r="Y24" s="81"/>
      <c r="Z24" s="81"/>
      <c r="AA24" s="81"/>
      <c r="AB24" s="81"/>
      <c r="AC24" s="81"/>
      <c r="AD24" s="81"/>
      <c r="AE24" s="81"/>
    </row>
    <row r="25" spans="1:31" s="1" customFormat="1" ht="15.75">
      <c r="A25" s="82">
        <v>24</v>
      </c>
      <c r="B25" s="83" t="s">
        <v>38</v>
      </c>
      <c r="C25" s="73" t="s">
        <v>39</v>
      </c>
      <c r="D25" s="73" t="s">
        <v>83</v>
      </c>
      <c r="E25" s="84" t="s">
        <v>102</v>
      </c>
      <c r="F25" s="84"/>
      <c r="G25" s="84"/>
      <c r="H25" s="85">
        <v>43</v>
      </c>
      <c r="I25" s="73">
        <v>6</v>
      </c>
      <c r="J25" s="74">
        <v>6</v>
      </c>
      <c r="K25" s="73">
        <v>8</v>
      </c>
      <c r="L25" s="73">
        <v>2</v>
      </c>
      <c r="M25" s="73">
        <v>9</v>
      </c>
      <c r="N25" s="73">
        <v>0</v>
      </c>
      <c r="O25" s="86">
        <v>1032000</v>
      </c>
      <c r="P25" s="86">
        <v>2181902.4</v>
      </c>
      <c r="Q25" s="86">
        <v>14948000</v>
      </c>
      <c r="R25" s="87">
        <v>18161902.399999999</v>
      </c>
      <c r="S25" s="73"/>
      <c r="T25" s="88"/>
      <c r="U25" s="77"/>
      <c r="V25" s="89"/>
      <c r="W25" s="90"/>
      <c r="X25" s="81"/>
      <c r="Y25" s="81"/>
      <c r="Z25" s="81"/>
      <c r="AA25" s="81"/>
      <c r="AB25" s="81"/>
      <c r="AC25" s="81"/>
      <c r="AD25" s="81"/>
      <c r="AE25" s="81"/>
    </row>
    <row r="26" spans="1:31" s="1" customFormat="1" ht="15.75">
      <c r="A26" s="82">
        <v>25</v>
      </c>
      <c r="B26" s="83" t="s">
        <v>38</v>
      </c>
      <c r="C26" s="73" t="s">
        <v>39</v>
      </c>
      <c r="D26" s="73" t="s">
        <v>83</v>
      </c>
      <c r="E26" s="84" t="s">
        <v>103</v>
      </c>
      <c r="F26" s="84"/>
      <c r="G26" s="84"/>
      <c r="H26" s="85">
        <v>31</v>
      </c>
      <c r="I26" s="73">
        <v>6</v>
      </c>
      <c r="J26" s="74">
        <v>15</v>
      </c>
      <c r="K26" s="73">
        <v>0</v>
      </c>
      <c r="L26" s="73">
        <v>6</v>
      </c>
      <c r="M26" s="73">
        <v>2</v>
      </c>
      <c r="N26" s="73">
        <v>2</v>
      </c>
      <c r="O26" s="86">
        <v>1860000</v>
      </c>
      <c r="P26" s="86">
        <v>34418385.263999999</v>
      </c>
      <c r="Q26" s="86">
        <v>18907200</v>
      </c>
      <c r="R26" s="87">
        <v>55185585.263999999</v>
      </c>
      <c r="S26" s="73" t="s">
        <v>43</v>
      </c>
      <c r="T26" s="88"/>
      <c r="U26" s="77"/>
      <c r="V26" s="89"/>
      <c r="W26" s="90"/>
      <c r="X26" s="81"/>
      <c r="Y26" s="81"/>
      <c r="Z26" s="81"/>
      <c r="AA26" s="81"/>
      <c r="AB26" s="81"/>
      <c r="AC26" s="81"/>
      <c r="AD26" s="81"/>
      <c r="AE26" s="81"/>
    </row>
    <row r="27" spans="1:31" s="1" customFormat="1" ht="15.75">
      <c r="A27" s="82">
        <v>26</v>
      </c>
      <c r="B27" s="83" t="s">
        <v>38</v>
      </c>
      <c r="C27" s="73" t="s">
        <v>39</v>
      </c>
      <c r="D27" s="73" t="s">
        <v>83</v>
      </c>
      <c r="E27" s="84" t="s">
        <v>104</v>
      </c>
      <c r="F27" s="84"/>
      <c r="G27" s="84"/>
      <c r="H27" s="85">
        <v>28</v>
      </c>
      <c r="I27" s="73" t="s">
        <v>42</v>
      </c>
      <c r="J27" s="74">
        <v>15</v>
      </c>
      <c r="K27" s="73">
        <v>2</v>
      </c>
      <c r="L27" s="73">
        <v>3</v>
      </c>
      <c r="M27" s="73">
        <v>0</v>
      </c>
      <c r="N27" s="73">
        <v>0</v>
      </c>
      <c r="O27" s="86">
        <v>1680000</v>
      </c>
      <c r="P27" s="86">
        <v>42961068.167999998</v>
      </c>
      <c r="Q27" s="86">
        <v>0</v>
      </c>
      <c r="R27" s="87">
        <v>44641068.167999998</v>
      </c>
      <c r="S27" s="73" t="s">
        <v>43</v>
      </c>
      <c r="T27" s="88" t="s">
        <v>105</v>
      </c>
      <c r="U27" s="77" t="s">
        <v>106</v>
      </c>
      <c r="V27" s="89"/>
      <c r="W27" s="90" t="s">
        <v>107</v>
      </c>
      <c r="X27" s="81"/>
      <c r="Y27" s="81"/>
      <c r="Z27" s="81"/>
      <c r="AA27" s="81"/>
      <c r="AB27" s="81"/>
      <c r="AC27" s="81"/>
      <c r="AD27" s="81"/>
      <c r="AE27" s="81"/>
    </row>
    <row r="28" spans="1:31" s="1" customFormat="1" ht="15.75">
      <c r="A28" s="82">
        <v>27</v>
      </c>
      <c r="B28" s="83" t="s">
        <v>38</v>
      </c>
      <c r="C28" s="73" t="s">
        <v>39</v>
      </c>
      <c r="D28" s="73" t="s">
        <v>108</v>
      </c>
      <c r="E28" s="84" t="s">
        <v>109</v>
      </c>
      <c r="F28" s="84"/>
      <c r="G28" s="84"/>
      <c r="H28" s="85">
        <v>50</v>
      </c>
      <c r="I28" s="73">
        <v>8</v>
      </c>
      <c r="J28" s="74">
        <v>12</v>
      </c>
      <c r="K28" s="73">
        <v>4</v>
      </c>
      <c r="L28" s="73">
        <v>2</v>
      </c>
      <c r="M28" s="73">
        <v>0</v>
      </c>
      <c r="N28" s="73">
        <v>1</v>
      </c>
      <c r="O28" s="86">
        <v>2400000</v>
      </c>
      <c r="P28" s="86">
        <v>20118962.807999998</v>
      </c>
      <c r="Q28" s="86">
        <v>606000</v>
      </c>
      <c r="R28" s="87">
        <v>23124962.807999998</v>
      </c>
      <c r="S28" s="73" t="s">
        <v>43</v>
      </c>
      <c r="T28" s="88" t="s">
        <v>110</v>
      </c>
      <c r="U28" s="77" t="s">
        <v>111</v>
      </c>
      <c r="V28" s="89"/>
      <c r="W28" s="90" t="s">
        <v>112</v>
      </c>
      <c r="X28" s="81"/>
      <c r="Y28" s="81"/>
      <c r="Z28" s="81"/>
      <c r="AA28" s="81"/>
      <c r="AB28" s="81"/>
      <c r="AC28" s="81"/>
      <c r="AD28" s="81"/>
      <c r="AE28" s="81"/>
    </row>
    <row r="29" spans="1:31" s="1" customFormat="1" ht="15.75">
      <c r="A29" s="82">
        <v>28</v>
      </c>
      <c r="B29" s="83" t="s">
        <v>38</v>
      </c>
      <c r="C29" s="73" t="s">
        <v>39</v>
      </c>
      <c r="D29" s="73" t="s">
        <v>108</v>
      </c>
      <c r="E29" s="84" t="s">
        <v>113</v>
      </c>
      <c r="F29" s="84"/>
      <c r="G29" s="84"/>
      <c r="H29" s="85">
        <v>45</v>
      </c>
      <c r="I29" s="73" t="s">
        <v>42</v>
      </c>
      <c r="J29" s="74">
        <v>8</v>
      </c>
      <c r="K29" s="73">
        <v>1</v>
      </c>
      <c r="L29" s="73">
        <v>4</v>
      </c>
      <c r="M29" s="73">
        <v>0</v>
      </c>
      <c r="N29" s="73">
        <v>0</v>
      </c>
      <c r="O29" s="86">
        <v>1440000</v>
      </c>
      <c r="P29" s="86">
        <v>13334755.199999999</v>
      </c>
      <c r="Q29" s="86">
        <v>1515000</v>
      </c>
      <c r="R29" s="87">
        <v>16289755.199999999</v>
      </c>
      <c r="S29" s="73" t="s">
        <v>43</v>
      </c>
      <c r="T29" s="88"/>
      <c r="U29" s="77" t="s">
        <v>114</v>
      </c>
      <c r="V29" s="89"/>
      <c r="W29" s="90"/>
      <c r="X29" s="81"/>
      <c r="Y29" s="81"/>
      <c r="Z29" s="81"/>
      <c r="AA29" s="81"/>
      <c r="AB29" s="81"/>
      <c r="AC29" s="81"/>
      <c r="AD29" s="81"/>
      <c r="AE29" s="81"/>
    </row>
    <row r="30" spans="1:31" s="1" customFormat="1" ht="15.75">
      <c r="A30" s="82">
        <v>29</v>
      </c>
      <c r="B30" s="83" t="s">
        <v>38</v>
      </c>
      <c r="C30" s="73" t="s">
        <v>39</v>
      </c>
      <c r="D30" s="73" t="s">
        <v>108</v>
      </c>
      <c r="E30" s="84" t="s">
        <v>115</v>
      </c>
      <c r="F30" s="84"/>
      <c r="G30" s="84"/>
      <c r="H30" s="85">
        <v>50</v>
      </c>
      <c r="I30" s="73" t="s">
        <v>42</v>
      </c>
      <c r="J30" s="74">
        <v>8</v>
      </c>
      <c r="K30" s="73">
        <v>2</v>
      </c>
      <c r="L30" s="73">
        <v>1</v>
      </c>
      <c r="M30" s="73">
        <v>0</v>
      </c>
      <c r="N30" s="73">
        <v>0</v>
      </c>
      <c r="O30" s="86">
        <v>1600000</v>
      </c>
      <c r="P30" s="86">
        <v>8495347.5839999989</v>
      </c>
      <c r="Q30" s="86">
        <v>0</v>
      </c>
      <c r="R30" s="87">
        <v>10095347.583999999</v>
      </c>
      <c r="S30" s="73" t="s">
        <v>43</v>
      </c>
      <c r="T30" s="88"/>
      <c r="U30" s="77" t="s">
        <v>116</v>
      </c>
      <c r="V30" s="89"/>
      <c r="W30" s="90"/>
      <c r="X30" s="81"/>
      <c r="Y30" s="81"/>
      <c r="Z30" s="81"/>
      <c r="AA30" s="81"/>
      <c r="AB30" s="81"/>
      <c r="AC30" s="81"/>
      <c r="AD30" s="81"/>
      <c r="AE30" s="81"/>
    </row>
    <row r="31" spans="1:31" s="1" customFormat="1" ht="15.75">
      <c r="A31" s="82">
        <v>30</v>
      </c>
      <c r="B31" s="83" t="s">
        <v>38</v>
      </c>
      <c r="C31" s="73" t="s">
        <v>39</v>
      </c>
      <c r="D31" s="73" t="s">
        <v>117</v>
      </c>
      <c r="E31" s="84" t="s">
        <v>118</v>
      </c>
      <c r="F31" s="84"/>
      <c r="G31" s="84"/>
      <c r="H31" s="85">
        <v>42</v>
      </c>
      <c r="I31" s="73" t="s">
        <v>42</v>
      </c>
      <c r="J31" s="74">
        <v>12</v>
      </c>
      <c r="K31" s="73">
        <v>4</v>
      </c>
      <c r="L31" s="73">
        <v>9</v>
      </c>
      <c r="M31" s="73">
        <v>1</v>
      </c>
      <c r="N31" s="73">
        <v>0</v>
      </c>
      <c r="O31" s="86">
        <v>2016000</v>
      </c>
      <c r="P31" s="86">
        <v>15035752.799999999</v>
      </c>
      <c r="Q31" s="86">
        <v>6767000</v>
      </c>
      <c r="R31" s="87">
        <v>23818752.799999997</v>
      </c>
      <c r="S31" s="73" t="s">
        <v>43</v>
      </c>
      <c r="T31" s="88" t="s">
        <v>119</v>
      </c>
      <c r="U31" s="77"/>
      <c r="V31" s="89"/>
      <c r="W31" s="90" t="s">
        <v>120</v>
      </c>
      <c r="X31" s="81"/>
      <c r="Y31" s="81"/>
      <c r="Z31" s="81"/>
      <c r="AA31" s="81"/>
      <c r="AB31" s="81"/>
      <c r="AC31" s="81"/>
      <c r="AD31" s="81"/>
      <c r="AE31" s="81"/>
    </row>
    <row r="32" spans="1:31" s="1" customFormat="1" ht="27">
      <c r="A32" s="82">
        <v>31</v>
      </c>
      <c r="B32" s="83" t="s">
        <v>38</v>
      </c>
      <c r="C32" s="73" t="s">
        <v>39</v>
      </c>
      <c r="D32" s="73" t="s">
        <v>121</v>
      </c>
      <c r="E32" s="84" t="s">
        <v>122</v>
      </c>
      <c r="F32" s="84"/>
      <c r="G32" s="84"/>
      <c r="H32" s="85" t="s">
        <v>123</v>
      </c>
      <c r="I32" s="73" t="s">
        <v>42</v>
      </c>
      <c r="J32" s="74">
        <v>6</v>
      </c>
      <c r="K32" s="73">
        <v>14</v>
      </c>
      <c r="L32" s="73">
        <v>0</v>
      </c>
      <c r="M32" s="73">
        <v>0</v>
      </c>
      <c r="N32" s="73">
        <v>0</v>
      </c>
      <c r="O32" s="86">
        <v>3840000</v>
      </c>
      <c r="P32" s="86">
        <v>0</v>
      </c>
      <c r="Q32" s="86">
        <v>0</v>
      </c>
      <c r="R32" s="87">
        <v>3840000</v>
      </c>
      <c r="S32" s="73" t="s">
        <v>43</v>
      </c>
      <c r="T32" s="88" t="s">
        <v>124</v>
      </c>
      <c r="U32" s="77" t="s">
        <v>125</v>
      </c>
      <c r="V32" s="89"/>
      <c r="W32" s="90" t="s">
        <v>126</v>
      </c>
      <c r="X32" s="81"/>
      <c r="Y32" s="81"/>
      <c r="Z32" s="81"/>
      <c r="AA32" s="81"/>
      <c r="AB32" s="81"/>
      <c r="AC32" s="81"/>
      <c r="AD32" s="81"/>
      <c r="AE32" s="81"/>
    </row>
    <row r="33" spans="1:31" s="1" customFormat="1" ht="15.75">
      <c r="A33" s="82">
        <v>32</v>
      </c>
      <c r="B33" s="83" t="s">
        <v>38</v>
      </c>
      <c r="C33" s="73" t="s">
        <v>39</v>
      </c>
      <c r="D33" s="73" t="s">
        <v>121</v>
      </c>
      <c r="E33" s="84" t="s">
        <v>127</v>
      </c>
      <c r="F33" s="84"/>
      <c r="G33" s="84"/>
      <c r="H33" s="85">
        <v>25</v>
      </c>
      <c r="I33" s="73">
        <v>3</v>
      </c>
      <c r="J33" s="74">
        <v>5</v>
      </c>
      <c r="K33" s="73">
        <v>2</v>
      </c>
      <c r="L33" s="73">
        <v>6</v>
      </c>
      <c r="M33" s="73">
        <v>0</v>
      </c>
      <c r="N33" s="73">
        <v>0</v>
      </c>
      <c r="O33" s="86">
        <v>500000</v>
      </c>
      <c r="P33" s="86">
        <v>29218320</v>
      </c>
      <c r="Q33" s="86">
        <v>9090000</v>
      </c>
      <c r="R33" s="87">
        <v>38808320</v>
      </c>
      <c r="S33" s="73"/>
      <c r="T33" s="88"/>
      <c r="U33" s="77"/>
      <c r="V33" s="89"/>
      <c r="W33" s="90"/>
      <c r="X33" s="81"/>
      <c r="Y33" s="81"/>
      <c r="Z33" s="81"/>
      <c r="AA33" s="81"/>
      <c r="AB33" s="81"/>
      <c r="AC33" s="81"/>
      <c r="AD33" s="81"/>
      <c r="AE33" s="81"/>
    </row>
    <row r="34" spans="1:31" s="1" customFormat="1" ht="15.75">
      <c r="A34" s="82">
        <v>33</v>
      </c>
      <c r="B34" s="83" t="s">
        <v>38</v>
      </c>
      <c r="C34" s="73" t="s">
        <v>39</v>
      </c>
      <c r="D34" s="73" t="s">
        <v>121</v>
      </c>
      <c r="E34" s="84" t="s">
        <v>128</v>
      </c>
      <c r="F34" s="84"/>
      <c r="G34" s="84"/>
      <c r="H34" s="85" t="s">
        <v>129</v>
      </c>
      <c r="I34" s="73" t="s">
        <v>42</v>
      </c>
      <c r="J34" s="74">
        <v>9</v>
      </c>
      <c r="K34" s="73">
        <v>6</v>
      </c>
      <c r="L34" s="73">
        <v>0</v>
      </c>
      <c r="M34" s="73">
        <v>0</v>
      </c>
      <c r="N34" s="73">
        <v>0</v>
      </c>
      <c r="O34" s="86">
        <v>3900000</v>
      </c>
      <c r="P34" s="86">
        <v>78573487</v>
      </c>
      <c r="Q34" s="86">
        <v>0</v>
      </c>
      <c r="R34" s="87">
        <v>82473487</v>
      </c>
      <c r="S34" s="73" t="s">
        <v>43</v>
      </c>
      <c r="T34" s="88" t="s">
        <v>130</v>
      </c>
      <c r="U34" s="77" t="s">
        <v>131</v>
      </c>
      <c r="V34" s="89"/>
      <c r="W34" s="90"/>
      <c r="X34" s="81"/>
      <c r="Y34" s="81"/>
      <c r="Z34" s="81"/>
      <c r="AA34" s="81"/>
      <c r="AB34" s="81"/>
      <c r="AC34" s="81"/>
      <c r="AD34" s="81"/>
      <c r="AE34" s="81"/>
    </row>
    <row r="35" spans="1:31" s="1" customFormat="1" ht="15.75">
      <c r="A35" s="82">
        <v>34</v>
      </c>
      <c r="B35" s="83" t="s">
        <v>38</v>
      </c>
      <c r="C35" s="73" t="s">
        <v>39</v>
      </c>
      <c r="D35" s="73" t="s">
        <v>121</v>
      </c>
      <c r="E35" s="84" t="s">
        <v>132</v>
      </c>
      <c r="F35" s="84"/>
      <c r="G35" s="84"/>
      <c r="H35" s="85">
        <v>16</v>
      </c>
      <c r="I35" s="73">
        <v>4</v>
      </c>
      <c r="J35" s="74">
        <v>8</v>
      </c>
      <c r="K35" s="73">
        <v>0</v>
      </c>
      <c r="L35" s="73">
        <v>1</v>
      </c>
      <c r="M35" s="73">
        <v>0</v>
      </c>
      <c r="N35" s="73">
        <v>0</v>
      </c>
      <c r="O35" s="86">
        <v>512000</v>
      </c>
      <c r="P35" s="86">
        <v>9650440.7999999989</v>
      </c>
      <c r="Q35" s="86">
        <v>0</v>
      </c>
      <c r="R35" s="87">
        <v>10162440.799999999</v>
      </c>
      <c r="S35" s="73" t="s">
        <v>43</v>
      </c>
      <c r="T35" s="88"/>
      <c r="U35" s="77"/>
      <c r="V35" s="89"/>
      <c r="W35" s="90"/>
      <c r="X35" s="81"/>
      <c r="Y35" s="81"/>
      <c r="Z35" s="81"/>
      <c r="AA35" s="81"/>
      <c r="AB35" s="81"/>
      <c r="AC35" s="81"/>
      <c r="AD35" s="81"/>
      <c r="AE35" s="81"/>
    </row>
    <row r="36" spans="1:31" s="1" customFormat="1" ht="15.75">
      <c r="A36" s="82">
        <v>35</v>
      </c>
      <c r="B36" s="83" t="s">
        <v>38</v>
      </c>
      <c r="C36" s="73" t="s">
        <v>39</v>
      </c>
      <c r="D36" s="73" t="s">
        <v>133</v>
      </c>
      <c r="E36" s="84" t="s">
        <v>134</v>
      </c>
      <c r="F36" s="84"/>
      <c r="G36" s="84"/>
      <c r="H36" s="85" t="s">
        <v>129</v>
      </c>
      <c r="I36" s="73">
        <v>5</v>
      </c>
      <c r="J36" s="74">
        <v>6</v>
      </c>
      <c r="K36" s="73">
        <v>2</v>
      </c>
      <c r="L36" s="73">
        <v>4</v>
      </c>
      <c r="M36" s="73">
        <v>0</v>
      </c>
      <c r="N36" s="73">
        <v>0</v>
      </c>
      <c r="O36" s="86">
        <v>3600000</v>
      </c>
      <c r="P36" s="86">
        <v>4431600</v>
      </c>
      <c r="Q36" s="86">
        <v>0</v>
      </c>
      <c r="R36" s="87">
        <v>8031600</v>
      </c>
      <c r="S36" s="73" t="s">
        <v>43</v>
      </c>
      <c r="T36" s="88" t="s">
        <v>135</v>
      </c>
      <c r="U36" s="77"/>
      <c r="V36" s="89"/>
      <c r="W36" s="90" t="s">
        <v>136</v>
      </c>
      <c r="X36" s="81"/>
      <c r="Y36" s="81"/>
      <c r="Z36" s="81"/>
      <c r="AA36" s="81"/>
      <c r="AB36" s="81"/>
      <c r="AC36" s="81"/>
      <c r="AD36" s="81"/>
      <c r="AE36" s="81"/>
    </row>
    <row r="37" spans="1:31" s="1" customFormat="1" ht="15.75">
      <c r="A37" s="82">
        <v>36</v>
      </c>
      <c r="B37" s="83" t="s">
        <v>38</v>
      </c>
      <c r="C37" s="73" t="s">
        <v>39</v>
      </c>
      <c r="D37" s="73" t="s">
        <v>137</v>
      </c>
      <c r="E37" s="84" t="s">
        <v>138</v>
      </c>
      <c r="F37" s="84"/>
      <c r="G37" s="84"/>
      <c r="H37" s="85">
        <v>50</v>
      </c>
      <c r="I37" s="73">
        <v>4</v>
      </c>
      <c r="J37" s="74">
        <v>8</v>
      </c>
      <c r="K37" s="73">
        <v>5</v>
      </c>
      <c r="L37" s="73">
        <v>5</v>
      </c>
      <c r="M37" s="73">
        <v>0</v>
      </c>
      <c r="N37" s="73">
        <v>1</v>
      </c>
      <c r="O37" s="86">
        <v>1600000</v>
      </c>
      <c r="P37" s="86">
        <v>29199780.071999997</v>
      </c>
      <c r="Q37" s="86">
        <v>2908800</v>
      </c>
      <c r="R37" s="87">
        <v>33708580.071999997</v>
      </c>
      <c r="S37" s="73"/>
      <c r="T37" s="88"/>
      <c r="U37" s="77"/>
      <c r="V37" s="89"/>
      <c r="W37" s="90"/>
      <c r="X37" s="81"/>
      <c r="Y37" s="81"/>
      <c r="Z37" s="81"/>
      <c r="AA37" s="81"/>
      <c r="AB37" s="81"/>
      <c r="AC37" s="81"/>
      <c r="AD37" s="81"/>
      <c r="AE37" s="81"/>
    </row>
    <row r="38" spans="1:31" s="1" customFormat="1" ht="15.75">
      <c r="A38" s="82">
        <v>37</v>
      </c>
      <c r="B38" s="83" t="s">
        <v>38</v>
      </c>
      <c r="C38" s="73" t="s">
        <v>39</v>
      </c>
      <c r="D38" s="73" t="s">
        <v>137</v>
      </c>
      <c r="E38" s="84" t="s">
        <v>139</v>
      </c>
      <c r="F38" s="84"/>
      <c r="G38" s="84"/>
      <c r="H38" s="85">
        <v>50</v>
      </c>
      <c r="I38" s="73" t="s">
        <v>140</v>
      </c>
      <c r="J38" s="74">
        <v>8</v>
      </c>
      <c r="K38" s="73">
        <v>0</v>
      </c>
      <c r="L38" s="73">
        <v>3</v>
      </c>
      <c r="M38" s="73">
        <v>0</v>
      </c>
      <c r="N38" s="73">
        <v>0</v>
      </c>
      <c r="O38" s="86">
        <v>1600000</v>
      </c>
      <c r="P38" s="86">
        <v>2375683.1999999997</v>
      </c>
      <c r="Q38" s="86">
        <v>0</v>
      </c>
      <c r="R38" s="87">
        <v>3975683.1999999997</v>
      </c>
      <c r="S38" s="73" t="s">
        <v>43</v>
      </c>
      <c r="T38" s="88" t="s">
        <v>141</v>
      </c>
      <c r="U38" s="77" t="s">
        <v>142</v>
      </c>
      <c r="V38" s="89"/>
      <c r="W38" s="90" t="s">
        <v>143</v>
      </c>
      <c r="X38" s="81"/>
      <c r="Y38" s="81"/>
      <c r="Z38" s="81"/>
      <c r="AA38" s="81"/>
      <c r="AB38" s="81"/>
      <c r="AC38" s="81"/>
      <c r="AD38" s="81"/>
      <c r="AE38" s="81"/>
    </row>
    <row r="39" spans="1:31" s="1" customFormat="1" ht="27">
      <c r="A39" s="82">
        <v>38</v>
      </c>
      <c r="B39" s="83" t="s">
        <v>38</v>
      </c>
      <c r="C39" s="73" t="s">
        <v>39</v>
      </c>
      <c r="D39" s="73" t="s">
        <v>137</v>
      </c>
      <c r="E39" s="84" t="s">
        <v>144</v>
      </c>
      <c r="F39" s="84"/>
      <c r="G39" s="84"/>
      <c r="H39" s="85">
        <v>40</v>
      </c>
      <c r="I39" s="73" t="s">
        <v>42</v>
      </c>
      <c r="J39" s="74">
        <v>8</v>
      </c>
      <c r="K39" s="73">
        <v>1</v>
      </c>
      <c r="L39" s="73">
        <v>2</v>
      </c>
      <c r="M39" s="73">
        <v>0</v>
      </c>
      <c r="N39" s="73">
        <v>1</v>
      </c>
      <c r="O39" s="86"/>
      <c r="P39" s="86"/>
      <c r="Q39" s="86"/>
      <c r="R39" s="87"/>
      <c r="S39" s="73" t="s">
        <v>145</v>
      </c>
      <c r="T39" s="88" t="s">
        <v>146</v>
      </c>
      <c r="U39" s="77"/>
      <c r="V39" s="89"/>
      <c r="W39" s="90"/>
      <c r="X39" s="81"/>
      <c r="Y39" s="81"/>
      <c r="Z39" s="81"/>
      <c r="AA39" s="81"/>
      <c r="AB39" s="81"/>
      <c r="AC39" s="81"/>
      <c r="AD39" s="81"/>
      <c r="AE39" s="81"/>
    </row>
    <row r="40" spans="1:31" s="1" customFormat="1" ht="27">
      <c r="A40" s="82">
        <v>39</v>
      </c>
      <c r="B40" s="83" t="s">
        <v>38</v>
      </c>
      <c r="C40" s="73" t="s">
        <v>39</v>
      </c>
      <c r="D40" s="73" t="s">
        <v>147</v>
      </c>
      <c r="E40" s="84" t="s">
        <v>148</v>
      </c>
      <c r="F40" s="84"/>
      <c r="G40" s="84"/>
      <c r="H40" s="85" t="s">
        <v>149</v>
      </c>
      <c r="I40" s="73">
        <v>4.5</v>
      </c>
      <c r="J40" s="74">
        <v>8</v>
      </c>
      <c r="K40" s="73">
        <v>6</v>
      </c>
      <c r="L40" s="73">
        <v>0</v>
      </c>
      <c r="M40" s="73">
        <v>0</v>
      </c>
      <c r="N40" s="73">
        <v>0</v>
      </c>
      <c r="O40" s="86">
        <v>2560000</v>
      </c>
      <c r="P40" s="86">
        <v>0</v>
      </c>
      <c r="Q40" s="86">
        <v>0</v>
      </c>
      <c r="R40" s="87">
        <v>2560000</v>
      </c>
      <c r="S40" s="73" t="s">
        <v>43</v>
      </c>
      <c r="T40" s="88" t="s">
        <v>150</v>
      </c>
      <c r="U40" s="77" t="s">
        <v>151</v>
      </c>
      <c r="V40" s="89"/>
      <c r="W40" s="90" t="s">
        <v>152</v>
      </c>
      <c r="X40" s="81"/>
      <c r="Y40" s="81"/>
      <c r="Z40" s="81"/>
      <c r="AA40" s="81"/>
      <c r="AB40" s="81"/>
      <c r="AC40" s="81"/>
      <c r="AD40" s="81"/>
      <c r="AE40" s="81"/>
    </row>
    <row r="41" spans="1:31" s="1" customFormat="1" ht="27">
      <c r="A41" s="82">
        <v>40</v>
      </c>
      <c r="B41" s="83" t="s">
        <v>38</v>
      </c>
      <c r="C41" s="73" t="s">
        <v>39</v>
      </c>
      <c r="D41" s="73" t="s">
        <v>147</v>
      </c>
      <c r="E41" s="84" t="s">
        <v>153</v>
      </c>
      <c r="F41" s="84"/>
      <c r="G41" s="84"/>
      <c r="H41" s="85">
        <v>5</v>
      </c>
      <c r="I41" s="73" t="s">
        <v>42</v>
      </c>
      <c r="J41" s="74">
        <v>8</v>
      </c>
      <c r="K41" s="73">
        <v>0</v>
      </c>
      <c r="L41" s="73">
        <v>1</v>
      </c>
      <c r="M41" s="73">
        <v>0</v>
      </c>
      <c r="N41" s="73">
        <v>0</v>
      </c>
      <c r="O41" s="86">
        <v>160000</v>
      </c>
      <c r="P41" s="86">
        <v>2169600</v>
      </c>
      <c r="Q41" s="86">
        <v>60600</v>
      </c>
      <c r="R41" s="87">
        <v>2390200</v>
      </c>
      <c r="S41" s="73" t="s">
        <v>43</v>
      </c>
      <c r="T41" s="88" t="s">
        <v>154</v>
      </c>
      <c r="U41" s="77" t="s">
        <v>155</v>
      </c>
      <c r="V41" s="89"/>
      <c r="W41" s="90" t="s">
        <v>152</v>
      </c>
      <c r="X41" s="81"/>
      <c r="Y41" s="81"/>
      <c r="Z41" s="81"/>
      <c r="AA41" s="81"/>
      <c r="AB41" s="81"/>
      <c r="AC41" s="81"/>
      <c r="AD41" s="81"/>
      <c r="AE41" s="81"/>
    </row>
    <row r="42" spans="1:31" s="1" customFormat="1" ht="15.75">
      <c r="A42" s="82">
        <v>41</v>
      </c>
      <c r="B42" s="83" t="s">
        <v>38</v>
      </c>
      <c r="C42" s="73" t="s">
        <v>39</v>
      </c>
      <c r="D42" s="73" t="s">
        <v>147</v>
      </c>
      <c r="E42" s="84" t="s">
        <v>156</v>
      </c>
      <c r="F42" s="84"/>
      <c r="G42" s="84"/>
      <c r="H42" s="85">
        <v>11</v>
      </c>
      <c r="I42" s="73" t="s">
        <v>42</v>
      </c>
      <c r="J42" s="74">
        <v>8</v>
      </c>
      <c r="K42" s="73">
        <v>3</v>
      </c>
      <c r="L42" s="73">
        <v>2</v>
      </c>
      <c r="M42" s="73">
        <v>0</v>
      </c>
      <c r="N42" s="73">
        <v>0</v>
      </c>
      <c r="O42" s="86">
        <v>352000</v>
      </c>
      <c r="P42" s="86">
        <v>4720000</v>
      </c>
      <c r="Q42" s="86">
        <v>0</v>
      </c>
      <c r="R42" s="87">
        <v>5072000</v>
      </c>
      <c r="S42" s="73" t="s">
        <v>43</v>
      </c>
      <c r="T42" s="88"/>
      <c r="U42" s="77"/>
      <c r="V42" s="89"/>
      <c r="W42" s="90"/>
      <c r="X42" s="81"/>
      <c r="Y42" s="81"/>
      <c r="Z42" s="81"/>
      <c r="AA42" s="81"/>
      <c r="AB42" s="81"/>
      <c r="AC42" s="81"/>
      <c r="AD42" s="81"/>
      <c r="AE42" s="81"/>
    </row>
    <row r="43" spans="1:31" s="1" customFormat="1" ht="15.75">
      <c r="A43" s="82">
        <v>42</v>
      </c>
      <c r="B43" s="83" t="s">
        <v>38</v>
      </c>
      <c r="C43" s="73" t="s">
        <v>39</v>
      </c>
      <c r="D43" s="73" t="s">
        <v>147</v>
      </c>
      <c r="E43" s="84" t="s">
        <v>157</v>
      </c>
      <c r="F43" s="84"/>
      <c r="G43" s="84"/>
      <c r="H43" s="85">
        <v>31</v>
      </c>
      <c r="I43" s="73" t="s">
        <v>42</v>
      </c>
      <c r="J43" s="74">
        <v>7</v>
      </c>
      <c r="K43" s="73">
        <v>1</v>
      </c>
      <c r="L43" s="73">
        <v>1</v>
      </c>
      <c r="M43" s="73">
        <v>0</v>
      </c>
      <c r="N43" s="73">
        <v>0</v>
      </c>
      <c r="O43" s="86">
        <v>868000</v>
      </c>
      <c r="P43" s="86">
        <v>8910000</v>
      </c>
      <c r="Q43" s="86">
        <v>200000</v>
      </c>
      <c r="R43" s="87">
        <v>9978000</v>
      </c>
      <c r="S43" s="73" t="s">
        <v>43</v>
      </c>
      <c r="T43" s="88"/>
      <c r="U43" s="77" t="s">
        <v>158</v>
      </c>
      <c r="V43" s="89"/>
      <c r="W43" s="90"/>
      <c r="X43" s="81"/>
      <c r="Y43" s="81"/>
      <c r="Z43" s="81"/>
      <c r="AA43" s="81"/>
      <c r="AB43" s="81"/>
      <c r="AC43" s="81"/>
      <c r="AD43" s="81"/>
      <c r="AE43" s="81"/>
    </row>
    <row r="44" spans="1:31" s="1" customFormat="1" ht="15.75">
      <c r="A44" s="82">
        <v>43</v>
      </c>
      <c r="B44" s="83" t="s">
        <v>38</v>
      </c>
      <c r="C44" s="73" t="s">
        <v>39</v>
      </c>
      <c r="D44" s="73" t="s">
        <v>147</v>
      </c>
      <c r="E44" s="84" t="s">
        <v>159</v>
      </c>
      <c r="F44" s="84"/>
      <c r="G44" s="84"/>
      <c r="H44" s="85">
        <v>23</v>
      </c>
      <c r="I44" s="73" t="s">
        <v>42</v>
      </c>
      <c r="J44" s="74">
        <v>7</v>
      </c>
      <c r="K44" s="73">
        <v>0</v>
      </c>
      <c r="L44" s="73">
        <v>5</v>
      </c>
      <c r="M44" s="73">
        <v>2</v>
      </c>
      <c r="N44" s="73">
        <v>0</v>
      </c>
      <c r="O44" s="86">
        <v>736000</v>
      </c>
      <c r="P44" s="86">
        <v>21230000</v>
      </c>
      <c r="Q44" s="86">
        <v>343400</v>
      </c>
      <c r="R44" s="87">
        <v>22309400</v>
      </c>
      <c r="S44" s="73"/>
      <c r="T44" s="88"/>
      <c r="U44" s="77" t="s">
        <v>151</v>
      </c>
      <c r="V44" s="89"/>
      <c r="W44" s="90"/>
      <c r="X44" s="81"/>
      <c r="Y44" s="81"/>
      <c r="Z44" s="81"/>
      <c r="AA44" s="81"/>
      <c r="AB44" s="81"/>
      <c r="AC44" s="81"/>
      <c r="AD44" s="81"/>
      <c r="AE44" s="81"/>
    </row>
    <row r="45" spans="1:31" s="1" customFormat="1" ht="27">
      <c r="A45" s="82">
        <v>44</v>
      </c>
      <c r="B45" s="83" t="s">
        <v>38</v>
      </c>
      <c r="C45" s="73" t="s">
        <v>39</v>
      </c>
      <c r="D45" s="73" t="s">
        <v>160</v>
      </c>
      <c r="E45" s="84" t="s">
        <v>161</v>
      </c>
      <c r="F45" s="84" t="s">
        <v>162</v>
      </c>
      <c r="G45" s="84" t="s">
        <v>163</v>
      </c>
      <c r="H45" s="85">
        <v>20</v>
      </c>
      <c r="I45" s="73" t="s">
        <v>164</v>
      </c>
      <c r="J45" s="74">
        <v>8</v>
      </c>
      <c r="K45" s="73">
        <v>3</v>
      </c>
      <c r="L45" s="73">
        <v>5</v>
      </c>
      <c r="M45" s="73">
        <v>0</v>
      </c>
      <c r="N45" s="73">
        <v>0</v>
      </c>
      <c r="O45" s="86">
        <v>640000</v>
      </c>
      <c r="P45" s="86">
        <v>8065159.1999999993</v>
      </c>
      <c r="Q45" s="86">
        <v>0</v>
      </c>
      <c r="R45" s="87">
        <v>8705159.1999999993</v>
      </c>
      <c r="S45" s="73" t="s">
        <v>62</v>
      </c>
      <c r="T45" s="88" t="s">
        <v>165</v>
      </c>
      <c r="U45" s="77" t="s">
        <v>166</v>
      </c>
      <c r="V45" s="89"/>
      <c r="W45" s="90"/>
      <c r="X45" s="81"/>
      <c r="Y45" s="81"/>
      <c r="Z45" s="81"/>
      <c r="AA45" s="81"/>
      <c r="AB45" s="81"/>
      <c r="AC45" s="81"/>
      <c r="AD45" s="81"/>
      <c r="AE45" s="81"/>
    </row>
    <row r="46" spans="1:31" s="1" customFormat="1" ht="40.5">
      <c r="A46" s="82">
        <v>45</v>
      </c>
      <c r="B46" s="83" t="s">
        <v>38</v>
      </c>
      <c r="C46" s="73" t="s">
        <v>39</v>
      </c>
      <c r="D46" s="73" t="s">
        <v>167</v>
      </c>
      <c r="E46" s="84" t="s">
        <v>168</v>
      </c>
      <c r="F46" s="84"/>
      <c r="G46" s="84"/>
      <c r="H46" s="85">
        <v>38</v>
      </c>
      <c r="I46" s="73" t="s">
        <v>42</v>
      </c>
      <c r="J46" s="74">
        <v>8</v>
      </c>
      <c r="K46" s="73">
        <v>2</v>
      </c>
      <c r="L46" s="73">
        <v>1</v>
      </c>
      <c r="M46" s="73">
        <v>2</v>
      </c>
      <c r="N46" s="73">
        <v>2</v>
      </c>
      <c r="O46" s="86">
        <v>1216000</v>
      </c>
      <c r="P46" s="86">
        <v>2948107.1999999997</v>
      </c>
      <c r="Q46" s="86">
        <v>7231600</v>
      </c>
      <c r="R46" s="87">
        <v>11395707.199999999</v>
      </c>
      <c r="S46" s="73" t="s">
        <v>43</v>
      </c>
      <c r="T46" s="88" t="s">
        <v>169</v>
      </c>
      <c r="U46" s="77" t="s">
        <v>170</v>
      </c>
      <c r="V46" s="89"/>
      <c r="W46" s="90"/>
      <c r="X46" s="81"/>
      <c r="Y46" s="81"/>
      <c r="Z46" s="81"/>
      <c r="AA46" s="81"/>
      <c r="AB46" s="81"/>
      <c r="AC46" s="81"/>
      <c r="AD46" s="81"/>
      <c r="AE46" s="81"/>
    </row>
    <row r="47" spans="1:31" s="1" customFormat="1" ht="15.75">
      <c r="A47" s="82">
        <v>46</v>
      </c>
      <c r="B47" s="83" t="s">
        <v>38</v>
      </c>
      <c r="C47" s="73" t="s">
        <v>39</v>
      </c>
      <c r="D47" s="73" t="s">
        <v>171</v>
      </c>
      <c r="E47" s="84" t="s">
        <v>172</v>
      </c>
      <c r="F47" s="84"/>
      <c r="G47" s="84"/>
      <c r="H47" s="85">
        <v>40</v>
      </c>
      <c r="I47" s="73">
        <v>3.5</v>
      </c>
      <c r="J47" s="74">
        <v>6</v>
      </c>
      <c r="K47" s="73">
        <v>7</v>
      </c>
      <c r="L47" s="73">
        <v>2</v>
      </c>
      <c r="M47" s="73">
        <v>0</v>
      </c>
      <c r="N47" s="73">
        <v>0</v>
      </c>
      <c r="O47" s="86">
        <v>4110000</v>
      </c>
      <c r="P47" s="86">
        <v>2355600</v>
      </c>
      <c r="Q47" s="86">
        <v>0</v>
      </c>
      <c r="R47" s="87">
        <v>6465600</v>
      </c>
      <c r="S47" s="73"/>
      <c r="T47" s="88"/>
      <c r="U47" s="77"/>
      <c r="V47" s="89"/>
      <c r="W47" s="90"/>
      <c r="X47" s="81"/>
      <c r="Y47" s="81"/>
      <c r="Z47" s="81"/>
      <c r="AA47" s="81"/>
      <c r="AB47" s="81"/>
      <c r="AC47" s="81"/>
      <c r="AD47" s="81"/>
      <c r="AE47" s="81"/>
    </row>
    <row r="48" spans="1:31" s="1" customFormat="1" ht="40.5">
      <c r="A48" s="82">
        <v>47</v>
      </c>
      <c r="B48" s="83" t="s">
        <v>38</v>
      </c>
      <c r="C48" s="73" t="s">
        <v>39</v>
      </c>
      <c r="D48" s="73" t="s">
        <v>173</v>
      </c>
      <c r="E48" s="84" t="s">
        <v>174</v>
      </c>
      <c r="F48" s="84"/>
      <c r="G48" s="84"/>
      <c r="H48" s="85">
        <v>40</v>
      </c>
      <c r="I48" s="73" t="s">
        <v>42</v>
      </c>
      <c r="J48" s="74">
        <v>10</v>
      </c>
      <c r="K48" s="73">
        <v>8</v>
      </c>
      <c r="L48" s="73">
        <v>0</v>
      </c>
      <c r="M48" s="73">
        <v>0</v>
      </c>
      <c r="N48" s="73">
        <v>0</v>
      </c>
      <c r="O48" s="86">
        <v>1600000</v>
      </c>
      <c r="P48" s="86">
        <v>2431814</v>
      </c>
      <c r="Q48" s="86">
        <v>0</v>
      </c>
      <c r="R48" s="87">
        <v>4031814</v>
      </c>
      <c r="S48" s="73" t="s">
        <v>175</v>
      </c>
      <c r="T48" s="88" t="s">
        <v>176</v>
      </c>
      <c r="U48" s="77" t="s">
        <v>177</v>
      </c>
      <c r="V48" s="89"/>
      <c r="W48" s="90"/>
      <c r="X48" s="81"/>
      <c r="Y48" s="81"/>
      <c r="Z48" s="81"/>
      <c r="AA48" s="81"/>
      <c r="AB48" s="81"/>
      <c r="AC48" s="81"/>
      <c r="AD48" s="81"/>
      <c r="AE48" s="81"/>
    </row>
    <row r="49" spans="1:31" s="1" customFormat="1" ht="15.75">
      <c r="A49" s="82">
        <v>48</v>
      </c>
      <c r="B49" s="83">
        <v>106</v>
      </c>
      <c r="C49" s="73" t="s">
        <v>178</v>
      </c>
      <c r="D49" s="73" t="s">
        <v>40</v>
      </c>
      <c r="E49" s="84" t="s">
        <v>179</v>
      </c>
      <c r="F49" s="84"/>
      <c r="G49" s="84"/>
      <c r="H49" s="85">
        <v>400</v>
      </c>
      <c r="I49" s="73" t="s">
        <v>42</v>
      </c>
      <c r="J49" s="74">
        <v>8</v>
      </c>
      <c r="K49" s="73">
        <v>18</v>
      </c>
      <c r="L49" s="73">
        <v>27</v>
      </c>
      <c r="M49" s="73">
        <v>1</v>
      </c>
      <c r="N49" s="73">
        <v>0</v>
      </c>
      <c r="O49" s="86">
        <v>12800000</v>
      </c>
      <c r="P49" s="86">
        <v>238839000</v>
      </c>
      <c r="Q49" s="86"/>
      <c r="R49" s="87">
        <v>251639000</v>
      </c>
      <c r="S49" s="73"/>
      <c r="T49" s="88"/>
      <c r="U49" s="77"/>
      <c r="V49" s="89"/>
      <c r="W49" s="90"/>
      <c r="X49" s="81"/>
      <c r="Y49" s="81"/>
      <c r="Z49" s="81"/>
      <c r="AA49" s="81"/>
      <c r="AB49" s="81"/>
      <c r="AC49" s="81"/>
      <c r="AD49" s="81"/>
      <c r="AE49" s="81"/>
    </row>
    <row r="50" spans="1:31" s="1" customFormat="1" ht="15.75">
      <c r="A50" s="82">
        <v>49</v>
      </c>
      <c r="B50" s="83" t="s">
        <v>38</v>
      </c>
      <c r="C50" s="73" t="s">
        <v>178</v>
      </c>
      <c r="D50" s="73" t="s">
        <v>40</v>
      </c>
      <c r="E50" s="84" t="s">
        <v>180</v>
      </c>
      <c r="F50" s="84" t="s">
        <v>181</v>
      </c>
      <c r="G50" s="84" t="s">
        <v>182</v>
      </c>
      <c r="H50" s="85">
        <v>110</v>
      </c>
      <c r="I50" s="73" t="s">
        <v>42</v>
      </c>
      <c r="J50" s="74">
        <v>7</v>
      </c>
      <c r="K50" s="73">
        <v>8</v>
      </c>
      <c r="L50" s="73">
        <v>15</v>
      </c>
      <c r="M50" s="73">
        <v>0</v>
      </c>
      <c r="N50" s="73">
        <v>2</v>
      </c>
      <c r="O50" s="86">
        <v>3080000</v>
      </c>
      <c r="P50" s="86">
        <v>63387600</v>
      </c>
      <c r="Q50" s="86"/>
      <c r="R50" s="87">
        <v>66467600</v>
      </c>
      <c r="S50" s="73" t="s">
        <v>183</v>
      </c>
      <c r="T50" s="88" t="s">
        <v>184</v>
      </c>
      <c r="U50" s="77" t="s">
        <v>185</v>
      </c>
      <c r="V50" s="89"/>
      <c r="W50" s="90"/>
      <c r="X50" s="81"/>
      <c r="Y50" s="81"/>
      <c r="Z50" s="81"/>
      <c r="AA50" s="81"/>
      <c r="AB50" s="81"/>
      <c r="AC50" s="81"/>
      <c r="AD50" s="81"/>
      <c r="AE50" s="81"/>
    </row>
    <row r="51" spans="1:31" s="1" customFormat="1" ht="54">
      <c r="A51" s="82">
        <v>50</v>
      </c>
      <c r="B51" s="83" t="s">
        <v>38</v>
      </c>
      <c r="C51" s="73" t="s">
        <v>178</v>
      </c>
      <c r="D51" s="73" t="s">
        <v>40</v>
      </c>
      <c r="E51" s="84" t="s">
        <v>186</v>
      </c>
      <c r="F51" s="84" t="s">
        <v>187</v>
      </c>
      <c r="G51" s="84" t="s">
        <v>188</v>
      </c>
      <c r="H51" s="85">
        <v>260</v>
      </c>
      <c r="I51" s="73" t="s">
        <v>42</v>
      </c>
      <c r="J51" s="74">
        <v>12</v>
      </c>
      <c r="K51" s="73">
        <v>11</v>
      </c>
      <c r="L51" s="73">
        <v>12</v>
      </c>
      <c r="M51" s="73">
        <v>1</v>
      </c>
      <c r="N51" s="73">
        <v>0</v>
      </c>
      <c r="O51" s="86">
        <v>12480000</v>
      </c>
      <c r="P51" s="86">
        <v>121500000</v>
      </c>
      <c r="Q51" s="86"/>
      <c r="R51" s="87">
        <v>133980000</v>
      </c>
      <c r="S51" s="73" t="s">
        <v>189</v>
      </c>
      <c r="T51" s="88" t="s">
        <v>190</v>
      </c>
      <c r="U51" s="77" t="s">
        <v>191</v>
      </c>
      <c r="V51" s="89"/>
      <c r="W51" s="90"/>
      <c r="X51" s="81"/>
      <c r="Y51" s="81"/>
      <c r="Z51" s="81"/>
      <c r="AA51" s="81"/>
      <c r="AB51" s="81"/>
      <c r="AC51" s="81"/>
      <c r="AD51" s="81"/>
      <c r="AE51" s="81"/>
    </row>
    <row r="52" spans="1:31" s="1" customFormat="1" ht="54">
      <c r="A52" s="82">
        <v>51</v>
      </c>
      <c r="B52" s="83" t="s">
        <v>38</v>
      </c>
      <c r="C52" s="73" t="s">
        <v>178</v>
      </c>
      <c r="D52" s="73" t="s">
        <v>40</v>
      </c>
      <c r="E52" s="84" t="s">
        <v>192</v>
      </c>
      <c r="F52" s="84" t="s">
        <v>193</v>
      </c>
      <c r="G52" s="84" t="s">
        <v>194</v>
      </c>
      <c r="H52" s="85">
        <v>110</v>
      </c>
      <c r="I52" s="73" t="s">
        <v>42</v>
      </c>
      <c r="J52" s="74">
        <v>12</v>
      </c>
      <c r="K52" s="73">
        <v>12</v>
      </c>
      <c r="L52" s="73">
        <v>5</v>
      </c>
      <c r="M52" s="73">
        <v>0</v>
      </c>
      <c r="N52" s="73">
        <v>3</v>
      </c>
      <c r="O52" s="86">
        <v>5280000</v>
      </c>
      <c r="P52" s="86">
        <v>75697779.239999995</v>
      </c>
      <c r="Q52" s="86"/>
      <c r="R52" s="87">
        <v>80977779.239999995</v>
      </c>
      <c r="S52" s="73" t="s">
        <v>195</v>
      </c>
      <c r="T52" s="88" t="s">
        <v>196</v>
      </c>
      <c r="U52" s="77" t="s">
        <v>197</v>
      </c>
      <c r="V52" s="89"/>
      <c r="W52" s="90"/>
      <c r="X52" s="81"/>
      <c r="Y52" s="81"/>
      <c r="Z52" s="81"/>
      <c r="AA52" s="81"/>
      <c r="AB52" s="81"/>
      <c r="AC52" s="81"/>
      <c r="AD52" s="81"/>
      <c r="AE52" s="81"/>
    </row>
    <row r="53" spans="1:31" s="1" customFormat="1" ht="15.75">
      <c r="A53" s="82">
        <v>52</v>
      </c>
      <c r="B53" s="83" t="s">
        <v>38</v>
      </c>
      <c r="C53" s="73" t="s">
        <v>178</v>
      </c>
      <c r="D53" s="73" t="s">
        <v>40</v>
      </c>
      <c r="E53" s="84" t="s">
        <v>198</v>
      </c>
      <c r="F53" s="84"/>
      <c r="G53" s="84"/>
      <c r="H53" s="85">
        <v>420</v>
      </c>
      <c r="I53" s="73" t="s">
        <v>42</v>
      </c>
      <c r="J53" s="74">
        <v>8</v>
      </c>
      <c r="K53" s="73">
        <v>15</v>
      </c>
      <c r="L53" s="73">
        <v>12</v>
      </c>
      <c r="M53" s="73">
        <v>1</v>
      </c>
      <c r="N53" s="73">
        <v>0</v>
      </c>
      <c r="O53" s="86">
        <v>13440000</v>
      </c>
      <c r="P53" s="86">
        <v>233686845.85999998</v>
      </c>
      <c r="Q53" s="86"/>
      <c r="R53" s="87">
        <v>247126845.85999998</v>
      </c>
      <c r="S53" s="73"/>
      <c r="T53" s="88"/>
      <c r="U53" s="77"/>
      <c r="V53" s="89"/>
      <c r="W53" s="90"/>
      <c r="X53" s="81"/>
      <c r="Y53" s="81"/>
      <c r="Z53" s="81"/>
      <c r="AA53" s="81"/>
      <c r="AB53" s="81"/>
      <c r="AC53" s="81"/>
      <c r="AD53" s="81"/>
      <c r="AE53" s="81"/>
    </row>
    <row r="54" spans="1:31" s="1" customFormat="1" ht="15.75">
      <c r="A54" s="82">
        <v>53</v>
      </c>
      <c r="B54" s="83" t="s">
        <v>38</v>
      </c>
      <c r="C54" s="73" t="s">
        <v>178</v>
      </c>
      <c r="D54" s="73" t="s">
        <v>40</v>
      </c>
      <c r="E54" s="84" t="s">
        <v>199</v>
      </c>
      <c r="F54" s="84"/>
      <c r="G54" s="84"/>
      <c r="H54" s="85">
        <v>70</v>
      </c>
      <c r="I54" s="73" t="s">
        <v>200</v>
      </c>
      <c r="J54" s="74">
        <v>8</v>
      </c>
      <c r="K54" s="73">
        <v>4</v>
      </c>
      <c r="L54" s="73">
        <v>5</v>
      </c>
      <c r="M54" s="73">
        <v>0</v>
      </c>
      <c r="N54" s="73">
        <v>0</v>
      </c>
      <c r="O54" s="86">
        <v>560000</v>
      </c>
      <c r="P54" s="86">
        <v>7600320</v>
      </c>
      <c r="Q54" s="86"/>
      <c r="R54" s="87">
        <v>8160320</v>
      </c>
      <c r="S54" s="73"/>
      <c r="T54" s="88"/>
      <c r="U54" s="77"/>
      <c r="V54" s="89"/>
      <c r="W54" s="90"/>
      <c r="X54" s="81"/>
      <c r="Y54" s="81"/>
      <c r="Z54" s="81"/>
      <c r="AA54" s="81"/>
      <c r="AB54" s="81"/>
      <c r="AC54" s="81"/>
      <c r="AD54" s="81"/>
      <c r="AE54" s="81"/>
    </row>
    <row r="55" spans="1:31" s="1" customFormat="1" ht="15.75">
      <c r="A55" s="82">
        <v>54</v>
      </c>
      <c r="B55" s="83" t="s">
        <v>38</v>
      </c>
      <c r="C55" s="73" t="s">
        <v>178</v>
      </c>
      <c r="D55" s="73" t="s">
        <v>40</v>
      </c>
      <c r="E55" s="84" t="s">
        <v>201</v>
      </c>
      <c r="F55" s="84"/>
      <c r="G55" s="84"/>
      <c r="H55" s="85">
        <v>260</v>
      </c>
      <c r="I55" s="73" t="s">
        <v>42</v>
      </c>
      <c r="J55" s="74">
        <v>12</v>
      </c>
      <c r="K55" s="73">
        <v>7</v>
      </c>
      <c r="L55" s="73">
        <v>22</v>
      </c>
      <c r="M55" s="73">
        <v>0</v>
      </c>
      <c r="N55" s="73">
        <v>2</v>
      </c>
      <c r="O55" s="86">
        <v>12480000</v>
      </c>
      <c r="P55" s="86">
        <v>538179235.46000004</v>
      </c>
      <c r="Q55" s="86"/>
      <c r="R55" s="87">
        <v>550659235.46000004</v>
      </c>
      <c r="S55" s="73"/>
      <c r="T55" s="88"/>
      <c r="U55" s="77"/>
      <c r="V55" s="89"/>
      <c r="W55" s="90"/>
      <c r="X55" s="81"/>
      <c r="Y55" s="81"/>
      <c r="Z55" s="81"/>
      <c r="AA55" s="81"/>
      <c r="AB55" s="81"/>
      <c r="AC55" s="81"/>
      <c r="AD55" s="81"/>
      <c r="AE55" s="81"/>
    </row>
    <row r="56" spans="1:31" s="1" customFormat="1" ht="15.75">
      <c r="A56" s="82">
        <v>55</v>
      </c>
      <c r="B56" s="83" t="s">
        <v>38</v>
      </c>
      <c r="C56" s="73" t="s">
        <v>178</v>
      </c>
      <c r="D56" s="73" t="s">
        <v>40</v>
      </c>
      <c r="E56" s="84" t="s">
        <v>202</v>
      </c>
      <c r="F56" s="84"/>
      <c r="G56" s="84"/>
      <c r="H56" s="85">
        <v>270</v>
      </c>
      <c r="I56" s="73" t="s">
        <v>42</v>
      </c>
      <c r="J56" s="74">
        <v>8</v>
      </c>
      <c r="K56" s="73">
        <v>5</v>
      </c>
      <c r="L56" s="73">
        <v>13</v>
      </c>
      <c r="M56" s="73">
        <v>0</v>
      </c>
      <c r="N56" s="73">
        <v>2</v>
      </c>
      <c r="O56" s="86">
        <v>8640000</v>
      </c>
      <c r="P56" s="86">
        <v>535396984</v>
      </c>
      <c r="Q56" s="86"/>
      <c r="R56" s="87">
        <v>544036984</v>
      </c>
      <c r="S56" s="73"/>
      <c r="T56" s="88"/>
      <c r="U56" s="77"/>
      <c r="V56" s="89"/>
      <c r="W56" s="90"/>
      <c r="X56" s="81"/>
      <c r="Y56" s="81"/>
      <c r="Z56" s="81"/>
      <c r="AA56" s="81"/>
      <c r="AB56" s="81"/>
      <c r="AC56" s="81"/>
      <c r="AD56" s="81"/>
      <c r="AE56" s="81"/>
    </row>
    <row r="57" spans="1:31" s="1" customFormat="1" ht="15.75">
      <c r="A57" s="82">
        <v>56</v>
      </c>
      <c r="B57" s="83" t="s">
        <v>38</v>
      </c>
      <c r="C57" s="73" t="s">
        <v>178</v>
      </c>
      <c r="D57" s="73" t="s">
        <v>40</v>
      </c>
      <c r="E57" s="84" t="s">
        <v>203</v>
      </c>
      <c r="F57" s="84"/>
      <c r="G57" s="84"/>
      <c r="H57" s="85">
        <v>370</v>
      </c>
      <c r="I57" s="73" t="s">
        <v>42</v>
      </c>
      <c r="J57" s="74">
        <v>8</v>
      </c>
      <c r="K57" s="73">
        <v>11</v>
      </c>
      <c r="L57" s="73">
        <v>9</v>
      </c>
      <c r="M57" s="73">
        <v>0</v>
      </c>
      <c r="N57" s="73">
        <v>0</v>
      </c>
      <c r="O57" s="86">
        <v>11840000</v>
      </c>
      <c r="P57" s="86">
        <v>280775620</v>
      </c>
      <c r="Q57" s="86"/>
      <c r="R57" s="87">
        <v>292615620</v>
      </c>
      <c r="S57" s="73"/>
      <c r="T57" s="88"/>
      <c r="U57" s="77"/>
      <c r="V57" s="89"/>
      <c r="W57" s="90"/>
      <c r="X57" s="81"/>
      <c r="Y57" s="81"/>
      <c r="Z57" s="81"/>
      <c r="AA57" s="81"/>
      <c r="AB57" s="81"/>
      <c r="AC57" s="81"/>
      <c r="AD57" s="81"/>
      <c r="AE57" s="81"/>
    </row>
    <row r="58" spans="1:31" s="1" customFormat="1" ht="15.75">
      <c r="A58" s="82">
        <v>57</v>
      </c>
      <c r="B58" s="83" t="s">
        <v>38</v>
      </c>
      <c r="C58" s="73" t="s">
        <v>178</v>
      </c>
      <c r="D58" s="73" t="s">
        <v>40</v>
      </c>
      <c r="E58" s="84" t="s">
        <v>204</v>
      </c>
      <c r="F58" s="84"/>
      <c r="G58" s="84"/>
      <c r="H58" s="85">
        <v>175</v>
      </c>
      <c r="I58" s="73">
        <v>10</v>
      </c>
      <c r="J58" s="74">
        <v>20</v>
      </c>
      <c r="K58" s="73">
        <v>6</v>
      </c>
      <c r="L58" s="73">
        <v>36</v>
      </c>
      <c r="M58" s="73">
        <v>10</v>
      </c>
      <c r="N58" s="73">
        <v>2</v>
      </c>
      <c r="O58" s="86">
        <v>14000000</v>
      </c>
      <c r="P58" s="86">
        <v>598106018</v>
      </c>
      <c r="Q58" s="86"/>
      <c r="R58" s="87">
        <v>612106018</v>
      </c>
      <c r="S58" s="73"/>
      <c r="T58" s="88"/>
      <c r="U58" s="77"/>
      <c r="V58" s="89"/>
      <c r="W58" s="90"/>
      <c r="X58" s="81"/>
      <c r="Y58" s="81"/>
      <c r="Z58" s="81"/>
      <c r="AA58" s="81"/>
      <c r="AB58" s="81"/>
      <c r="AC58" s="81"/>
      <c r="AD58" s="81"/>
      <c r="AE58" s="81"/>
    </row>
    <row r="59" spans="1:31" s="1" customFormat="1" ht="15.75">
      <c r="A59" s="82">
        <v>58</v>
      </c>
      <c r="B59" s="83" t="s">
        <v>38</v>
      </c>
      <c r="C59" s="73" t="s">
        <v>178</v>
      </c>
      <c r="D59" s="73" t="s">
        <v>40</v>
      </c>
      <c r="E59" s="84" t="s">
        <v>205</v>
      </c>
      <c r="F59" s="84"/>
      <c r="G59" s="84"/>
      <c r="H59" s="85">
        <v>130</v>
      </c>
      <c r="I59" s="73" t="s">
        <v>206</v>
      </c>
      <c r="J59" s="74">
        <v>8</v>
      </c>
      <c r="K59" s="73">
        <v>3</v>
      </c>
      <c r="L59" s="73">
        <v>1</v>
      </c>
      <c r="M59" s="73">
        <v>0</v>
      </c>
      <c r="N59" s="73">
        <v>0</v>
      </c>
      <c r="O59" s="86">
        <v>4160000</v>
      </c>
      <c r="P59" s="86">
        <v>146927140.36000001</v>
      </c>
      <c r="Q59" s="86"/>
      <c r="R59" s="87">
        <v>151087140.36000001</v>
      </c>
      <c r="S59" s="73"/>
      <c r="T59" s="88"/>
      <c r="U59" s="77"/>
      <c r="V59" s="89"/>
      <c r="W59" s="90"/>
      <c r="X59" s="81"/>
      <c r="Y59" s="81"/>
      <c r="Z59" s="81"/>
      <c r="AA59" s="81"/>
      <c r="AB59" s="81"/>
      <c r="AC59" s="81"/>
      <c r="AD59" s="81"/>
      <c r="AE59" s="81"/>
    </row>
    <row r="60" spans="1:31" s="1" customFormat="1" ht="15.75">
      <c r="A60" s="82">
        <v>59</v>
      </c>
      <c r="B60" s="83" t="s">
        <v>38</v>
      </c>
      <c r="C60" s="73" t="s">
        <v>178</v>
      </c>
      <c r="D60" s="73" t="s">
        <v>40</v>
      </c>
      <c r="E60" s="84" t="s">
        <v>207</v>
      </c>
      <c r="F60" s="84"/>
      <c r="G60" s="84"/>
      <c r="H60" s="85">
        <v>60</v>
      </c>
      <c r="I60" s="73">
        <v>6</v>
      </c>
      <c r="J60" s="74">
        <v>6</v>
      </c>
      <c r="K60" s="73">
        <v>10</v>
      </c>
      <c r="L60" s="73">
        <v>5</v>
      </c>
      <c r="M60" s="73">
        <v>1</v>
      </c>
      <c r="N60" s="73">
        <v>2</v>
      </c>
      <c r="O60" s="86">
        <v>1440000</v>
      </c>
      <c r="P60" s="86">
        <v>24163236</v>
      </c>
      <c r="Q60" s="86"/>
      <c r="R60" s="87">
        <v>25603236</v>
      </c>
      <c r="S60" s="73"/>
      <c r="T60" s="88"/>
      <c r="U60" s="77"/>
      <c r="V60" s="89"/>
      <c r="W60" s="90"/>
      <c r="X60" s="81"/>
      <c r="Y60" s="81"/>
      <c r="Z60" s="81"/>
      <c r="AA60" s="81"/>
      <c r="AB60" s="81"/>
      <c r="AC60" s="81"/>
      <c r="AD60" s="81"/>
      <c r="AE60" s="81"/>
    </row>
    <row r="61" spans="1:31" s="1" customFormat="1" ht="54">
      <c r="A61" s="82">
        <v>60</v>
      </c>
      <c r="B61" s="83" t="s">
        <v>38</v>
      </c>
      <c r="C61" s="73" t="s">
        <v>178</v>
      </c>
      <c r="D61" s="73" t="s">
        <v>40</v>
      </c>
      <c r="E61" s="84" t="s">
        <v>208</v>
      </c>
      <c r="F61" s="84" t="s">
        <v>209</v>
      </c>
      <c r="G61" s="84"/>
      <c r="H61" s="85">
        <v>100</v>
      </c>
      <c r="I61" s="73" t="s">
        <v>42</v>
      </c>
      <c r="J61" s="74">
        <v>7</v>
      </c>
      <c r="K61" s="73">
        <v>9</v>
      </c>
      <c r="L61" s="73">
        <v>1</v>
      </c>
      <c r="M61" s="73">
        <v>0</v>
      </c>
      <c r="N61" s="73">
        <v>0</v>
      </c>
      <c r="O61" s="86">
        <v>2800000</v>
      </c>
      <c r="P61" s="86">
        <v>22300000</v>
      </c>
      <c r="Q61" s="86"/>
      <c r="R61" s="87">
        <v>25100000</v>
      </c>
      <c r="S61" s="73" t="s">
        <v>189</v>
      </c>
      <c r="T61" s="88" t="s">
        <v>190</v>
      </c>
      <c r="U61" s="77" t="s">
        <v>210</v>
      </c>
      <c r="V61" s="89"/>
      <c r="W61" s="90"/>
      <c r="X61" s="81"/>
      <c r="Y61" s="81"/>
      <c r="Z61" s="81"/>
      <c r="AA61" s="81"/>
      <c r="AB61" s="81"/>
      <c r="AC61" s="81"/>
      <c r="AD61" s="81"/>
      <c r="AE61" s="81"/>
    </row>
    <row r="62" spans="1:31" s="1" customFormat="1" ht="15.75">
      <c r="A62" s="82">
        <v>61</v>
      </c>
      <c r="B62" s="83" t="s">
        <v>38</v>
      </c>
      <c r="C62" s="73" t="s">
        <v>178</v>
      </c>
      <c r="D62" s="73" t="s">
        <v>40</v>
      </c>
      <c r="E62" s="84" t="s">
        <v>211</v>
      </c>
      <c r="F62" s="84" t="s">
        <v>212</v>
      </c>
      <c r="G62" s="84" t="s">
        <v>213</v>
      </c>
      <c r="H62" s="85">
        <v>550</v>
      </c>
      <c r="I62" s="73">
        <v>3.5</v>
      </c>
      <c r="J62" s="74">
        <v>8</v>
      </c>
      <c r="K62" s="73"/>
      <c r="L62" s="73"/>
      <c r="M62" s="73"/>
      <c r="N62" s="73"/>
      <c r="O62" s="86">
        <v>16300000</v>
      </c>
      <c r="P62" s="86">
        <v>8200000</v>
      </c>
      <c r="Q62" s="86"/>
      <c r="R62" s="87">
        <v>24500000</v>
      </c>
      <c r="S62" s="73" t="s">
        <v>183</v>
      </c>
      <c r="T62" s="88" t="s">
        <v>184</v>
      </c>
      <c r="U62" s="77" t="s">
        <v>214</v>
      </c>
      <c r="V62" s="89"/>
      <c r="W62" s="90"/>
      <c r="X62" s="81"/>
      <c r="Y62" s="81"/>
      <c r="Z62" s="81"/>
      <c r="AA62" s="81"/>
      <c r="AB62" s="81"/>
      <c r="AC62" s="81"/>
      <c r="AD62" s="81"/>
      <c r="AE62" s="81"/>
    </row>
    <row r="63" spans="1:31" s="1" customFormat="1" ht="27">
      <c r="A63" s="82">
        <v>62</v>
      </c>
      <c r="B63" s="83" t="s">
        <v>38</v>
      </c>
      <c r="C63" s="73" t="s">
        <v>178</v>
      </c>
      <c r="D63" s="73" t="s">
        <v>56</v>
      </c>
      <c r="E63" s="84" t="s">
        <v>215</v>
      </c>
      <c r="F63" s="84" t="s">
        <v>216</v>
      </c>
      <c r="G63" s="84" t="s">
        <v>217</v>
      </c>
      <c r="H63" s="85">
        <v>125</v>
      </c>
      <c r="I63" s="73" t="s">
        <v>42</v>
      </c>
      <c r="J63" s="74">
        <v>8</v>
      </c>
      <c r="K63" s="73">
        <v>4</v>
      </c>
      <c r="L63" s="73">
        <v>16</v>
      </c>
      <c r="M63" s="73">
        <v>10</v>
      </c>
      <c r="N63" s="73">
        <v>1</v>
      </c>
      <c r="O63" s="86">
        <v>4000000</v>
      </c>
      <c r="P63" s="86">
        <v>127464000</v>
      </c>
      <c r="Q63" s="86"/>
      <c r="R63" s="87">
        <v>131464000</v>
      </c>
      <c r="S63" s="73" t="s">
        <v>145</v>
      </c>
      <c r="T63" s="88" t="s">
        <v>218</v>
      </c>
      <c r="U63" s="77"/>
      <c r="V63" s="89"/>
      <c r="W63" s="90"/>
      <c r="X63" s="81"/>
      <c r="Y63" s="81"/>
      <c r="Z63" s="81"/>
      <c r="AA63" s="81"/>
      <c r="AB63" s="81"/>
      <c r="AC63" s="81"/>
      <c r="AD63" s="81"/>
      <c r="AE63" s="81"/>
    </row>
    <row r="64" spans="1:31" s="1" customFormat="1" ht="148.5">
      <c r="A64" s="82">
        <v>63</v>
      </c>
      <c r="B64" s="83" t="s">
        <v>38</v>
      </c>
      <c r="C64" s="73" t="s">
        <v>178</v>
      </c>
      <c r="D64" s="73" t="s">
        <v>56</v>
      </c>
      <c r="E64" s="84" t="s">
        <v>219</v>
      </c>
      <c r="F64" s="84" t="s">
        <v>220</v>
      </c>
      <c r="G64" s="84" t="s">
        <v>61</v>
      </c>
      <c r="H64" s="85">
        <v>184</v>
      </c>
      <c r="I64" s="73" t="s">
        <v>42</v>
      </c>
      <c r="J64" s="74">
        <v>8</v>
      </c>
      <c r="K64" s="73">
        <v>0</v>
      </c>
      <c r="L64" s="73">
        <v>5</v>
      </c>
      <c r="M64" s="73">
        <v>0</v>
      </c>
      <c r="N64" s="73">
        <v>0</v>
      </c>
      <c r="O64" s="86">
        <v>5888000</v>
      </c>
      <c r="P64" s="86">
        <v>221905800</v>
      </c>
      <c r="Q64" s="86"/>
      <c r="R64" s="87">
        <v>227793800</v>
      </c>
      <c r="S64" s="73" t="s">
        <v>195</v>
      </c>
      <c r="T64" s="88" t="s">
        <v>221</v>
      </c>
      <c r="U64" s="77"/>
      <c r="V64" s="89"/>
      <c r="W64" s="90"/>
      <c r="X64" s="81"/>
      <c r="Y64" s="81"/>
      <c r="Z64" s="81"/>
      <c r="AA64" s="81"/>
      <c r="AB64" s="81"/>
      <c r="AC64" s="81"/>
      <c r="AD64" s="81"/>
      <c r="AE64" s="81"/>
    </row>
    <row r="65" spans="1:31" s="1" customFormat="1" ht="15.75">
      <c r="A65" s="82">
        <v>64</v>
      </c>
      <c r="B65" s="83" t="s">
        <v>38</v>
      </c>
      <c r="C65" s="73" t="s">
        <v>178</v>
      </c>
      <c r="D65" s="73" t="s">
        <v>56</v>
      </c>
      <c r="E65" s="84" t="s">
        <v>222</v>
      </c>
      <c r="F65" s="84"/>
      <c r="G65" s="84"/>
      <c r="H65" s="85">
        <v>170</v>
      </c>
      <c r="I65" s="73">
        <v>5</v>
      </c>
      <c r="J65" s="74">
        <v>15</v>
      </c>
      <c r="K65" s="73">
        <v>2</v>
      </c>
      <c r="L65" s="73">
        <v>30</v>
      </c>
      <c r="M65" s="73">
        <v>3</v>
      </c>
      <c r="N65" s="73">
        <v>7</v>
      </c>
      <c r="O65" s="86">
        <v>10200000</v>
      </c>
      <c r="P65" s="86">
        <v>129058713.04000001</v>
      </c>
      <c r="Q65" s="86"/>
      <c r="R65" s="87">
        <v>139258713.04000002</v>
      </c>
      <c r="S65" s="73"/>
      <c r="T65" s="88"/>
      <c r="U65" s="77"/>
      <c r="V65" s="89"/>
      <c r="W65" s="90"/>
      <c r="X65" s="81"/>
      <c r="Y65" s="81"/>
      <c r="Z65" s="81"/>
      <c r="AA65" s="81"/>
      <c r="AB65" s="81"/>
      <c r="AC65" s="81"/>
      <c r="AD65" s="81"/>
      <c r="AE65" s="81"/>
    </row>
    <row r="66" spans="1:31" s="1" customFormat="1" ht="15.75">
      <c r="A66" s="82">
        <v>65</v>
      </c>
      <c r="B66" s="83" t="s">
        <v>38</v>
      </c>
      <c r="C66" s="73" t="s">
        <v>178</v>
      </c>
      <c r="D66" s="73" t="s">
        <v>56</v>
      </c>
      <c r="E66" s="84" t="s">
        <v>223</v>
      </c>
      <c r="F66" s="84"/>
      <c r="G66" s="84"/>
      <c r="H66" s="85">
        <v>952</v>
      </c>
      <c r="I66" s="73" t="s">
        <v>51</v>
      </c>
      <c r="J66" s="74">
        <v>8</v>
      </c>
      <c r="K66" s="73">
        <v>40</v>
      </c>
      <c r="L66" s="73">
        <v>113</v>
      </c>
      <c r="M66" s="73">
        <v>58</v>
      </c>
      <c r="N66" s="73">
        <v>0</v>
      </c>
      <c r="O66" s="86">
        <v>30464000</v>
      </c>
      <c r="P66" s="86">
        <v>817709964</v>
      </c>
      <c r="Q66" s="86"/>
      <c r="R66" s="87">
        <v>848173964</v>
      </c>
      <c r="S66" s="73"/>
      <c r="T66" s="88"/>
      <c r="U66" s="77"/>
      <c r="V66" s="89"/>
      <c r="W66" s="90"/>
      <c r="X66" s="81"/>
      <c r="Y66" s="81"/>
      <c r="Z66" s="81"/>
      <c r="AA66" s="81"/>
      <c r="AB66" s="81"/>
      <c r="AC66" s="81"/>
      <c r="AD66" s="81"/>
      <c r="AE66" s="81"/>
    </row>
    <row r="67" spans="1:31" s="1" customFormat="1" ht="27">
      <c r="A67" s="82">
        <v>66</v>
      </c>
      <c r="B67" s="83" t="s">
        <v>38</v>
      </c>
      <c r="C67" s="73" t="s">
        <v>178</v>
      </c>
      <c r="D67" s="73" t="s">
        <v>56</v>
      </c>
      <c r="E67" s="84" t="s">
        <v>224</v>
      </c>
      <c r="F67" s="84" t="s">
        <v>75</v>
      </c>
      <c r="G67" s="84" t="s">
        <v>225</v>
      </c>
      <c r="H67" s="85">
        <v>95</v>
      </c>
      <c r="I67" s="73" t="s">
        <v>42</v>
      </c>
      <c r="J67" s="74">
        <v>8</v>
      </c>
      <c r="K67" s="73">
        <v>0</v>
      </c>
      <c r="L67" s="73">
        <v>3</v>
      </c>
      <c r="M67" s="73">
        <v>0</v>
      </c>
      <c r="N67" s="73">
        <v>0</v>
      </c>
      <c r="O67" s="86">
        <v>4000000</v>
      </c>
      <c r="P67" s="86">
        <v>123905552</v>
      </c>
      <c r="Q67" s="86"/>
      <c r="R67" s="87">
        <v>127905552</v>
      </c>
      <c r="S67" s="73" t="s">
        <v>226</v>
      </c>
      <c r="T67" s="88" t="s">
        <v>227</v>
      </c>
      <c r="U67" s="77"/>
      <c r="V67" s="89"/>
      <c r="W67" s="90"/>
      <c r="X67" s="81"/>
      <c r="Y67" s="81"/>
      <c r="Z67" s="81"/>
      <c r="AA67" s="81"/>
      <c r="AB67" s="81"/>
      <c r="AC67" s="81"/>
      <c r="AD67" s="81"/>
      <c r="AE67" s="81"/>
    </row>
    <row r="68" spans="1:31" s="1" customFormat="1" ht="15.75">
      <c r="A68" s="82">
        <v>67</v>
      </c>
      <c r="B68" s="83" t="s">
        <v>38</v>
      </c>
      <c r="C68" s="73" t="s">
        <v>178</v>
      </c>
      <c r="D68" s="73" t="s">
        <v>56</v>
      </c>
      <c r="E68" s="84" t="s">
        <v>228</v>
      </c>
      <c r="F68" s="84"/>
      <c r="G68" s="84"/>
      <c r="H68" s="85">
        <v>150</v>
      </c>
      <c r="I68" s="73">
        <v>3</v>
      </c>
      <c r="J68" s="74">
        <v>8</v>
      </c>
      <c r="K68" s="73">
        <v>0</v>
      </c>
      <c r="L68" s="73">
        <v>7</v>
      </c>
      <c r="M68" s="73">
        <v>0</v>
      </c>
      <c r="N68" s="73">
        <v>4</v>
      </c>
      <c r="O68" s="86">
        <v>4800000</v>
      </c>
      <c r="P68" s="86">
        <v>94282800</v>
      </c>
      <c r="Q68" s="86"/>
      <c r="R68" s="87">
        <v>99082800</v>
      </c>
      <c r="S68" s="73"/>
      <c r="T68" s="88" t="s">
        <v>229</v>
      </c>
      <c r="U68" s="77"/>
      <c r="V68" s="89"/>
      <c r="W68" s="88" t="s">
        <v>229</v>
      </c>
      <c r="X68" s="81"/>
      <c r="Y68" s="81"/>
      <c r="Z68" s="81"/>
      <c r="AA68" s="81"/>
      <c r="AB68" s="81"/>
      <c r="AC68" s="81"/>
      <c r="AD68" s="81"/>
      <c r="AE68" s="81"/>
    </row>
    <row r="69" spans="1:31" s="1" customFormat="1" ht="15.75">
      <c r="A69" s="82">
        <v>68</v>
      </c>
      <c r="B69" s="83" t="s">
        <v>38</v>
      </c>
      <c r="C69" s="73" t="s">
        <v>178</v>
      </c>
      <c r="D69" s="73" t="s">
        <v>56</v>
      </c>
      <c r="E69" s="84" t="s">
        <v>230</v>
      </c>
      <c r="F69" s="84"/>
      <c r="G69" s="84"/>
      <c r="H69" s="85">
        <v>218</v>
      </c>
      <c r="I69" s="73" t="s">
        <v>231</v>
      </c>
      <c r="J69" s="74">
        <v>8</v>
      </c>
      <c r="K69" s="73">
        <v>2</v>
      </c>
      <c r="L69" s="73">
        <v>13</v>
      </c>
      <c r="M69" s="73">
        <v>0</v>
      </c>
      <c r="N69" s="73">
        <v>2</v>
      </c>
      <c r="O69" s="86">
        <v>6976000</v>
      </c>
      <c r="P69" s="86">
        <v>315192662</v>
      </c>
      <c r="Q69" s="86"/>
      <c r="R69" s="87">
        <v>322168662</v>
      </c>
      <c r="S69" s="73"/>
      <c r="T69" s="88"/>
      <c r="U69" s="77"/>
      <c r="V69" s="89"/>
      <c r="W69" s="90"/>
      <c r="X69" s="81"/>
      <c r="Y69" s="81"/>
      <c r="Z69" s="81"/>
      <c r="AA69" s="81"/>
      <c r="AB69" s="81"/>
      <c r="AC69" s="81"/>
      <c r="AD69" s="81"/>
      <c r="AE69" s="81"/>
    </row>
    <row r="70" spans="1:31" s="1" customFormat="1" ht="15.75">
      <c r="A70" s="82">
        <v>69</v>
      </c>
      <c r="B70" s="83" t="s">
        <v>38</v>
      </c>
      <c r="C70" s="73" t="s">
        <v>178</v>
      </c>
      <c r="D70" s="73" t="s">
        <v>56</v>
      </c>
      <c r="E70" s="84" t="s">
        <v>232</v>
      </c>
      <c r="F70" s="84"/>
      <c r="G70" s="84"/>
      <c r="H70" s="85">
        <v>1050</v>
      </c>
      <c r="I70" s="73" t="s">
        <v>233</v>
      </c>
      <c r="J70" s="74">
        <v>20</v>
      </c>
      <c r="K70" s="73">
        <v>13</v>
      </c>
      <c r="L70" s="73">
        <v>39</v>
      </c>
      <c r="M70" s="73">
        <v>3</v>
      </c>
      <c r="N70" s="73">
        <v>6</v>
      </c>
      <c r="O70" s="86">
        <v>84000000</v>
      </c>
      <c r="P70" s="86">
        <v>1270270975.2</v>
      </c>
      <c r="Q70" s="86"/>
      <c r="R70" s="87">
        <v>1354270975.2</v>
      </c>
      <c r="S70" s="73"/>
      <c r="T70" s="88"/>
      <c r="U70" s="77"/>
      <c r="V70" s="89"/>
      <c r="W70" s="90"/>
      <c r="X70" s="81"/>
      <c r="Y70" s="81"/>
      <c r="Z70" s="81"/>
      <c r="AA70" s="81"/>
      <c r="AB70" s="81"/>
      <c r="AC70" s="81"/>
      <c r="AD70" s="81"/>
      <c r="AE70" s="81"/>
    </row>
    <row r="71" spans="1:31" s="1" customFormat="1" ht="15.75">
      <c r="A71" s="82">
        <v>70</v>
      </c>
      <c r="B71" s="83" t="s">
        <v>38</v>
      </c>
      <c r="C71" s="73" t="s">
        <v>178</v>
      </c>
      <c r="D71" s="73" t="s">
        <v>56</v>
      </c>
      <c r="E71" s="84" t="s">
        <v>234</v>
      </c>
      <c r="F71" s="84"/>
      <c r="G71" s="84"/>
      <c r="H71" s="85">
        <v>560</v>
      </c>
      <c r="I71" s="73" t="s">
        <v>235</v>
      </c>
      <c r="J71" s="74">
        <v>15</v>
      </c>
      <c r="K71" s="73">
        <v>13</v>
      </c>
      <c r="L71" s="73">
        <v>89</v>
      </c>
      <c r="M71" s="73">
        <v>107</v>
      </c>
      <c r="N71" s="73">
        <v>0</v>
      </c>
      <c r="O71" s="86">
        <v>33600000</v>
      </c>
      <c r="P71" s="86">
        <v>473039056.81999993</v>
      </c>
      <c r="Q71" s="86"/>
      <c r="R71" s="87">
        <v>506639056.81999993</v>
      </c>
      <c r="S71" s="73"/>
      <c r="T71" s="88"/>
      <c r="U71" s="77"/>
      <c r="V71" s="89"/>
      <c r="W71" s="90"/>
      <c r="X71" s="81"/>
      <c r="Y71" s="81"/>
      <c r="Z71" s="81"/>
      <c r="AA71" s="81"/>
      <c r="AB71" s="81"/>
      <c r="AC71" s="81"/>
      <c r="AD71" s="81"/>
      <c r="AE71" s="81"/>
    </row>
    <row r="72" spans="1:31" s="1" customFormat="1" ht="15.75">
      <c r="A72" s="82">
        <v>71</v>
      </c>
      <c r="B72" s="83" t="s">
        <v>38</v>
      </c>
      <c r="C72" s="73" t="s">
        <v>178</v>
      </c>
      <c r="D72" s="73" t="s">
        <v>56</v>
      </c>
      <c r="E72" s="84" t="s">
        <v>236</v>
      </c>
      <c r="F72" s="84"/>
      <c r="G72" s="84"/>
      <c r="H72" s="85">
        <v>70</v>
      </c>
      <c r="I72" s="73" t="s">
        <v>42</v>
      </c>
      <c r="J72" s="74">
        <v>8</v>
      </c>
      <c r="K72" s="73">
        <v>1</v>
      </c>
      <c r="L72" s="73">
        <v>8</v>
      </c>
      <c r="M72" s="73">
        <v>0</v>
      </c>
      <c r="N72" s="73">
        <v>0</v>
      </c>
      <c r="O72" s="86">
        <v>2240000</v>
      </c>
      <c r="P72" s="86">
        <v>30574800</v>
      </c>
      <c r="Q72" s="86"/>
      <c r="R72" s="87">
        <v>32814800</v>
      </c>
      <c r="S72" s="73"/>
      <c r="T72" s="88"/>
      <c r="U72" s="77"/>
      <c r="V72" s="89"/>
      <c r="W72" s="90"/>
      <c r="X72" s="81"/>
      <c r="Y72" s="81"/>
      <c r="Z72" s="81"/>
      <c r="AA72" s="81"/>
      <c r="AB72" s="81"/>
      <c r="AC72" s="81"/>
      <c r="AD72" s="81"/>
      <c r="AE72" s="81"/>
    </row>
    <row r="73" spans="1:31" s="1" customFormat="1" ht="15.75">
      <c r="A73" s="82">
        <v>72</v>
      </c>
      <c r="B73" s="83" t="s">
        <v>38</v>
      </c>
      <c r="C73" s="73" t="s">
        <v>178</v>
      </c>
      <c r="D73" s="73" t="s">
        <v>56</v>
      </c>
      <c r="E73" s="84" t="s">
        <v>237</v>
      </c>
      <c r="F73" s="84"/>
      <c r="G73" s="84"/>
      <c r="H73" s="85">
        <v>100</v>
      </c>
      <c r="I73" s="73">
        <v>4.2</v>
      </c>
      <c r="J73" s="74">
        <v>8</v>
      </c>
      <c r="K73" s="73">
        <v>3</v>
      </c>
      <c r="L73" s="73">
        <v>12</v>
      </c>
      <c r="M73" s="73">
        <v>0</v>
      </c>
      <c r="N73" s="73">
        <v>0</v>
      </c>
      <c r="O73" s="86">
        <v>3200000</v>
      </c>
      <c r="P73" s="86">
        <v>48260400</v>
      </c>
      <c r="Q73" s="86"/>
      <c r="R73" s="87">
        <v>51460400</v>
      </c>
      <c r="S73" s="73"/>
      <c r="T73" s="88"/>
      <c r="U73" s="77"/>
      <c r="V73" s="89"/>
      <c r="W73" s="90"/>
      <c r="X73" s="81"/>
      <c r="Y73" s="81"/>
      <c r="Z73" s="81"/>
      <c r="AA73" s="81"/>
      <c r="AB73" s="81"/>
      <c r="AC73" s="81"/>
      <c r="AD73" s="81"/>
      <c r="AE73" s="81"/>
    </row>
    <row r="74" spans="1:31" s="1" customFormat="1" ht="67.5">
      <c r="A74" s="82">
        <v>73</v>
      </c>
      <c r="B74" s="83" t="s">
        <v>38</v>
      </c>
      <c r="C74" s="73" t="s">
        <v>178</v>
      </c>
      <c r="D74" s="73" t="s">
        <v>56</v>
      </c>
      <c r="E74" s="84" t="s">
        <v>238</v>
      </c>
      <c r="F74" s="84" t="s">
        <v>239</v>
      </c>
      <c r="G74" s="84" t="s">
        <v>240</v>
      </c>
      <c r="H74" s="85">
        <v>1500</v>
      </c>
      <c r="I74" s="73">
        <v>10</v>
      </c>
      <c r="J74" s="74">
        <v>18</v>
      </c>
      <c r="K74" s="73">
        <v>4</v>
      </c>
      <c r="L74" s="73">
        <v>0</v>
      </c>
      <c r="M74" s="73">
        <v>0</v>
      </c>
      <c r="N74" s="73">
        <v>0</v>
      </c>
      <c r="O74" s="86">
        <v>108000000</v>
      </c>
      <c r="P74" s="86">
        <v>0</v>
      </c>
      <c r="Q74" s="86"/>
      <c r="R74" s="87">
        <v>108000000</v>
      </c>
      <c r="S74" s="73" t="s">
        <v>195</v>
      </c>
      <c r="T74" s="88" t="s">
        <v>241</v>
      </c>
      <c r="U74" s="77"/>
      <c r="V74" s="89"/>
      <c r="W74" s="90"/>
      <c r="X74" s="81"/>
      <c r="Y74" s="81"/>
      <c r="Z74" s="81"/>
      <c r="AA74" s="81"/>
      <c r="AB74" s="81"/>
      <c r="AC74" s="81"/>
      <c r="AD74" s="81"/>
      <c r="AE74" s="81"/>
    </row>
    <row r="75" spans="1:31" s="1" customFormat="1" ht="15.75">
      <c r="A75" s="82">
        <v>74</v>
      </c>
      <c r="B75" s="83" t="s">
        <v>38</v>
      </c>
      <c r="C75" s="73" t="s">
        <v>178</v>
      </c>
      <c r="D75" s="73" t="s">
        <v>56</v>
      </c>
      <c r="E75" s="84" t="s">
        <v>242</v>
      </c>
      <c r="F75" s="84"/>
      <c r="G75" s="84"/>
      <c r="H75" s="85">
        <v>155</v>
      </c>
      <c r="I75" s="73" t="s">
        <v>243</v>
      </c>
      <c r="J75" s="74">
        <v>8</v>
      </c>
      <c r="K75" s="73">
        <v>2</v>
      </c>
      <c r="L75" s="73">
        <v>1</v>
      </c>
      <c r="M75" s="73">
        <v>18</v>
      </c>
      <c r="N75" s="73">
        <v>0</v>
      </c>
      <c r="O75" s="86">
        <v>4960000</v>
      </c>
      <c r="P75" s="86">
        <v>103549000</v>
      </c>
      <c r="Q75" s="86"/>
      <c r="R75" s="87">
        <v>108509000</v>
      </c>
      <c r="S75" s="73"/>
      <c r="T75" s="88"/>
      <c r="U75" s="77"/>
      <c r="V75" s="89"/>
      <c r="W75" s="90"/>
      <c r="X75" s="81"/>
      <c r="Y75" s="81"/>
      <c r="Z75" s="81"/>
      <c r="AA75" s="81"/>
      <c r="AB75" s="81"/>
      <c r="AC75" s="81"/>
      <c r="AD75" s="81"/>
      <c r="AE75" s="81"/>
    </row>
    <row r="76" spans="1:31" s="1" customFormat="1" ht="81">
      <c r="A76" s="82">
        <v>75</v>
      </c>
      <c r="B76" s="83" t="s">
        <v>38</v>
      </c>
      <c r="C76" s="73" t="s">
        <v>178</v>
      </c>
      <c r="D76" s="73" t="s">
        <v>56</v>
      </c>
      <c r="E76" s="84" t="s">
        <v>244</v>
      </c>
      <c r="F76" s="84" t="s">
        <v>245</v>
      </c>
      <c r="G76" s="84" t="s">
        <v>246</v>
      </c>
      <c r="H76" s="85">
        <v>185</v>
      </c>
      <c r="I76" s="73">
        <v>6</v>
      </c>
      <c r="J76" s="74">
        <v>10</v>
      </c>
      <c r="K76" s="73">
        <v>2</v>
      </c>
      <c r="L76" s="73">
        <v>1</v>
      </c>
      <c r="M76" s="73">
        <v>0</v>
      </c>
      <c r="N76" s="73">
        <v>0</v>
      </c>
      <c r="O76" s="86">
        <v>7400000</v>
      </c>
      <c r="P76" s="86">
        <v>20992038.48</v>
      </c>
      <c r="Q76" s="86"/>
      <c r="R76" s="87">
        <v>28392038.48</v>
      </c>
      <c r="S76" s="73" t="s">
        <v>189</v>
      </c>
      <c r="T76" s="88" t="s">
        <v>247</v>
      </c>
      <c r="U76" s="77" t="s">
        <v>248</v>
      </c>
      <c r="V76" s="89"/>
      <c r="W76" s="90"/>
      <c r="X76" s="81"/>
      <c r="Y76" s="81"/>
      <c r="Z76" s="81"/>
      <c r="AA76" s="81"/>
      <c r="AB76" s="81"/>
      <c r="AC76" s="81"/>
      <c r="AD76" s="81"/>
      <c r="AE76" s="81"/>
    </row>
    <row r="77" spans="1:31" s="1" customFormat="1" ht="15.75">
      <c r="A77" s="82">
        <v>76</v>
      </c>
      <c r="B77" s="83" t="s">
        <v>38</v>
      </c>
      <c r="C77" s="73" t="s">
        <v>178</v>
      </c>
      <c r="D77" s="73" t="s">
        <v>83</v>
      </c>
      <c r="E77" s="84" t="s">
        <v>249</v>
      </c>
      <c r="F77" s="84"/>
      <c r="G77" s="84"/>
      <c r="H77" s="85">
        <v>60</v>
      </c>
      <c r="I77" s="73" t="s">
        <v>42</v>
      </c>
      <c r="J77" s="74">
        <v>8</v>
      </c>
      <c r="K77" s="73">
        <v>1</v>
      </c>
      <c r="L77" s="73">
        <v>3</v>
      </c>
      <c r="M77" s="73">
        <v>3</v>
      </c>
      <c r="N77" s="73">
        <v>1</v>
      </c>
      <c r="O77" s="86">
        <v>1920000</v>
      </c>
      <c r="P77" s="86">
        <v>36352088</v>
      </c>
      <c r="Q77" s="86"/>
      <c r="R77" s="87">
        <v>38272088</v>
      </c>
      <c r="S77" s="73"/>
      <c r="T77" s="88"/>
      <c r="U77" s="77" t="s">
        <v>250</v>
      </c>
      <c r="V77" s="89"/>
      <c r="W77" s="90"/>
      <c r="X77" s="81"/>
      <c r="Y77" s="81"/>
      <c r="Z77" s="81"/>
      <c r="AA77" s="81"/>
      <c r="AB77" s="81"/>
      <c r="AC77" s="81"/>
      <c r="AD77" s="81"/>
      <c r="AE77" s="81"/>
    </row>
    <row r="78" spans="1:31" s="1" customFormat="1" ht="67.5">
      <c r="A78" s="82">
        <v>77</v>
      </c>
      <c r="B78" s="83" t="s">
        <v>38</v>
      </c>
      <c r="C78" s="73" t="s">
        <v>178</v>
      </c>
      <c r="D78" s="73" t="s">
        <v>83</v>
      </c>
      <c r="E78" s="84" t="s">
        <v>251</v>
      </c>
      <c r="F78" s="84" t="s">
        <v>252</v>
      </c>
      <c r="G78" s="84" t="s">
        <v>253</v>
      </c>
      <c r="H78" s="85">
        <v>160</v>
      </c>
      <c r="I78" s="73" t="s">
        <v>254</v>
      </c>
      <c r="J78" s="74">
        <v>8</v>
      </c>
      <c r="K78" s="73">
        <v>3</v>
      </c>
      <c r="L78" s="73">
        <v>4</v>
      </c>
      <c r="M78" s="73">
        <v>0</v>
      </c>
      <c r="N78" s="73">
        <v>1</v>
      </c>
      <c r="O78" s="86">
        <v>5120000</v>
      </c>
      <c r="P78" s="86">
        <v>84624509.879999995</v>
      </c>
      <c r="Q78" s="86"/>
      <c r="R78" s="87">
        <v>89744509.879999995</v>
      </c>
      <c r="S78" s="73" t="s">
        <v>195</v>
      </c>
      <c r="T78" s="88" t="s">
        <v>255</v>
      </c>
      <c r="U78" s="77"/>
      <c r="V78" s="89"/>
      <c r="W78" s="90"/>
      <c r="X78" s="81"/>
      <c r="Y78" s="81"/>
      <c r="Z78" s="81"/>
      <c r="AA78" s="81"/>
      <c r="AB78" s="81"/>
      <c r="AC78" s="81"/>
      <c r="AD78" s="81"/>
      <c r="AE78" s="81"/>
    </row>
    <row r="79" spans="1:31" s="1" customFormat="1" ht="15.75">
      <c r="A79" s="82">
        <v>78</v>
      </c>
      <c r="B79" s="83" t="s">
        <v>38</v>
      </c>
      <c r="C79" s="73" t="s">
        <v>178</v>
      </c>
      <c r="D79" s="73" t="s">
        <v>83</v>
      </c>
      <c r="E79" s="84" t="s">
        <v>256</v>
      </c>
      <c r="F79" s="84"/>
      <c r="G79" s="84"/>
      <c r="H79" s="85">
        <v>290</v>
      </c>
      <c r="I79" s="73" t="s">
        <v>42</v>
      </c>
      <c r="J79" s="74">
        <v>15</v>
      </c>
      <c r="K79" s="73">
        <v>5</v>
      </c>
      <c r="L79" s="73">
        <v>4</v>
      </c>
      <c r="M79" s="73">
        <v>0</v>
      </c>
      <c r="N79" s="73">
        <v>2</v>
      </c>
      <c r="O79" s="86">
        <v>17400000</v>
      </c>
      <c r="P79" s="86">
        <v>154385020.04000002</v>
      </c>
      <c r="Q79" s="86"/>
      <c r="R79" s="87">
        <v>171785020.04000002</v>
      </c>
      <c r="S79" s="73"/>
      <c r="T79" s="88"/>
      <c r="U79" s="77"/>
      <c r="V79" s="89"/>
      <c r="W79" s="90"/>
      <c r="X79" s="81"/>
      <c r="Y79" s="81"/>
      <c r="Z79" s="81"/>
      <c r="AA79" s="81"/>
      <c r="AB79" s="81"/>
      <c r="AC79" s="81"/>
      <c r="AD79" s="81"/>
      <c r="AE79" s="81"/>
    </row>
    <row r="80" spans="1:31" s="1" customFormat="1" ht="15.75">
      <c r="A80" s="82">
        <v>79</v>
      </c>
      <c r="B80" s="83" t="s">
        <v>38</v>
      </c>
      <c r="C80" s="73" t="s">
        <v>178</v>
      </c>
      <c r="D80" s="73" t="s">
        <v>83</v>
      </c>
      <c r="E80" s="84" t="s">
        <v>257</v>
      </c>
      <c r="F80" s="84" t="s">
        <v>258</v>
      </c>
      <c r="G80" s="84" t="s">
        <v>259</v>
      </c>
      <c r="H80" s="85">
        <v>300</v>
      </c>
      <c r="I80" s="73" t="s">
        <v>42</v>
      </c>
      <c r="J80" s="74">
        <v>10</v>
      </c>
      <c r="K80" s="73">
        <v>2</v>
      </c>
      <c r="L80" s="73">
        <v>13</v>
      </c>
      <c r="M80" s="73">
        <v>0</v>
      </c>
      <c r="N80" s="73">
        <v>3</v>
      </c>
      <c r="O80" s="86">
        <v>12000000</v>
      </c>
      <c r="P80" s="86">
        <v>46209963.780000001</v>
      </c>
      <c r="Q80" s="86"/>
      <c r="R80" s="87">
        <v>58209963.780000001</v>
      </c>
      <c r="S80" s="73" t="s">
        <v>183</v>
      </c>
      <c r="T80" s="88" t="s">
        <v>184</v>
      </c>
      <c r="U80" s="77" t="s">
        <v>260</v>
      </c>
      <c r="V80" s="89"/>
      <c r="W80" s="90"/>
      <c r="X80" s="81"/>
      <c r="Y80" s="81"/>
      <c r="Z80" s="81"/>
      <c r="AA80" s="81"/>
      <c r="AB80" s="81"/>
      <c r="AC80" s="81"/>
      <c r="AD80" s="81"/>
      <c r="AE80" s="81"/>
    </row>
    <row r="81" spans="1:31" s="1" customFormat="1" ht="15.75">
      <c r="A81" s="82">
        <v>80</v>
      </c>
      <c r="B81" s="83" t="s">
        <v>38</v>
      </c>
      <c r="C81" s="73" t="s">
        <v>178</v>
      </c>
      <c r="D81" s="73" t="s">
        <v>83</v>
      </c>
      <c r="E81" s="84" t="s">
        <v>261</v>
      </c>
      <c r="F81" s="84"/>
      <c r="G81" s="84"/>
      <c r="H81" s="85">
        <v>105</v>
      </c>
      <c r="I81" s="73" t="s">
        <v>262</v>
      </c>
      <c r="J81" s="74">
        <v>8</v>
      </c>
      <c r="K81" s="73">
        <v>20</v>
      </c>
      <c r="L81" s="73">
        <v>5</v>
      </c>
      <c r="M81" s="73">
        <v>1</v>
      </c>
      <c r="N81" s="73">
        <v>1</v>
      </c>
      <c r="O81" s="86">
        <v>3360000</v>
      </c>
      <c r="P81" s="86">
        <v>72196524</v>
      </c>
      <c r="Q81" s="86"/>
      <c r="R81" s="87">
        <v>75556524</v>
      </c>
      <c r="S81" s="73"/>
      <c r="T81" s="88"/>
      <c r="U81" s="77"/>
      <c r="V81" s="89"/>
      <c r="W81" s="90"/>
      <c r="X81" s="81"/>
      <c r="Y81" s="81"/>
      <c r="Z81" s="81"/>
      <c r="AA81" s="81"/>
      <c r="AB81" s="81"/>
      <c r="AC81" s="81"/>
      <c r="AD81" s="81"/>
      <c r="AE81" s="81"/>
    </row>
    <row r="82" spans="1:31" s="1" customFormat="1" ht="15.75">
      <c r="A82" s="82">
        <v>81</v>
      </c>
      <c r="B82" s="83" t="s">
        <v>38</v>
      </c>
      <c r="C82" s="73" t="s">
        <v>178</v>
      </c>
      <c r="D82" s="73" t="s">
        <v>83</v>
      </c>
      <c r="E82" s="84" t="s">
        <v>263</v>
      </c>
      <c r="F82" s="84"/>
      <c r="G82" s="84"/>
      <c r="H82" s="85">
        <v>1640</v>
      </c>
      <c r="I82" s="73" t="s">
        <v>264</v>
      </c>
      <c r="J82" s="74">
        <v>12</v>
      </c>
      <c r="K82" s="73">
        <v>44</v>
      </c>
      <c r="L82" s="73">
        <v>85</v>
      </c>
      <c r="M82" s="73">
        <v>0</v>
      </c>
      <c r="N82" s="73">
        <v>0</v>
      </c>
      <c r="O82" s="86">
        <v>78720000</v>
      </c>
      <c r="P82" s="86">
        <v>1009565353.38</v>
      </c>
      <c r="Q82" s="86"/>
      <c r="R82" s="87">
        <v>1088285353.3800001</v>
      </c>
      <c r="S82" s="73"/>
      <c r="T82" s="88"/>
      <c r="U82" s="77"/>
      <c r="V82" s="89"/>
      <c r="W82" s="90"/>
      <c r="X82" s="81"/>
      <c r="Y82" s="81"/>
      <c r="Z82" s="81"/>
      <c r="AA82" s="81"/>
      <c r="AB82" s="81"/>
      <c r="AC82" s="81"/>
      <c r="AD82" s="81"/>
      <c r="AE82" s="81"/>
    </row>
    <row r="83" spans="1:31" s="1" customFormat="1" ht="15.75">
      <c r="A83" s="82">
        <v>82</v>
      </c>
      <c r="B83" s="83" t="s">
        <v>38</v>
      </c>
      <c r="C83" s="73" t="s">
        <v>178</v>
      </c>
      <c r="D83" s="73" t="s">
        <v>83</v>
      </c>
      <c r="E83" s="84" t="s">
        <v>265</v>
      </c>
      <c r="F83" s="84"/>
      <c r="G83" s="84"/>
      <c r="H83" s="85">
        <v>1200</v>
      </c>
      <c r="I83" s="73">
        <v>12</v>
      </c>
      <c r="J83" s="74">
        <v>30</v>
      </c>
      <c r="K83" s="73">
        <v>24</v>
      </c>
      <c r="L83" s="73">
        <v>57</v>
      </c>
      <c r="M83" s="73">
        <v>65</v>
      </c>
      <c r="N83" s="73">
        <v>0</v>
      </c>
      <c r="O83" s="86">
        <v>144000000</v>
      </c>
      <c r="P83" s="86">
        <v>3649829478.5799999</v>
      </c>
      <c r="Q83" s="86"/>
      <c r="R83" s="87">
        <v>3793829478.5799999</v>
      </c>
      <c r="S83" s="73"/>
      <c r="T83" s="88"/>
      <c r="U83" s="77"/>
      <c r="V83" s="89"/>
      <c r="W83" s="90"/>
      <c r="X83" s="81"/>
      <c r="Y83" s="81"/>
      <c r="Z83" s="81"/>
      <c r="AA83" s="81"/>
      <c r="AB83" s="81"/>
      <c r="AC83" s="81"/>
      <c r="AD83" s="81"/>
      <c r="AE83" s="81"/>
    </row>
    <row r="84" spans="1:31" s="1" customFormat="1" ht="15.75">
      <c r="A84" s="82">
        <v>83</v>
      </c>
      <c r="B84" s="83" t="s">
        <v>38</v>
      </c>
      <c r="C84" s="73" t="s">
        <v>178</v>
      </c>
      <c r="D84" s="73" t="s">
        <v>83</v>
      </c>
      <c r="E84" s="84" t="s">
        <v>266</v>
      </c>
      <c r="F84" s="84"/>
      <c r="G84" s="84"/>
      <c r="H84" s="85">
        <v>870</v>
      </c>
      <c r="I84" s="73">
        <v>15</v>
      </c>
      <c r="J84" s="74">
        <v>20</v>
      </c>
      <c r="K84" s="73">
        <v>18</v>
      </c>
      <c r="L84" s="73">
        <v>33</v>
      </c>
      <c r="M84" s="73">
        <v>36</v>
      </c>
      <c r="N84" s="73">
        <v>1</v>
      </c>
      <c r="O84" s="86">
        <v>90870000</v>
      </c>
      <c r="P84" s="86">
        <v>693660501</v>
      </c>
      <c r="Q84" s="86"/>
      <c r="R84" s="87">
        <v>784530501</v>
      </c>
      <c r="S84" s="73"/>
      <c r="T84" s="88"/>
      <c r="U84" s="77"/>
      <c r="V84" s="89"/>
      <c r="W84" s="90"/>
      <c r="X84" s="81"/>
      <c r="Y84" s="81"/>
      <c r="Z84" s="81"/>
      <c r="AA84" s="81"/>
      <c r="AB84" s="81"/>
      <c r="AC84" s="81"/>
      <c r="AD84" s="81"/>
      <c r="AE84" s="81"/>
    </row>
    <row r="85" spans="1:31" s="1" customFormat="1" ht="15.75">
      <c r="A85" s="82">
        <v>84</v>
      </c>
      <c r="B85" s="83" t="s">
        <v>38</v>
      </c>
      <c r="C85" s="73" t="s">
        <v>178</v>
      </c>
      <c r="D85" s="73" t="s">
        <v>83</v>
      </c>
      <c r="E85" s="84" t="s">
        <v>267</v>
      </c>
      <c r="F85" s="84"/>
      <c r="G85" s="84"/>
      <c r="H85" s="85">
        <v>1840</v>
      </c>
      <c r="I85" s="73">
        <v>15</v>
      </c>
      <c r="J85" s="74">
        <v>20</v>
      </c>
      <c r="K85" s="73">
        <v>15</v>
      </c>
      <c r="L85" s="73">
        <v>64</v>
      </c>
      <c r="M85" s="73">
        <v>0</v>
      </c>
      <c r="N85" s="73">
        <v>0</v>
      </c>
      <c r="O85" s="86">
        <v>147200000</v>
      </c>
      <c r="P85" s="86">
        <v>614126540.62</v>
      </c>
      <c r="Q85" s="86"/>
      <c r="R85" s="87">
        <v>761326540.62</v>
      </c>
      <c r="S85" s="73"/>
      <c r="T85" s="88"/>
      <c r="U85" s="77"/>
      <c r="V85" s="89"/>
      <c r="W85" s="90"/>
      <c r="X85" s="81"/>
      <c r="Y85" s="81"/>
      <c r="Z85" s="81"/>
      <c r="AA85" s="81"/>
      <c r="AB85" s="81"/>
      <c r="AC85" s="81"/>
      <c r="AD85" s="81"/>
      <c r="AE85" s="81"/>
    </row>
    <row r="86" spans="1:31" s="1" customFormat="1" ht="15.75">
      <c r="A86" s="82">
        <v>85</v>
      </c>
      <c r="B86" s="83" t="s">
        <v>38</v>
      </c>
      <c r="C86" s="73" t="s">
        <v>178</v>
      </c>
      <c r="D86" s="73" t="s">
        <v>108</v>
      </c>
      <c r="E86" s="84" t="s">
        <v>268</v>
      </c>
      <c r="F86" s="84" t="s">
        <v>269</v>
      </c>
      <c r="G86" s="84" t="s">
        <v>270</v>
      </c>
      <c r="H86" s="85">
        <v>120</v>
      </c>
      <c r="I86" s="73" t="s">
        <v>42</v>
      </c>
      <c r="J86" s="74">
        <v>6</v>
      </c>
      <c r="K86" s="73">
        <v>4</v>
      </c>
      <c r="L86" s="73">
        <v>8</v>
      </c>
      <c r="M86" s="73">
        <v>0</v>
      </c>
      <c r="N86" s="73">
        <v>1</v>
      </c>
      <c r="O86" s="86">
        <v>2880000</v>
      </c>
      <c r="P86" s="86">
        <v>38777956</v>
      </c>
      <c r="Q86" s="86"/>
      <c r="R86" s="87">
        <v>41657956</v>
      </c>
      <c r="S86" s="73" t="s">
        <v>183</v>
      </c>
      <c r="T86" s="88" t="s">
        <v>184</v>
      </c>
      <c r="U86" s="77" t="s">
        <v>271</v>
      </c>
      <c r="V86" s="89"/>
      <c r="W86" s="90"/>
      <c r="X86" s="81"/>
      <c r="Y86" s="81"/>
      <c r="Z86" s="81"/>
      <c r="AA86" s="81"/>
      <c r="AB86" s="81"/>
      <c r="AC86" s="81"/>
      <c r="AD86" s="81"/>
      <c r="AE86" s="81"/>
    </row>
    <row r="87" spans="1:31" s="1" customFormat="1" ht="15.75">
      <c r="A87" s="82">
        <v>86</v>
      </c>
      <c r="B87" s="83" t="s">
        <v>38</v>
      </c>
      <c r="C87" s="73" t="s">
        <v>178</v>
      </c>
      <c r="D87" s="73" t="s">
        <v>108</v>
      </c>
      <c r="E87" s="84" t="s">
        <v>272</v>
      </c>
      <c r="F87" s="84"/>
      <c r="G87" s="84"/>
      <c r="H87" s="85">
        <v>580</v>
      </c>
      <c r="I87" s="73" t="s">
        <v>42</v>
      </c>
      <c r="J87" s="74">
        <v>8</v>
      </c>
      <c r="K87" s="73">
        <v>11</v>
      </c>
      <c r="L87" s="73">
        <v>17</v>
      </c>
      <c r="M87" s="73">
        <v>14</v>
      </c>
      <c r="N87" s="73">
        <v>8</v>
      </c>
      <c r="O87" s="86">
        <v>18560000</v>
      </c>
      <c r="P87" s="86">
        <v>263701630.20000002</v>
      </c>
      <c r="Q87" s="86"/>
      <c r="R87" s="87">
        <v>282261630.20000005</v>
      </c>
      <c r="S87" s="73"/>
      <c r="T87" s="88"/>
      <c r="U87" s="77"/>
      <c r="V87" s="89"/>
      <c r="W87" s="90"/>
      <c r="X87" s="81"/>
      <c r="Y87" s="81"/>
      <c r="Z87" s="81"/>
      <c r="AA87" s="81"/>
      <c r="AB87" s="81"/>
      <c r="AC87" s="81"/>
      <c r="AD87" s="81"/>
      <c r="AE87" s="81"/>
    </row>
    <row r="88" spans="1:31" s="1" customFormat="1" ht="15.75">
      <c r="A88" s="82">
        <v>87</v>
      </c>
      <c r="B88" s="83" t="s">
        <v>38</v>
      </c>
      <c r="C88" s="73" t="s">
        <v>178</v>
      </c>
      <c r="D88" s="73" t="s">
        <v>108</v>
      </c>
      <c r="E88" s="84" t="s">
        <v>273</v>
      </c>
      <c r="F88" s="84"/>
      <c r="G88" s="84"/>
      <c r="H88" s="85">
        <v>110</v>
      </c>
      <c r="I88" s="73" t="s">
        <v>42</v>
      </c>
      <c r="J88" s="74">
        <v>8</v>
      </c>
      <c r="K88" s="73">
        <v>2</v>
      </c>
      <c r="L88" s="73">
        <v>9</v>
      </c>
      <c r="M88" s="73">
        <v>3</v>
      </c>
      <c r="N88" s="73">
        <v>2</v>
      </c>
      <c r="O88" s="86">
        <v>3520000</v>
      </c>
      <c r="P88" s="86">
        <v>50916242</v>
      </c>
      <c r="Q88" s="86"/>
      <c r="R88" s="87">
        <v>54436242</v>
      </c>
      <c r="S88" s="73"/>
      <c r="T88" s="88"/>
      <c r="U88" s="77"/>
      <c r="V88" s="89"/>
      <c r="W88" s="90"/>
      <c r="X88" s="81"/>
      <c r="Y88" s="81"/>
      <c r="Z88" s="81"/>
      <c r="AA88" s="81"/>
      <c r="AB88" s="81"/>
      <c r="AC88" s="81"/>
      <c r="AD88" s="81"/>
      <c r="AE88" s="81"/>
    </row>
    <row r="89" spans="1:31" s="1" customFormat="1" ht="15.75">
      <c r="A89" s="82">
        <v>88</v>
      </c>
      <c r="B89" s="83" t="s">
        <v>38</v>
      </c>
      <c r="C89" s="73" t="s">
        <v>178</v>
      </c>
      <c r="D89" s="73" t="s">
        <v>108</v>
      </c>
      <c r="E89" s="84" t="s">
        <v>274</v>
      </c>
      <c r="F89" s="84"/>
      <c r="G89" s="84"/>
      <c r="H89" s="85">
        <v>350</v>
      </c>
      <c r="I89" s="73">
        <v>2.5</v>
      </c>
      <c r="J89" s="74">
        <v>10</v>
      </c>
      <c r="K89" s="73">
        <v>4</v>
      </c>
      <c r="L89" s="73">
        <v>13</v>
      </c>
      <c r="M89" s="73">
        <v>0</v>
      </c>
      <c r="N89" s="73">
        <v>0</v>
      </c>
      <c r="O89" s="86">
        <v>14000000</v>
      </c>
      <c r="P89" s="86">
        <v>66568460</v>
      </c>
      <c r="Q89" s="86"/>
      <c r="R89" s="87">
        <v>80568460</v>
      </c>
      <c r="S89" s="73"/>
      <c r="T89" s="88"/>
      <c r="U89" s="77"/>
      <c r="V89" s="89"/>
      <c r="W89" s="90"/>
      <c r="X89" s="81"/>
      <c r="Y89" s="81"/>
      <c r="Z89" s="81"/>
      <c r="AA89" s="81"/>
      <c r="AB89" s="81"/>
      <c r="AC89" s="81"/>
      <c r="AD89" s="81"/>
      <c r="AE89" s="81"/>
    </row>
    <row r="90" spans="1:31" s="1" customFormat="1" ht="54">
      <c r="A90" s="82">
        <v>89</v>
      </c>
      <c r="B90" s="83" t="s">
        <v>38</v>
      </c>
      <c r="C90" s="73" t="s">
        <v>178</v>
      </c>
      <c r="D90" s="73" t="s">
        <v>108</v>
      </c>
      <c r="E90" s="84" t="s">
        <v>275</v>
      </c>
      <c r="F90" s="84" t="s">
        <v>276</v>
      </c>
      <c r="G90" s="84" t="s">
        <v>277</v>
      </c>
      <c r="H90" s="85">
        <v>1175</v>
      </c>
      <c r="I90" s="73">
        <v>4</v>
      </c>
      <c r="J90" s="74">
        <v>10</v>
      </c>
      <c r="K90" s="73"/>
      <c r="L90" s="73"/>
      <c r="M90" s="73"/>
      <c r="N90" s="73"/>
      <c r="O90" s="86">
        <v>10000000</v>
      </c>
      <c r="P90" s="86">
        <v>250000000</v>
      </c>
      <c r="Q90" s="86"/>
      <c r="R90" s="87">
        <v>260000000</v>
      </c>
      <c r="S90" s="73" t="s">
        <v>195</v>
      </c>
      <c r="T90" s="88" t="s">
        <v>278</v>
      </c>
      <c r="U90" s="77"/>
      <c r="V90" s="89"/>
      <c r="W90" s="90"/>
      <c r="X90" s="81"/>
      <c r="Y90" s="81"/>
      <c r="Z90" s="81"/>
      <c r="AA90" s="81"/>
      <c r="AB90" s="81"/>
      <c r="AC90" s="81"/>
      <c r="AD90" s="81"/>
      <c r="AE90" s="81"/>
    </row>
    <row r="91" spans="1:31" s="1" customFormat="1" ht="15.75">
      <c r="A91" s="82">
        <v>90</v>
      </c>
      <c r="B91" s="83" t="s">
        <v>38</v>
      </c>
      <c r="C91" s="73" t="s">
        <v>178</v>
      </c>
      <c r="D91" s="73" t="s">
        <v>108</v>
      </c>
      <c r="E91" s="84" t="s">
        <v>279</v>
      </c>
      <c r="F91" s="84"/>
      <c r="G91" s="84"/>
      <c r="H91" s="85">
        <v>450</v>
      </c>
      <c r="I91" s="73">
        <v>4</v>
      </c>
      <c r="J91" s="74">
        <v>8</v>
      </c>
      <c r="K91" s="73">
        <v>11</v>
      </c>
      <c r="L91" s="73">
        <v>11</v>
      </c>
      <c r="M91" s="73">
        <v>0</v>
      </c>
      <c r="N91" s="73">
        <v>0</v>
      </c>
      <c r="O91" s="86">
        <v>14400000</v>
      </c>
      <c r="P91" s="86">
        <v>507698118</v>
      </c>
      <c r="Q91" s="86"/>
      <c r="R91" s="87">
        <v>522098118</v>
      </c>
      <c r="S91" s="73"/>
      <c r="T91" s="88"/>
      <c r="U91" s="77"/>
      <c r="V91" s="89"/>
      <c r="W91" s="90"/>
      <c r="X91" s="81"/>
      <c r="Y91" s="81"/>
      <c r="Z91" s="81"/>
      <c r="AA91" s="81"/>
      <c r="AB91" s="81"/>
      <c r="AC91" s="81"/>
      <c r="AD91" s="81"/>
      <c r="AE91" s="81"/>
    </row>
    <row r="92" spans="1:31" s="1" customFormat="1" ht="15.75">
      <c r="A92" s="82">
        <v>91</v>
      </c>
      <c r="B92" s="83" t="s">
        <v>38</v>
      </c>
      <c r="C92" s="73" t="s">
        <v>178</v>
      </c>
      <c r="D92" s="73" t="s">
        <v>117</v>
      </c>
      <c r="E92" s="84" t="s">
        <v>280</v>
      </c>
      <c r="F92" s="84" t="s">
        <v>281</v>
      </c>
      <c r="G92" s="84" t="s">
        <v>282</v>
      </c>
      <c r="H92" s="85">
        <v>250</v>
      </c>
      <c r="I92" s="73" t="s">
        <v>42</v>
      </c>
      <c r="J92" s="74">
        <v>8</v>
      </c>
      <c r="K92" s="73">
        <v>17</v>
      </c>
      <c r="L92" s="73">
        <v>4</v>
      </c>
      <c r="M92" s="73">
        <v>0</v>
      </c>
      <c r="N92" s="73">
        <v>0</v>
      </c>
      <c r="O92" s="86">
        <v>8000000</v>
      </c>
      <c r="P92" s="86">
        <v>41237852</v>
      </c>
      <c r="Q92" s="86"/>
      <c r="R92" s="87">
        <v>49237852</v>
      </c>
      <c r="S92" s="73" t="s">
        <v>183</v>
      </c>
      <c r="T92" s="88" t="s">
        <v>184</v>
      </c>
      <c r="U92" s="77" t="s">
        <v>283</v>
      </c>
      <c r="V92" s="89"/>
      <c r="W92" s="90"/>
      <c r="X92" s="81"/>
      <c r="Y92" s="81"/>
      <c r="Z92" s="81"/>
      <c r="AA92" s="81"/>
      <c r="AB92" s="81"/>
      <c r="AC92" s="81"/>
      <c r="AD92" s="81"/>
      <c r="AE92" s="81"/>
    </row>
    <row r="93" spans="1:31" s="1" customFormat="1" ht="15.75">
      <c r="A93" s="82">
        <v>92</v>
      </c>
      <c r="B93" s="83" t="s">
        <v>38</v>
      </c>
      <c r="C93" s="73" t="s">
        <v>178</v>
      </c>
      <c r="D93" s="73" t="s">
        <v>117</v>
      </c>
      <c r="E93" s="84" t="s">
        <v>284</v>
      </c>
      <c r="F93" s="84"/>
      <c r="G93" s="84"/>
      <c r="H93" s="85">
        <v>1300</v>
      </c>
      <c r="I93" s="73">
        <v>2.5</v>
      </c>
      <c r="J93" s="74">
        <v>10</v>
      </c>
      <c r="K93" s="73">
        <v>15</v>
      </c>
      <c r="L93" s="73">
        <v>20</v>
      </c>
      <c r="M93" s="73">
        <v>0</v>
      </c>
      <c r="N93" s="73">
        <v>0</v>
      </c>
      <c r="O93" s="86">
        <v>52000000</v>
      </c>
      <c r="P93" s="86">
        <v>101400000</v>
      </c>
      <c r="Q93" s="86"/>
      <c r="R93" s="87">
        <v>153400000</v>
      </c>
      <c r="S93" s="73"/>
      <c r="T93" s="88"/>
      <c r="U93" s="77"/>
      <c r="V93" s="89"/>
      <c r="W93" s="90"/>
      <c r="X93" s="81"/>
      <c r="Y93" s="81"/>
      <c r="Z93" s="81"/>
      <c r="AA93" s="81"/>
      <c r="AB93" s="81"/>
      <c r="AC93" s="81"/>
      <c r="AD93" s="81"/>
      <c r="AE93" s="81"/>
    </row>
    <row r="94" spans="1:31" s="1" customFormat="1" ht="27">
      <c r="A94" s="82">
        <v>93</v>
      </c>
      <c r="B94" s="83" t="s">
        <v>38</v>
      </c>
      <c r="C94" s="73" t="s">
        <v>178</v>
      </c>
      <c r="D94" s="73" t="s">
        <v>117</v>
      </c>
      <c r="E94" s="84" t="s">
        <v>285</v>
      </c>
      <c r="F94" s="84" t="s">
        <v>286</v>
      </c>
      <c r="G94" s="84" t="s">
        <v>287</v>
      </c>
      <c r="H94" s="85">
        <v>270</v>
      </c>
      <c r="I94" s="73" t="s">
        <v>235</v>
      </c>
      <c r="J94" s="74">
        <v>15</v>
      </c>
      <c r="K94" s="73">
        <v>13</v>
      </c>
      <c r="L94" s="73">
        <v>10</v>
      </c>
      <c r="M94" s="73">
        <v>0</v>
      </c>
      <c r="N94" s="73">
        <v>0</v>
      </c>
      <c r="O94" s="86">
        <v>14040000</v>
      </c>
      <c r="P94" s="86">
        <v>152550000</v>
      </c>
      <c r="Q94" s="86"/>
      <c r="R94" s="87">
        <v>166590000</v>
      </c>
      <c r="S94" s="73" t="s">
        <v>288</v>
      </c>
      <c r="T94" s="88" t="s">
        <v>289</v>
      </c>
      <c r="U94" s="77"/>
      <c r="V94" s="89"/>
      <c r="W94" s="90"/>
      <c r="X94" s="81"/>
      <c r="Y94" s="81"/>
      <c r="Z94" s="81"/>
      <c r="AA94" s="81"/>
      <c r="AB94" s="81"/>
      <c r="AC94" s="81"/>
      <c r="AD94" s="81"/>
      <c r="AE94" s="81"/>
    </row>
    <row r="95" spans="1:31" s="1" customFormat="1" ht="15.75">
      <c r="A95" s="82">
        <v>94</v>
      </c>
      <c r="B95" s="83" t="s">
        <v>38</v>
      </c>
      <c r="C95" s="73" t="s">
        <v>178</v>
      </c>
      <c r="D95" s="73" t="s">
        <v>117</v>
      </c>
      <c r="E95" s="84" t="s">
        <v>290</v>
      </c>
      <c r="F95" s="84"/>
      <c r="G95" s="84"/>
      <c r="H95" s="85">
        <v>350</v>
      </c>
      <c r="I95" s="73" t="s">
        <v>42</v>
      </c>
      <c r="J95" s="74">
        <v>15</v>
      </c>
      <c r="K95" s="73" t="s">
        <v>291</v>
      </c>
      <c r="L95" s="73">
        <v>0</v>
      </c>
      <c r="M95" s="73">
        <v>0</v>
      </c>
      <c r="N95" s="73">
        <v>0</v>
      </c>
      <c r="O95" s="86">
        <v>21000000</v>
      </c>
      <c r="P95" s="86">
        <v>280339500</v>
      </c>
      <c r="Q95" s="86"/>
      <c r="R95" s="87">
        <v>301339500</v>
      </c>
      <c r="S95" s="73"/>
      <c r="T95" s="88"/>
      <c r="U95" s="77"/>
      <c r="V95" s="89"/>
      <c r="W95" s="90"/>
      <c r="X95" s="81"/>
      <c r="Y95" s="81"/>
      <c r="Z95" s="81"/>
      <c r="AA95" s="81"/>
      <c r="AB95" s="81"/>
      <c r="AC95" s="81"/>
      <c r="AD95" s="81"/>
      <c r="AE95" s="81"/>
    </row>
    <row r="96" spans="1:31" s="1" customFormat="1" ht="15.75">
      <c r="A96" s="82">
        <v>95</v>
      </c>
      <c r="B96" s="83" t="s">
        <v>38</v>
      </c>
      <c r="C96" s="73" t="s">
        <v>178</v>
      </c>
      <c r="D96" s="73" t="s">
        <v>117</v>
      </c>
      <c r="E96" s="84" t="s">
        <v>292</v>
      </c>
      <c r="F96" s="84"/>
      <c r="G96" s="84"/>
      <c r="H96" s="85">
        <v>800</v>
      </c>
      <c r="I96" s="73">
        <v>8</v>
      </c>
      <c r="J96" s="74">
        <v>15</v>
      </c>
      <c r="K96" s="73">
        <v>18</v>
      </c>
      <c r="L96" s="73">
        <v>6</v>
      </c>
      <c r="M96" s="73">
        <v>0</v>
      </c>
      <c r="N96" s="73">
        <v>0</v>
      </c>
      <c r="O96" s="86">
        <v>48000000</v>
      </c>
      <c r="P96" s="86">
        <v>185046400</v>
      </c>
      <c r="Q96" s="86"/>
      <c r="R96" s="87">
        <v>233046400</v>
      </c>
      <c r="S96" s="73"/>
      <c r="T96" s="88"/>
      <c r="U96" s="77"/>
      <c r="V96" s="89"/>
      <c r="W96" s="90"/>
      <c r="X96" s="81"/>
      <c r="Y96" s="81"/>
      <c r="Z96" s="81"/>
      <c r="AA96" s="81"/>
      <c r="AB96" s="81"/>
      <c r="AC96" s="81"/>
      <c r="AD96" s="81"/>
      <c r="AE96" s="81"/>
    </row>
    <row r="97" spans="1:31" s="1" customFormat="1" ht="15.75">
      <c r="A97" s="82">
        <v>96</v>
      </c>
      <c r="B97" s="83" t="s">
        <v>38</v>
      </c>
      <c r="C97" s="73" t="s">
        <v>178</v>
      </c>
      <c r="D97" s="73" t="s">
        <v>117</v>
      </c>
      <c r="E97" s="84" t="s">
        <v>293</v>
      </c>
      <c r="F97" s="84"/>
      <c r="G97" s="84"/>
      <c r="H97" s="85">
        <v>1000</v>
      </c>
      <c r="I97" s="73">
        <v>5</v>
      </c>
      <c r="J97" s="74">
        <v>12</v>
      </c>
      <c r="K97" s="73">
        <v>16</v>
      </c>
      <c r="L97" s="73">
        <v>87</v>
      </c>
      <c r="M97" s="73">
        <v>0</v>
      </c>
      <c r="N97" s="73">
        <v>0</v>
      </c>
      <c r="O97" s="86">
        <v>48000000</v>
      </c>
      <c r="P97" s="86">
        <v>237580000</v>
      </c>
      <c r="Q97" s="86"/>
      <c r="R97" s="87">
        <v>285580000</v>
      </c>
      <c r="S97" s="73"/>
      <c r="T97" s="88"/>
      <c r="U97" s="77"/>
      <c r="V97" s="89"/>
      <c r="W97" s="90"/>
      <c r="X97" s="81"/>
      <c r="Y97" s="81"/>
      <c r="Z97" s="81"/>
      <c r="AA97" s="81"/>
      <c r="AB97" s="81"/>
      <c r="AC97" s="81"/>
      <c r="AD97" s="81"/>
      <c r="AE97" s="81"/>
    </row>
    <row r="98" spans="1:31" s="1" customFormat="1" ht="15.75">
      <c r="A98" s="82">
        <v>97</v>
      </c>
      <c r="B98" s="83" t="s">
        <v>38</v>
      </c>
      <c r="C98" s="73" t="s">
        <v>178</v>
      </c>
      <c r="D98" s="73" t="s">
        <v>117</v>
      </c>
      <c r="E98" s="84" t="s">
        <v>294</v>
      </c>
      <c r="F98" s="84"/>
      <c r="G98" s="84"/>
      <c r="H98" s="85">
        <v>1250</v>
      </c>
      <c r="I98" s="73" t="s">
        <v>254</v>
      </c>
      <c r="J98" s="74">
        <v>15.5</v>
      </c>
      <c r="K98" s="73">
        <v>13</v>
      </c>
      <c r="L98" s="73">
        <v>25</v>
      </c>
      <c r="M98" s="73">
        <v>0</v>
      </c>
      <c r="N98" s="73">
        <v>0</v>
      </c>
      <c r="O98" s="86">
        <v>77500000</v>
      </c>
      <c r="P98" s="86">
        <v>305620234.25999999</v>
      </c>
      <c r="Q98" s="86"/>
      <c r="R98" s="87">
        <v>383120234.25999999</v>
      </c>
      <c r="S98" s="73"/>
      <c r="T98" s="88"/>
      <c r="U98" s="77"/>
      <c r="V98" s="89"/>
      <c r="W98" s="90"/>
      <c r="X98" s="81"/>
      <c r="Y98" s="81"/>
      <c r="Z98" s="81"/>
      <c r="AA98" s="81"/>
      <c r="AB98" s="81"/>
      <c r="AC98" s="81"/>
      <c r="AD98" s="81"/>
      <c r="AE98" s="81"/>
    </row>
    <row r="99" spans="1:31" s="1" customFormat="1" ht="54">
      <c r="A99" s="82">
        <v>98</v>
      </c>
      <c r="B99" s="83" t="s">
        <v>38</v>
      </c>
      <c r="C99" s="73" t="s">
        <v>178</v>
      </c>
      <c r="D99" s="73" t="s">
        <v>117</v>
      </c>
      <c r="E99" s="84" t="s">
        <v>295</v>
      </c>
      <c r="F99" s="84" t="s">
        <v>296</v>
      </c>
      <c r="G99" s="84" t="s">
        <v>297</v>
      </c>
      <c r="H99" s="85">
        <v>90</v>
      </c>
      <c r="I99" s="73" t="s">
        <v>42</v>
      </c>
      <c r="J99" s="74">
        <v>8</v>
      </c>
      <c r="K99" s="73">
        <v>2</v>
      </c>
      <c r="L99" s="73">
        <v>1</v>
      </c>
      <c r="M99" s="73">
        <v>0</v>
      </c>
      <c r="N99" s="73">
        <v>0</v>
      </c>
      <c r="O99" s="86">
        <v>2880000</v>
      </c>
      <c r="P99" s="86">
        <v>34992000</v>
      </c>
      <c r="Q99" s="86"/>
      <c r="R99" s="87">
        <v>37872000</v>
      </c>
      <c r="S99" s="73" t="s">
        <v>195</v>
      </c>
      <c r="T99" s="88" t="s">
        <v>298</v>
      </c>
      <c r="U99" s="77"/>
      <c r="V99" s="89"/>
      <c r="W99" s="90"/>
      <c r="X99" s="81"/>
      <c r="Y99" s="81"/>
      <c r="Z99" s="81"/>
      <c r="AA99" s="81"/>
      <c r="AB99" s="81"/>
      <c r="AC99" s="81"/>
      <c r="AD99" s="81"/>
      <c r="AE99" s="81"/>
    </row>
    <row r="100" spans="1:31" s="1" customFormat="1" ht="15.75">
      <c r="A100" s="82">
        <v>99</v>
      </c>
      <c r="B100" s="83" t="s">
        <v>38</v>
      </c>
      <c r="C100" s="73" t="s">
        <v>178</v>
      </c>
      <c r="D100" s="73" t="s">
        <v>121</v>
      </c>
      <c r="E100" s="84" t="s">
        <v>299</v>
      </c>
      <c r="F100" s="84" t="s">
        <v>300</v>
      </c>
      <c r="G100" s="84"/>
      <c r="H100" s="85">
        <v>150</v>
      </c>
      <c r="I100" s="73" t="s">
        <v>200</v>
      </c>
      <c r="J100" s="74">
        <v>10</v>
      </c>
      <c r="K100" s="73">
        <v>3</v>
      </c>
      <c r="L100" s="73">
        <v>3</v>
      </c>
      <c r="M100" s="73">
        <v>0</v>
      </c>
      <c r="N100" s="73">
        <v>0</v>
      </c>
      <c r="O100" s="86">
        <v>6000000</v>
      </c>
      <c r="P100" s="86">
        <v>45937960</v>
      </c>
      <c r="Q100" s="86"/>
      <c r="R100" s="87">
        <v>51937960</v>
      </c>
      <c r="S100" s="73" t="s">
        <v>183</v>
      </c>
      <c r="T100" s="88" t="s">
        <v>184</v>
      </c>
      <c r="U100" s="77" t="s">
        <v>301</v>
      </c>
      <c r="V100" s="89"/>
      <c r="W100" s="90"/>
      <c r="X100" s="81"/>
      <c r="Y100" s="81"/>
      <c r="Z100" s="81"/>
      <c r="AA100" s="81"/>
      <c r="AB100" s="81"/>
      <c r="AC100" s="81"/>
      <c r="AD100" s="81"/>
      <c r="AE100" s="81"/>
    </row>
    <row r="101" spans="1:31" s="1" customFormat="1" ht="40.5">
      <c r="A101" s="82">
        <v>100</v>
      </c>
      <c r="B101" s="83" t="s">
        <v>38</v>
      </c>
      <c r="C101" s="73" t="s">
        <v>178</v>
      </c>
      <c r="D101" s="73" t="s">
        <v>121</v>
      </c>
      <c r="E101" s="84" t="s">
        <v>302</v>
      </c>
      <c r="F101" s="84" t="s">
        <v>303</v>
      </c>
      <c r="G101" s="84" t="s">
        <v>304</v>
      </c>
      <c r="H101" s="85">
        <v>320</v>
      </c>
      <c r="I101" s="73" t="s">
        <v>42</v>
      </c>
      <c r="J101" s="74">
        <v>10</v>
      </c>
      <c r="K101" s="73">
        <v>8</v>
      </c>
      <c r="L101" s="73">
        <v>15</v>
      </c>
      <c r="M101" s="73">
        <v>0</v>
      </c>
      <c r="N101" s="73">
        <v>1</v>
      </c>
      <c r="O101" s="86">
        <v>12800000</v>
      </c>
      <c r="P101" s="86">
        <v>144080511</v>
      </c>
      <c r="Q101" s="86">
        <v>1105950</v>
      </c>
      <c r="R101" s="87">
        <v>157986461</v>
      </c>
      <c r="S101" s="73" t="s">
        <v>195</v>
      </c>
      <c r="T101" s="88" t="s">
        <v>305</v>
      </c>
      <c r="U101" s="77"/>
      <c r="V101" s="89"/>
      <c r="W101" s="90"/>
      <c r="X101" s="81"/>
      <c r="Y101" s="81"/>
      <c r="Z101" s="81"/>
      <c r="AA101" s="81"/>
      <c r="AB101" s="81"/>
      <c r="AC101" s="81"/>
      <c r="AD101" s="81"/>
      <c r="AE101" s="81"/>
    </row>
    <row r="102" spans="1:31" s="1" customFormat="1" ht="15.75">
      <c r="A102" s="82">
        <v>101</v>
      </c>
      <c r="B102" s="83" t="s">
        <v>38</v>
      </c>
      <c r="C102" s="73" t="s">
        <v>178</v>
      </c>
      <c r="D102" s="73" t="s">
        <v>121</v>
      </c>
      <c r="E102" s="84" t="s">
        <v>306</v>
      </c>
      <c r="F102" s="84"/>
      <c r="G102" s="84"/>
      <c r="H102" s="85">
        <v>105</v>
      </c>
      <c r="I102" s="73" t="s">
        <v>42</v>
      </c>
      <c r="J102" s="74">
        <v>7</v>
      </c>
      <c r="K102" s="73">
        <v>4</v>
      </c>
      <c r="L102" s="73">
        <v>3</v>
      </c>
      <c r="M102" s="73">
        <v>0</v>
      </c>
      <c r="N102" s="73">
        <v>0</v>
      </c>
      <c r="O102" s="86">
        <v>2940000</v>
      </c>
      <c r="P102" s="86">
        <v>30958568.219999999</v>
      </c>
      <c r="Q102" s="86"/>
      <c r="R102" s="87">
        <v>33898568.219999999</v>
      </c>
      <c r="S102" s="73"/>
      <c r="T102" s="88"/>
      <c r="U102" s="77"/>
      <c r="V102" s="89"/>
      <c r="W102" s="90"/>
      <c r="X102" s="81"/>
      <c r="Y102" s="81"/>
      <c r="Z102" s="81"/>
      <c r="AA102" s="81"/>
      <c r="AB102" s="81"/>
      <c r="AC102" s="81"/>
      <c r="AD102" s="81"/>
      <c r="AE102" s="81"/>
    </row>
    <row r="103" spans="1:31" s="1" customFormat="1" ht="15.75">
      <c r="A103" s="82">
        <v>102</v>
      </c>
      <c r="B103" s="83" t="s">
        <v>38</v>
      </c>
      <c r="C103" s="73" t="s">
        <v>178</v>
      </c>
      <c r="D103" s="73" t="s">
        <v>133</v>
      </c>
      <c r="E103" s="84" t="s">
        <v>307</v>
      </c>
      <c r="F103" s="84"/>
      <c r="G103" s="84"/>
      <c r="H103" s="85">
        <v>150</v>
      </c>
      <c r="I103" s="73">
        <v>4</v>
      </c>
      <c r="J103" s="74">
        <v>12</v>
      </c>
      <c r="K103" s="73">
        <v>0</v>
      </c>
      <c r="L103" s="73">
        <v>7</v>
      </c>
      <c r="M103" s="73">
        <v>0</v>
      </c>
      <c r="N103" s="73">
        <v>0</v>
      </c>
      <c r="O103" s="86">
        <v>7200000</v>
      </c>
      <c r="P103" s="86">
        <v>105269800</v>
      </c>
      <c r="Q103" s="86"/>
      <c r="R103" s="87">
        <v>112469800</v>
      </c>
      <c r="S103" s="73"/>
      <c r="T103" s="88"/>
      <c r="U103" s="77"/>
      <c r="V103" s="89"/>
      <c r="W103" s="90"/>
      <c r="X103" s="81"/>
      <c r="Y103" s="81"/>
      <c r="Z103" s="81"/>
      <c r="AA103" s="81"/>
      <c r="AB103" s="81"/>
      <c r="AC103" s="81"/>
      <c r="AD103" s="81"/>
      <c r="AE103" s="81"/>
    </row>
    <row r="104" spans="1:31" s="1" customFormat="1" ht="15.75">
      <c r="A104" s="82">
        <v>103</v>
      </c>
      <c r="B104" s="83" t="s">
        <v>38</v>
      </c>
      <c r="C104" s="73" t="s">
        <v>178</v>
      </c>
      <c r="D104" s="73" t="s">
        <v>133</v>
      </c>
      <c r="E104" s="84" t="s">
        <v>308</v>
      </c>
      <c r="F104" s="84"/>
      <c r="G104" s="84"/>
      <c r="H104" s="85">
        <v>200</v>
      </c>
      <c r="I104" s="73">
        <v>4.2</v>
      </c>
      <c r="J104" s="74">
        <v>8</v>
      </c>
      <c r="K104" s="73">
        <v>9</v>
      </c>
      <c r="L104" s="73">
        <v>11</v>
      </c>
      <c r="M104" s="73">
        <v>1</v>
      </c>
      <c r="N104" s="73">
        <v>0</v>
      </c>
      <c r="O104" s="86">
        <v>6400000</v>
      </c>
      <c r="P104" s="86">
        <v>1010000</v>
      </c>
      <c r="Q104" s="86"/>
      <c r="R104" s="87">
        <v>7410000</v>
      </c>
      <c r="S104" s="73"/>
      <c r="T104" s="88" t="s">
        <v>309</v>
      </c>
      <c r="U104" s="77"/>
      <c r="V104" s="89"/>
      <c r="W104" s="90"/>
      <c r="X104" s="81"/>
      <c r="Y104" s="81"/>
      <c r="Z104" s="81"/>
      <c r="AA104" s="81"/>
      <c r="AB104" s="81"/>
      <c r="AC104" s="81"/>
      <c r="AD104" s="81"/>
      <c r="AE104" s="81"/>
    </row>
    <row r="105" spans="1:31" s="1" customFormat="1" ht="15.75">
      <c r="A105" s="82">
        <v>104</v>
      </c>
      <c r="B105" s="83" t="s">
        <v>38</v>
      </c>
      <c r="C105" s="73" t="s">
        <v>178</v>
      </c>
      <c r="D105" s="73" t="s">
        <v>137</v>
      </c>
      <c r="E105" s="84" t="s">
        <v>310</v>
      </c>
      <c r="F105" s="84"/>
      <c r="G105" s="84"/>
      <c r="H105" s="85">
        <v>140</v>
      </c>
      <c r="I105" s="73" t="s">
        <v>42</v>
      </c>
      <c r="J105" s="74">
        <v>8</v>
      </c>
      <c r="K105" s="73">
        <v>3</v>
      </c>
      <c r="L105" s="73">
        <v>9</v>
      </c>
      <c r="M105" s="73">
        <v>1</v>
      </c>
      <c r="N105" s="73">
        <v>1</v>
      </c>
      <c r="O105" s="86">
        <v>4480000</v>
      </c>
      <c r="P105" s="86">
        <v>86339460</v>
      </c>
      <c r="Q105" s="86"/>
      <c r="R105" s="87">
        <v>90819460</v>
      </c>
      <c r="S105" s="73" t="s">
        <v>311</v>
      </c>
      <c r="T105" s="88"/>
      <c r="U105" s="77"/>
      <c r="V105" s="89"/>
      <c r="W105" s="90"/>
      <c r="X105" s="81"/>
      <c r="Y105" s="81"/>
      <c r="Z105" s="81"/>
      <c r="AA105" s="81"/>
      <c r="AB105" s="81"/>
      <c r="AC105" s="81"/>
      <c r="AD105" s="81"/>
      <c r="AE105" s="81"/>
    </row>
    <row r="106" spans="1:31" s="1" customFormat="1" ht="121.5">
      <c r="A106" s="82">
        <v>105</v>
      </c>
      <c r="B106" s="83" t="s">
        <v>38</v>
      </c>
      <c r="C106" s="73" t="s">
        <v>178</v>
      </c>
      <c r="D106" s="73" t="s">
        <v>137</v>
      </c>
      <c r="E106" s="84" t="s">
        <v>312</v>
      </c>
      <c r="F106" s="84" t="s">
        <v>313</v>
      </c>
      <c r="G106" s="84" t="s">
        <v>314</v>
      </c>
      <c r="H106" s="85">
        <v>155</v>
      </c>
      <c r="I106" s="73" t="s">
        <v>42</v>
      </c>
      <c r="J106" s="74">
        <v>8</v>
      </c>
      <c r="K106" s="73">
        <v>3</v>
      </c>
      <c r="L106" s="73">
        <v>2</v>
      </c>
      <c r="M106" s="73">
        <v>0</v>
      </c>
      <c r="N106" s="73">
        <v>2</v>
      </c>
      <c r="O106" s="86">
        <v>4960000</v>
      </c>
      <c r="P106" s="86">
        <v>123556436.02</v>
      </c>
      <c r="Q106" s="86"/>
      <c r="R106" s="87">
        <v>128516436.02</v>
      </c>
      <c r="S106" s="73" t="s">
        <v>315</v>
      </c>
      <c r="T106" s="88" t="s">
        <v>316</v>
      </c>
      <c r="U106" s="77"/>
      <c r="V106" s="89"/>
      <c r="W106" s="90"/>
      <c r="X106" s="81"/>
      <c r="Y106" s="81"/>
      <c r="Z106" s="81"/>
      <c r="AA106" s="81"/>
      <c r="AB106" s="81"/>
      <c r="AC106" s="81"/>
      <c r="AD106" s="81"/>
      <c r="AE106" s="81"/>
    </row>
    <row r="107" spans="1:31" s="1" customFormat="1" ht="54">
      <c r="A107" s="82">
        <v>106</v>
      </c>
      <c r="B107" s="83" t="s">
        <v>38</v>
      </c>
      <c r="C107" s="73" t="s">
        <v>178</v>
      </c>
      <c r="D107" s="73" t="s">
        <v>137</v>
      </c>
      <c r="E107" s="84" t="s">
        <v>317</v>
      </c>
      <c r="F107" s="84" t="s">
        <v>318</v>
      </c>
      <c r="G107" s="84" t="s">
        <v>319</v>
      </c>
      <c r="H107" s="85">
        <v>142</v>
      </c>
      <c r="I107" s="73" t="s">
        <v>42</v>
      </c>
      <c r="J107" s="74">
        <v>15</v>
      </c>
      <c r="K107" s="73">
        <v>5</v>
      </c>
      <c r="L107" s="73">
        <v>0</v>
      </c>
      <c r="M107" s="73">
        <v>0</v>
      </c>
      <c r="N107" s="73">
        <v>0</v>
      </c>
      <c r="O107" s="86">
        <v>200770000</v>
      </c>
      <c r="P107" s="86">
        <v>0</v>
      </c>
      <c r="Q107" s="86"/>
      <c r="R107" s="87">
        <v>200770000</v>
      </c>
      <c r="S107" s="73" t="s">
        <v>320</v>
      </c>
      <c r="T107" s="88" t="s">
        <v>321</v>
      </c>
      <c r="U107" s="77"/>
      <c r="V107" s="89"/>
      <c r="W107" s="90"/>
      <c r="X107" s="81"/>
      <c r="Y107" s="81"/>
      <c r="Z107" s="81"/>
      <c r="AA107" s="81"/>
      <c r="AB107" s="81"/>
      <c r="AC107" s="81"/>
      <c r="AD107" s="81"/>
      <c r="AE107" s="81"/>
    </row>
    <row r="108" spans="1:31" s="1" customFormat="1" ht="40.5">
      <c r="A108" s="82">
        <v>107</v>
      </c>
      <c r="B108" s="83" t="s">
        <v>38</v>
      </c>
      <c r="C108" s="73" t="s">
        <v>178</v>
      </c>
      <c r="D108" s="73" t="s">
        <v>147</v>
      </c>
      <c r="E108" s="84" t="s">
        <v>322</v>
      </c>
      <c r="F108" s="84"/>
      <c r="G108" s="84"/>
      <c r="H108" s="85">
        <v>230</v>
      </c>
      <c r="I108" s="73" t="s">
        <v>42</v>
      </c>
      <c r="J108" s="74">
        <v>12</v>
      </c>
      <c r="K108" s="73">
        <v>12</v>
      </c>
      <c r="L108" s="73">
        <v>31</v>
      </c>
      <c r="M108" s="73">
        <v>2</v>
      </c>
      <c r="N108" s="73">
        <v>1</v>
      </c>
      <c r="O108" s="86">
        <v>11040000</v>
      </c>
      <c r="P108" s="86">
        <v>163826648</v>
      </c>
      <c r="Q108" s="86"/>
      <c r="R108" s="87">
        <v>174866648</v>
      </c>
      <c r="S108" s="73" t="s">
        <v>323</v>
      </c>
      <c r="T108" s="88" t="s">
        <v>324</v>
      </c>
      <c r="U108" s="77"/>
      <c r="V108" s="89"/>
      <c r="W108" s="90"/>
      <c r="X108" s="81"/>
      <c r="Y108" s="81"/>
      <c r="Z108" s="81"/>
      <c r="AA108" s="81"/>
      <c r="AB108" s="81"/>
      <c r="AC108" s="81"/>
      <c r="AD108" s="81"/>
      <c r="AE108" s="81"/>
    </row>
    <row r="109" spans="1:31" s="1" customFormat="1" ht="15.75">
      <c r="A109" s="82">
        <v>108</v>
      </c>
      <c r="B109" s="83" t="s">
        <v>38</v>
      </c>
      <c r="C109" s="73" t="s">
        <v>178</v>
      </c>
      <c r="D109" s="73" t="s">
        <v>147</v>
      </c>
      <c r="E109" s="84" t="s">
        <v>325</v>
      </c>
      <c r="F109" s="84"/>
      <c r="G109" s="84"/>
      <c r="H109" s="85">
        <v>1200</v>
      </c>
      <c r="I109" s="73" t="s">
        <v>326</v>
      </c>
      <c r="J109" s="74">
        <v>12</v>
      </c>
      <c r="K109" s="73">
        <v>13</v>
      </c>
      <c r="L109" s="73">
        <v>32</v>
      </c>
      <c r="M109" s="73">
        <v>4</v>
      </c>
      <c r="N109" s="73">
        <v>6</v>
      </c>
      <c r="O109" s="86">
        <v>57600000</v>
      </c>
      <c r="P109" s="86">
        <v>175100650</v>
      </c>
      <c r="Q109" s="86"/>
      <c r="R109" s="87">
        <v>232700650</v>
      </c>
      <c r="S109" s="73"/>
      <c r="T109" s="88"/>
      <c r="U109" s="77"/>
      <c r="V109" s="89"/>
      <c r="W109" s="90"/>
      <c r="X109" s="81"/>
      <c r="Y109" s="81"/>
      <c r="Z109" s="81"/>
      <c r="AA109" s="81"/>
      <c r="AB109" s="81"/>
      <c r="AC109" s="81"/>
      <c r="AD109" s="81"/>
      <c r="AE109" s="81"/>
    </row>
    <row r="110" spans="1:31" s="1" customFormat="1" ht="15.75">
      <c r="A110" s="82">
        <v>109</v>
      </c>
      <c r="B110" s="83" t="s">
        <v>38</v>
      </c>
      <c r="C110" s="73" t="s">
        <v>178</v>
      </c>
      <c r="D110" s="73" t="s">
        <v>147</v>
      </c>
      <c r="E110" s="84" t="s">
        <v>327</v>
      </c>
      <c r="F110" s="84" t="s">
        <v>328</v>
      </c>
      <c r="G110" s="84" t="s">
        <v>329</v>
      </c>
      <c r="H110" s="85">
        <v>560</v>
      </c>
      <c r="I110" s="73" t="s">
        <v>42</v>
      </c>
      <c r="J110" s="74">
        <v>4</v>
      </c>
      <c r="K110" s="73">
        <v>3</v>
      </c>
      <c r="L110" s="73">
        <v>1</v>
      </c>
      <c r="M110" s="73">
        <v>0</v>
      </c>
      <c r="N110" s="73">
        <v>4</v>
      </c>
      <c r="O110" s="86">
        <v>8960000</v>
      </c>
      <c r="P110" s="86">
        <v>125138000</v>
      </c>
      <c r="Q110" s="86"/>
      <c r="R110" s="87">
        <v>134098000</v>
      </c>
      <c r="S110" s="73" t="s">
        <v>145</v>
      </c>
      <c r="T110" s="88" t="s">
        <v>330</v>
      </c>
      <c r="U110" s="77"/>
      <c r="V110" s="89"/>
      <c r="W110" s="90"/>
      <c r="X110" s="81"/>
      <c r="Y110" s="81"/>
      <c r="Z110" s="81"/>
      <c r="AA110" s="81"/>
      <c r="AB110" s="81"/>
      <c r="AC110" s="81"/>
      <c r="AD110" s="81"/>
      <c r="AE110" s="81"/>
    </row>
    <row r="111" spans="1:31" s="1" customFormat="1" ht="162">
      <c r="A111" s="82">
        <v>110</v>
      </c>
      <c r="B111" s="83" t="s">
        <v>38</v>
      </c>
      <c r="C111" s="73" t="s">
        <v>178</v>
      </c>
      <c r="D111" s="73" t="s">
        <v>147</v>
      </c>
      <c r="E111" s="84" t="s">
        <v>331</v>
      </c>
      <c r="F111" s="84" t="s">
        <v>332</v>
      </c>
      <c r="G111" s="84" t="s">
        <v>333</v>
      </c>
      <c r="H111" s="85">
        <v>155</v>
      </c>
      <c r="I111" s="73">
        <v>3</v>
      </c>
      <c r="J111" s="74">
        <v>12</v>
      </c>
      <c r="K111" s="73">
        <v>0</v>
      </c>
      <c r="L111" s="73">
        <v>5</v>
      </c>
      <c r="M111" s="73">
        <v>0</v>
      </c>
      <c r="N111" s="73">
        <v>0</v>
      </c>
      <c r="O111" s="86">
        <v>7540000</v>
      </c>
      <c r="P111" s="86">
        <v>56260000</v>
      </c>
      <c r="Q111" s="86"/>
      <c r="R111" s="87">
        <v>63800000</v>
      </c>
      <c r="S111" s="73" t="s">
        <v>195</v>
      </c>
      <c r="T111" s="88" t="s">
        <v>334</v>
      </c>
      <c r="U111" s="77"/>
      <c r="V111" s="89"/>
      <c r="W111" s="90"/>
      <c r="X111" s="81"/>
      <c r="Y111" s="81"/>
      <c r="Z111" s="81"/>
      <c r="AA111" s="81"/>
      <c r="AB111" s="81"/>
      <c r="AC111" s="81"/>
      <c r="AD111" s="81"/>
      <c r="AE111" s="81"/>
    </row>
    <row r="112" spans="1:31" s="1" customFormat="1" ht="15.75">
      <c r="A112" s="82">
        <v>111</v>
      </c>
      <c r="B112" s="83" t="s">
        <v>38</v>
      </c>
      <c r="C112" s="73" t="s">
        <v>178</v>
      </c>
      <c r="D112" s="73" t="s">
        <v>147</v>
      </c>
      <c r="E112" s="84" t="s">
        <v>335</v>
      </c>
      <c r="F112" s="84"/>
      <c r="G112" s="84"/>
      <c r="H112" s="85">
        <v>407</v>
      </c>
      <c r="I112" s="73" t="s">
        <v>42</v>
      </c>
      <c r="J112" s="74">
        <v>4</v>
      </c>
      <c r="K112" s="73">
        <v>0</v>
      </c>
      <c r="L112" s="73">
        <v>9</v>
      </c>
      <c r="M112" s="73">
        <v>0</v>
      </c>
      <c r="N112" s="73">
        <v>0</v>
      </c>
      <c r="O112" s="86">
        <v>7000000</v>
      </c>
      <c r="P112" s="86">
        <v>5670000</v>
      </c>
      <c r="Q112" s="86"/>
      <c r="R112" s="87">
        <v>12670000</v>
      </c>
      <c r="S112" s="73"/>
      <c r="T112" s="88"/>
      <c r="U112" s="77"/>
      <c r="V112" s="89"/>
      <c r="W112" s="90"/>
      <c r="X112" s="81"/>
      <c r="Y112" s="81"/>
      <c r="Z112" s="81"/>
      <c r="AA112" s="81"/>
      <c r="AB112" s="81"/>
      <c r="AC112" s="81"/>
      <c r="AD112" s="81"/>
      <c r="AE112" s="81"/>
    </row>
    <row r="113" spans="1:31" s="1" customFormat="1" ht="15.75">
      <c r="A113" s="82">
        <v>112</v>
      </c>
      <c r="B113" s="83" t="s">
        <v>38</v>
      </c>
      <c r="C113" s="73" t="s">
        <v>178</v>
      </c>
      <c r="D113" s="73" t="s">
        <v>147</v>
      </c>
      <c r="E113" s="84" t="s">
        <v>336</v>
      </c>
      <c r="F113" s="84"/>
      <c r="G113" s="84"/>
      <c r="H113" s="85">
        <v>1268</v>
      </c>
      <c r="I113" s="73" t="s">
        <v>337</v>
      </c>
      <c r="J113" s="74">
        <v>8</v>
      </c>
      <c r="K113" s="73">
        <v>0</v>
      </c>
      <c r="L113" s="73">
        <v>20</v>
      </c>
      <c r="M113" s="73">
        <v>0</v>
      </c>
      <c r="N113" s="73">
        <v>0</v>
      </c>
      <c r="O113" s="86">
        <v>121051000</v>
      </c>
      <c r="P113" s="86">
        <v>39020000</v>
      </c>
      <c r="Q113" s="86"/>
      <c r="R113" s="87">
        <v>160071000</v>
      </c>
      <c r="S113" s="73"/>
      <c r="T113" s="88"/>
      <c r="U113" s="77"/>
      <c r="V113" s="89"/>
      <c r="W113" s="90"/>
      <c r="X113" s="81"/>
      <c r="Y113" s="81"/>
      <c r="Z113" s="81"/>
      <c r="AA113" s="81"/>
      <c r="AB113" s="81"/>
      <c r="AC113" s="81"/>
      <c r="AD113" s="81"/>
      <c r="AE113" s="81"/>
    </row>
    <row r="114" spans="1:31" s="1" customFormat="1" ht="15.75">
      <c r="A114" s="82">
        <v>113</v>
      </c>
      <c r="B114" s="83" t="s">
        <v>38</v>
      </c>
      <c r="C114" s="73" t="s">
        <v>178</v>
      </c>
      <c r="D114" s="73" t="s">
        <v>160</v>
      </c>
      <c r="E114" s="84" t="s">
        <v>338</v>
      </c>
      <c r="F114" s="84"/>
      <c r="G114" s="84"/>
      <c r="H114" s="85">
        <v>485</v>
      </c>
      <c r="I114" s="73">
        <v>7</v>
      </c>
      <c r="J114" s="74">
        <v>20</v>
      </c>
      <c r="K114" s="73">
        <v>2</v>
      </c>
      <c r="L114" s="73">
        <v>37</v>
      </c>
      <c r="M114" s="73">
        <v>0</v>
      </c>
      <c r="N114" s="73">
        <v>0</v>
      </c>
      <c r="O114" s="86">
        <v>20000000</v>
      </c>
      <c r="P114" s="86">
        <v>220000000</v>
      </c>
      <c r="Q114" s="86"/>
      <c r="R114" s="87">
        <v>240000000</v>
      </c>
      <c r="S114" s="73"/>
      <c r="T114" s="88"/>
      <c r="U114" s="77"/>
      <c r="V114" s="89"/>
      <c r="W114" s="90"/>
      <c r="X114" s="81"/>
      <c r="Y114" s="81"/>
      <c r="Z114" s="81"/>
      <c r="AA114" s="81"/>
      <c r="AB114" s="81"/>
      <c r="AC114" s="81"/>
      <c r="AD114" s="81"/>
      <c r="AE114" s="81"/>
    </row>
    <row r="115" spans="1:31" s="1" customFormat="1" ht="15.75">
      <c r="A115" s="82">
        <v>114</v>
      </c>
      <c r="B115" s="83" t="s">
        <v>38</v>
      </c>
      <c r="C115" s="73" t="s">
        <v>178</v>
      </c>
      <c r="D115" s="73" t="s">
        <v>160</v>
      </c>
      <c r="E115" s="84" t="s">
        <v>339</v>
      </c>
      <c r="F115" s="84"/>
      <c r="G115" s="84"/>
      <c r="H115" s="85">
        <v>400</v>
      </c>
      <c r="I115" s="73" t="s">
        <v>51</v>
      </c>
      <c r="J115" s="74">
        <v>12</v>
      </c>
      <c r="K115" s="73">
        <v>20</v>
      </c>
      <c r="L115" s="73">
        <v>19</v>
      </c>
      <c r="M115" s="73">
        <v>0</v>
      </c>
      <c r="N115" s="73">
        <v>0</v>
      </c>
      <c r="O115" s="86">
        <v>18000000</v>
      </c>
      <c r="P115" s="86">
        <v>62000000</v>
      </c>
      <c r="Q115" s="86"/>
      <c r="R115" s="87">
        <v>80000000</v>
      </c>
      <c r="S115" s="73"/>
      <c r="T115" s="88"/>
      <c r="U115" s="77"/>
      <c r="V115" s="89"/>
      <c r="W115" s="90"/>
      <c r="X115" s="81"/>
      <c r="Y115" s="81"/>
      <c r="Z115" s="81"/>
      <c r="AA115" s="81"/>
      <c r="AB115" s="81"/>
      <c r="AC115" s="81"/>
      <c r="AD115" s="81"/>
      <c r="AE115" s="81"/>
    </row>
    <row r="116" spans="1:31" s="1" customFormat="1" ht="15.75">
      <c r="A116" s="82">
        <v>115</v>
      </c>
      <c r="B116" s="83" t="s">
        <v>38</v>
      </c>
      <c r="C116" s="73" t="s">
        <v>178</v>
      </c>
      <c r="D116" s="73" t="s">
        <v>160</v>
      </c>
      <c r="E116" s="84" t="s">
        <v>340</v>
      </c>
      <c r="F116" s="84"/>
      <c r="G116" s="84"/>
      <c r="H116" s="85">
        <v>80</v>
      </c>
      <c r="I116" s="73">
        <v>4</v>
      </c>
      <c r="J116" s="74">
        <v>8</v>
      </c>
      <c r="K116" s="73">
        <v>0</v>
      </c>
      <c r="L116" s="73">
        <v>4</v>
      </c>
      <c r="M116" s="73">
        <v>0</v>
      </c>
      <c r="N116" s="73">
        <v>0</v>
      </c>
      <c r="O116" s="86">
        <v>2560000</v>
      </c>
      <c r="P116" s="86">
        <v>124706515.13999999</v>
      </c>
      <c r="Q116" s="86"/>
      <c r="R116" s="87">
        <v>127266515.13999999</v>
      </c>
      <c r="S116" s="73"/>
      <c r="T116" s="88"/>
      <c r="U116" s="77"/>
      <c r="V116" s="89"/>
      <c r="W116" s="90"/>
      <c r="X116" s="81"/>
      <c r="Y116" s="81"/>
      <c r="Z116" s="81"/>
      <c r="AA116" s="81"/>
      <c r="AB116" s="81"/>
      <c r="AC116" s="81"/>
      <c r="AD116" s="81"/>
      <c r="AE116" s="81"/>
    </row>
    <row r="117" spans="1:31" s="1" customFormat="1" ht="15.75">
      <c r="A117" s="82">
        <v>116</v>
      </c>
      <c r="B117" s="83" t="s">
        <v>38</v>
      </c>
      <c r="C117" s="73" t="s">
        <v>178</v>
      </c>
      <c r="D117" s="73" t="s">
        <v>160</v>
      </c>
      <c r="E117" s="84" t="s">
        <v>341</v>
      </c>
      <c r="F117" s="84"/>
      <c r="G117" s="84"/>
      <c r="H117" s="85">
        <v>850</v>
      </c>
      <c r="I117" s="73" t="s">
        <v>254</v>
      </c>
      <c r="J117" s="74">
        <v>8</v>
      </c>
      <c r="K117" s="73">
        <v>11</v>
      </c>
      <c r="L117" s="73">
        <v>16</v>
      </c>
      <c r="M117" s="73">
        <v>0</v>
      </c>
      <c r="N117" s="73">
        <v>0</v>
      </c>
      <c r="O117" s="86">
        <v>27200000</v>
      </c>
      <c r="P117" s="86">
        <v>236004988</v>
      </c>
      <c r="Q117" s="86"/>
      <c r="R117" s="87">
        <v>263204988</v>
      </c>
      <c r="S117" s="73"/>
      <c r="T117" s="88"/>
      <c r="U117" s="77"/>
      <c r="V117" s="89"/>
      <c r="W117" s="90"/>
      <c r="X117" s="81"/>
      <c r="Y117" s="81"/>
      <c r="Z117" s="81"/>
      <c r="AA117" s="81"/>
      <c r="AB117" s="81"/>
      <c r="AC117" s="81"/>
      <c r="AD117" s="81"/>
      <c r="AE117" s="81"/>
    </row>
    <row r="118" spans="1:31" s="1" customFormat="1" ht="81">
      <c r="A118" s="82">
        <v>117</v>
      </c>
      <c r="B118" s="83" t="s">
        <v>38</v>
      </c>
      <c r="C118" s="73" t="s">
        <v>178</v>
      </c>
      <c r="D118" s="73" t="s">
        <v>171</v>
      </c>
      <c r="E118" s="84" t="s">
        <v>342</v>
      </c>
      <c r="F118" s="84" t="s">
        <v>343</v>
      </c>
      <c r="G118" s="84" t="s">
        <v>344</v>
      </c>
      <c r="H118" s="85">
        <v>590</v>
      </c>
      <c r="I118" s="73">
        <v>4.5</v>
      </c>
      <c r="J118" s="74">
        <v>12</v>
      </c>
      <c r="K118" s="73">
        <v>9</v>
      </c>
      <c r="L118" s="73">
        <v>28</v>
      </c>
      <c r="M118" s="73">
        <v>0</v>
      </c>
      <c r="N118" s="73">
        <v>0</v>
      </c>
      <c r="O118" s="86">
        <v>28320000</v>
      </c>
      <c r="P118" s="86">
        <v>45952842</v>
      </c>
      <c r="Q118" s="86"/>
      <c r="R118" s="87">
        <v>74272842</v>
      </c>
      <c r="S118" s="73" t="s">
        <v>195</v>
      </c>
      <c r="T118" s="88" t="s">
        <v>345</v>
      </c>
      <c r="U118" s="77"/>
      <c r="V118" s="89"/>
      <c r="W118" s="90"/>
      <c r="X118" s="81"/>
      <c r="Y118" s="81"/>
      <c r="Z118" s="81"/>
      <c r="AA118" s="81"/>
      <c r="AB118" s="81"/>
      <c r="AC118" s="81"/>
      <c r="AD118" s="81"/>
      <c r="AE118" s="81"/>
    </row>
    <row r="119" spans="1:31" s="1" customFormat="1" ht="27">
      <c r="A119" s="82">
        <v>118</v>
      </c>
      <c r="B119" s="83" t="s">
        <v>38</v>
      </c>
      <c r="C119" s="73" t="s">
        <v>178</v>
      </c>
      <c r="D119" s="73" t="s">
        <v>171</v>
      </c>
      <c r="E119" s="84" t="s">
        <v>346</v>
      </c>
      <c r="F119" s="84"/>
      <c r="G119" s="84"/>
      <c r="H119" s="85">
        <v>1200</v>
      </c>
      <c r="I119" s="73" t="s">
        <v>347</v>
      </c>
      <c r="J119" s="74" t="s">
        <v>348</v>
      </c>
      <c r="K119" s="73">
        <v>15</v>
      </c>
      <c r="L119" s="73">
        <v>89</v>
      </c>
      <c r="M119" s="73">
        <v>57</v>
      </c>
      <c r="N119" s="73">
        <v>1</v>
      </c>
      <c r="O119" s="86">
        <v>96000000</v>
      </c>
      <c r="P119" s="86">
        <v>95123432</v>
      </c>
      <c r="Q119" s="86">
        <v>28966800</v>
      </c>
      <c r="R119" s="87">
        <v>220090232</v>
      </c>
      <c r="S119" s="73"/>
      <c r="T119" s="88" t="s">
        <v>349</v>
      </c>
      <c r="U119" s="77"/>
      <c r="V119" s="89"/>
      <c r="W119" s="90" t="s">
        <v>350</v>
      </c>
      <c r="X119" s="81"/>
      <c r="Y119" s="81"/>
      <c r="Z119" s="81"/>
      <c r="AA119" s="81"/>
      <c r="AB119" s="81"/>
      <c r="AC119" s="81"/>
      <c r="AD119" s="81"/>
      <c r="AE119" s="81"/>
    </row>
    <row r="120" spans="1:31" s="1" customFormat="1" ht="40.5">
      <c r="A120" s="82">
        <v>119</v>
      </c>
      <c r="B120" s="83" t="s">
        <v>38</v>
      </c>
      <c r="C120" s="73" t="s">
        <v>178</v>
      </c>
      <c r="D120" s="73" t="s">
        <v>171</v>
      </c>
      <c r="E120" s="84" t="s">
        <v>351</v>
      </c>
      <c r="F120" s="84" t="s">
        <v>352</v>
      </c>
      <c r="G120" s="84" t="s">
        <v>353</v>
      </c>
      <c r="H120" s="85">
        <v>75</v>
      </c>
      <c r="I120" s="73">
        <v>3</v>
      </c>
      <c r="J120" s="74">
        <v>8</v>
      </c>
      <c r="K120" s="73">
        <v>1</v>
      </c>
      <c r="L120" s="73">
        <v>3</v>
      </c>
      <c r="M120" s="73">
        <v>0</v>
      </c>
      <c r="N120" s="73">
        <v>0</v>
      </c>
      <c r="O120" s="86">
        <v>2400000</v>
      </c>
      <c r="P120" s="86">
        <v>61215120</v>
      </c>
      <c r="Q120" s="86"/>
      <c r="R120" s="87">
        <v>63615120</v>
      </c>
      <c r="S120" s="73" t="s">
        <v>183</v>
      </c>
      <c r="T120" s="88" t="s">
        <v>354</v>
      </c>
      <c r="U120" s="77" t="s">
        <v>355</v>
      </c>
      <c r="V120" s="89"/>
      <c r="W120" s="90"/>
      <c r="X120" s="81"/>
      <c r="Y120" s="81"/>
      <c r="Z120" s="81"/>
      <c r="AA120" s="81"/>
      <c r="AB120" s="81"/>
      <c r="AC120" s="81"/>
      <c r="AD120" s="81"/>
      <c r="AE120" s="81"/>
    </row>
    <row r="121" spans="1:31" s="1" customFormat="1" ht="15.75">
      <c r="A121" s="82">
        <v>120</v>
      </c>
      <c r="B121" s="83" t="s">
        <v>38</v>
      </c>
      <c r="C121" s="73" t="s">
        <v>178</v>
      </c>
      <c r="D121" s="73" t="s">
        <v>171</v>
      </c>
      <c r="E121" s="84" t="s">
        <v>356</v>
      </c>
      <c r="F121" s="84"/>
      <c r="G121" s="84"/>
      <c r="H121" s="85">
        <v>1000</v>
      </c>
      <c r="I121" s="73">
        <v>10</v>
      </c>
      <c r="J121" s="74">
        <v>15</v>
      </c>
      <c r="K121" s="73">
        <v>0</v>
      </c>
      <c r="L121" s="73">
        <v>0</v>
      </c>
      <c r="M121" s="73">
        <v>0</v>
      </c>
      <c r="N121" s="73">
        <v>0</v>
      </c>
      <c r="O121" s="86">
        <v>60000000</v>
      </c>
      <c r="P121" s="86">
        <v>1957340</v>
      </c>
      <c r="Q121" s="86"/>
      <c r="R121" s="87">
        <v>61957340</v>
      </c>
      <c r="S121" s="73"/>
      <c r="T121" s="88"/>
      <c r="U121" s="77"/>
      <c r="V121" s="89"/>
      <c r="W121" s="90"/>
      <c r="X121" s="81"/>
      <c r="Y121" s="81"/>
      <c r="Z121" s="81"/>
      <c r="AA121" s="81"/>
      <c r="AB121" s="81"/>
      <c r="AC121" s="81"/>
      <c r="AD121" s="81"/>
      <c r="AE121" s="81"/>
    </row>
    <row r="122" spans="1:31" s="1" customFormat="1" ht="15.75">
      <c r="A122" s="82">
        <v>121</v>
      </c>
      <c r="B122" s="83" t="s">
        <v>38</v>
      </c>
      <c r="C122" s="73" t="s">
        <v>178</v>
      </c>
      <c r="D122" s="73" t="s">
        <v>171</v>
      </c>
      <c r="E122" s="84" t="s">
        <v>357</v>
      </c>
      <c r="F122" s="84" t="s">
        <v>358</v>
      </c>
      <c r="G122" s="84" t="s">
        <v>359</v>
      </c>
      <c r="H122" s="85"/>
      <c r="I122" s="73"/>
      <c r="J122" s="74"/>
      <c r="K122" s="73"/>
      <c r="L122" s="73"/>
      <c r="M122" s="73"/>
      <c r="N122" s="73"/>
      <c r="O122" s="86"/>
      <c r="P122" s="86"/>
      <c r="Q122" s="86"/>
      <c r="R122" s="87"/>
      <c r="S122" s="73" t="s">
        <v>288</v>
      </c>
      <c r="T122" s="88"/>
      <c r="U122" s="77"/>
      <c r="V122" s="89"/>
      <c r="W122" s="90"/>
      <c r="X122" s="81"/>
      <c r="Y122" s="81"/>
      <c r="Z122" s="81"/>
      <c r="AA122" s="81"/>
      <c r="AB122" s="81"/>
      <c r="AC122" s="81"/>
      <c r="AD122" s="81"/>
      <c r="AE122" s="81"/>
    </row>
    <row r="123" spans="1:31" s="1" customFormat="1" ht="54">
      <c r="A123" s="82">
        <v>122</v>
      </c>
      <c r="B123" s="83" t="s">
        <v>38</v>
      </c>
      <c r="C123" s="73" t="s">
        <v>178</v>
      </c>
      <c r="D123" s="73" t="s">
        <v>173</v>
      </c>
      <c r="E123" s="84" t="s">
        <v>360</v>
      </c>
      <c r="F123" s="84" t="s">
        <v>361</v>
      </c>
      <c r="G123" s="84" t="s">
        <v>362</v>
      </c>
      <c r="H123" s="85">
        <v>247</v>
      </c>
      <c r="I123" s="73">
        <v>10</v>
      </c>
      <c r="J123" s="74">
        <v>10</v>
      </c>
      <c r="K123" s="73">
        <v>3</v>
      </c>
      <c r="L123" s="73">
        <v>11</v>
      </c>
      <c r="M123" s="73">
        <v>0</v>
      </c>
      <c r="N123" s="73">
        <v>1</v>
      </c>
      <c r="O123" s="86">
        <v>9880000</v>
      </c>
      <c r="P123" s="86">
        <v>304651996.80000001</v>
      </c>
      <c r="Q123" s="86"/>
      <c r="R123" s="87">
        <v>314531996.80000001</v>
      </c>
      <c r="S123" s="73" t="s">
        <v>183</v>
      </c>
      <c r="T123" s="88" t="s">
        <v>184</v>
      </c>
      <c r="U123" s="77" t="s">
        <v>363</v>
      </c>
      <c r="V123" s="89"/>
      <c r="W123" s="90"/>
      <c r="X123" s="81"/>
      <c r="Y123" s="81"/>
      <c r="Z123" s="81"/>
      <c r="AA123" s="81"/>
      <c r="AB123" s="81"/>
      <c r="AC123" s="81"/>
      <c r="AD123" s="81"/>
      <c r="AE123" s="81"/>
    </row>
    <row r="124" spans="1:31" s="1" customFormat="1" ht="15.75">
      <c r="A124" s="82">
        <v>123</v>
      </c>
      <c r="B124" s="83" t="s">
        <v>38</v>
      </c>
      <c r="C124" s="73" t="s">
        <v>178</v>
      </c>
      <c r="D124" s="73" t="s">
        <v>173</v>
      </c>
      <c r="E124" s="84" t="s">
        <v>364</v>
      </c>
      <c r="F124" s="84"/>
      <c r="G124" s="84"/>
      <c r="H124" s="85">
        <v>2110</v>
      </c>
      <c r="I124" s="73">
        <v>6</v>
      </c>
      <c r="J124" s="74">
        <v>12</v>
      </c>
      <c r="K124" s="73">
        <v>10</v>
      </c>
      <c r="L124" s="73">
        <v>32</v>
      </c>
      <c r="M124" s="73">
        <v>0</v>
      </c>
      <c r="N124" s="73">
        <v>0</v>
      </c>
      <c r="O124" s="86">
        <v>101280000</v>
      </c>
      <c r="P124" s="86">
        <v>357593422</v>
      </c>
      <c r="Q124" s="86"/>
      <c r="R124" s="87">
        <v>458873422</v>
      </c>
      <c r="S124" s="73"/>
      <c r="T124" s="88"/>
      <c r="U124" s="77"/>
      <c r="V124" s="89"/>
      <c r="W124" s="90"/>
      <c r="X124" s="81"/>
      <c r="Y124" s="81"/>
      <c r="Z124" s="81"/>
      <c r="AA124" s="81"/>
      <c r="AB124" s="81"/>
      <c r="AC124" s="81"/>
      <c r="AD124" s="81"/>
      <c r="AE124" s="81"/>
    </row>
    <row r="125" spans="1:31" s="1" customFormat="1" ht="15.75">
      <c r="A125" s="82">
        <v>124</v>
      </c>
      <c r="B125" s="83" t="s">
        <v>38</v>
      </c>
      <c r="C125" s="73" t="s">
        <v>178</v>
      </c>
      <c r="D125" s="73" t="s">
        <v>173</v>
      </c>
      <c r="E125" s="84" t="s">
        <v>365</v>
      </c>
      <c r="F125" s="84"/>
      <c r="G125" s="84"/>
      <c r="H125" s="85">
        <v>5840</v>
      </c>
      <c r="I125" s="73" t="s">
        <v>366</v>
      </c>
      <c r="J125" s="74">
        <v>12</v>
      </c>
      <c r="K125" s="73">
        <v>19</v>
      </c>
      <c r="L125" s="73">
        <v>33</v>
      </c>
      <c r="M125" s="73">
        <v>1</v>
      </c>
      <c r="N125" s="73">
        <v>0</v>
      </c>
      <c r="O125" s="86">
        <v>278592000</v>
      </c>
      <c r="P125" s="86">
        <v>370386253.27999997</v>
      </c>
      <c r="Q125" s="86"/>
      <c r="R125" s="87">
        <v>648978253.27999997</v>
      </c>
      <c r="S125" s="73"/>
      <c r="T125" s="88"/>
      <c r="U125" s="77"/>
      <c r="V125" s="89"/>
      <c r="W125" s="90"/>
      <c r="X125" s="81"/>
      <c r="Y125" s="81"/>
      <c r="Z125" s="81"/>
      <c r="AA125" s="81"/>
      <c r="AB125" s="81"/>
      <c r="AC125" s="81"/>
      <c r="AD125" s="81"/>
      <c r="AE125" s="81"/>
    </row>
    <row r="126" spans="1:31" s="1" customFormat="1" ht="27">
      <c r="A126" s="96">
        <v>125</v>
      </c>
      <c r="B126" s="97">
        <v>107</v>
      </c>
      <c r="C126" s="98" t="s">
        <v>39</v>
      </c>
      <c r="D126" s="98" t="s">
        <v>40</v>
      </c>
      <c r="E126" s="99" t="s">
        <v>367</v>
      </c>
      <c r="F126" s="100" t="s">
        <v>368</v>
      </c>
      <c r="G126" s="100" t="s">
        <v>369</v>
      </c>
      <c r="H126" s="101">
        <v>45</v>
      </c>
      <c r="I126" s="98" t="s">
        <v>42</v>
      </c>
      <c r="J126" s="102">
        <v>7</v>
      </c>
      <c r="K126" s="98">
        <v>1</v>
      </c>
      <c r="L126" s="98">
        <v>18</v>
      </c>
      <c r="M126" s="98">
        <v>1</v>
      </c>
      <c r="N126" s="98">
        <v>0</v>
      </c>
      <c r="O126" s="103">
        <v>1260000</v>
      </c>
      <c r="P126" s="103">
        <v>79040160</v>
      </c>
      <c r="Q126" s="103">
        <v>1212000</v>
      </c>
      <c r="R126" s="104">
        <f t="shared" ref="R126:R145" si="0">SUM(O126:Q126)</f>
        <v>81512160</v>
      </c>
      <c r="S126" s="105" t="s">
        <v>370</v>
      </c>
      <c r="T126" s="106" t="s">
        <v>371</v>
      </c>
      <c r="U126" s="107" t="s">
        <v>372</v>
      </c>
      <c r="V126" s="89"/>
      <c r="W126" s="90"/>
      <c r="X126" s="81"/>
      <c r="Y126" s="81"/>
      <c r="Z126" s="81"/>
      <c r="AA126" s="81"/>
      <c r="AB126" s="81"/>
      <c r="AC126" s="81"/>
      <c r="AD126" s="81"/>
      <c r="AE126" s="81"/>
    </row>
    <row r="127" spans="1:31" s="1" customFormat="1" ht="27">
      <c r="A127" s="96">
        <v>126</v>
      </c>
      <c r="B127" s="97">
        <v>106</v>
      </c>
      <c r="C127" s="98" t="s">
        <v>39</v>
      </c>
      <c r="D127" s="98" t="s">
        <v>56</v>
      </c>
      <c r="E127" s="108" t="s">
        <v>78</v>
      </c>
      <c r="F127" s="109" t="s">
        <v>373</v>
      </c>
      <c r="G127" s="109" t="s">
        <v>374</v>
      </c>
      <c r="H127" s="101">
        <v>36</v>
      </c>
      <c r="I127" s="98" t="s">
        <v>79</v>
      </c>
      <c r="J127" s="102">
        <v>8</v>
      </c>
      <c r="K127" s="98">
        <v>0</v>
      </c>
      <c r="L127" s="98">
        <v>5</v>
      </c>
      <c r="M127" s="98">
        <v>2</v>
      </c>
      <c r="N127" s="98">
        <v>0</v>
      </c>
      <c r="O127" s="103">
        <v>1152000</v>
      </c>
      <c r="P127" s="103">
        <v>16195046.399999999</v>
      </c>
      <c r="Q127" s="103">
        <v>2282600</v>
      </c>
      <c r="R127" s="104">
        <f t="shared" si="0"/>
        <v>19629646.399999999</v>
      </c>
      <c r="S127" s="105" t="s">
        <v>370</v>
      </c>
      <c r="T127" s="110" t="s">
        <v>375</v>
      </c>
      <c r="U127" s="111" t="s">
        <v>376</v>
      </c>
      <c r="V127" s="89"/>
      <c r="W127" s="90"/>
      <c r="X127" s="81"/>
      <c r="Y127" s="81"/>
      <c r="Z127" s="81"/>
      <c r="AA127" s="81"/>
      <c r="AB127" s="81"/>
      <c r="AC127" s="81"/>
      <c r="AD127" s="81"/>
      <c r="AE127" s="81"/>
    </row>
    <row r="128" spans="1:31" s="1" customFormat="1" ht="54">
      <c r="A128" s="96">
        <v>127</v>
      </c>
      <c r="B128" s="97">
        <v>107</v>
      </c>
      <c r="C128" s="105" t="s">
        <v>39</v>
      </c>
      <c r="D128" s="105" t="s">
        <v>56</v>
      </c>
      <c r="E128" s="99" t="s">
        <v>377</v>
      </c>
      <c r="F128" s="100" t="s">
        <v>378</v>
      </c>
      <c r="G128" s="100" t="s">
        <v>379</v>
      </c>
      <c r="H128" s="101">
        <v>20</v>
      </c>
      <c r="I128" s="98" t="s">
        <v>42</v>
      </c>
      <c r="J128" s="102">
        <v>10</v>
      </c>
      <c r="K128" s="98">
        <v>0</v>
      </c>
      <c r="L128" s="98">
        <v>5</v>
      </c>
      <c r="M128" s="98">
        <v>0</v>
      </c>
      <c r="N128" s="98">
        <v>1</v>
      </c>
      <c r="O128" s="103">
        <v>800000</v>
      </c>
      <c r="P128" s="103">
        <v>7128000</v>
      </c>
      <c r="Q128" s="103">
        <v>1818000</v>
      </c>
      <c r="R128" s="104">
        <f t="shared" si="0"/>
        <v>9746000</v>
      </c>
      <c r="S128" s="105" t="s">
        <v>370</v>
      </c>
      <c r="T128" s="106" t="s">
        <v>380</v>
      </c>
      <c r="U128" s="107" t="s">
        <v>381</v>
      </c>
      <c r="V128" s="89"/>
      <c r="W128" s="90"/>
      <c r="X128" s="81"/>
      <c r="Y128" s="81"/>
      <c r="Z128" s="81"/>
      <c r="AA128" s="81"/>
      <c r="AB128" s="81"/>
      <c r="AC128" s="81"/>
      <c r="AD128" s="81"/>
      <c r="AE128" s="81"/>
    </row>
    <row r="129" spans="1:31" s="1" customFormat="1" ht="27">
      <c r="A129" s="96">
        <v>128</v>
      </c>
      <c r="B129" s="97">
        <v>107</v>
      </c>
      <c r="C129" s="98" t="s">
        <v>39</v>
      </c>
      <c r="D129" s="98" t="s">
        <v>56</v>
      </c>
      <c r="E129" s="99" t="s">
        <v>382</v>
      </c>
      <c r="F129" s="100" t="s">
        <v>383</v>
      </c>
      <c r="G129" s="100" t="s">
        <v>384</v>
      </c>
      <c r="H129" s="101">
        <v>20</v>
      </c>
      <c r="I129" s="98">
        <v>4</v>
      </c>
      <c r="J129" s="102">
        <v>8</v>
      </c>
      <c r="K129" s="98">
        <v>0</v>
      </c>
      <c r="L129" s="98">
        <v>1</v>
      </c>
      <c r="M129" s="98">
        <v>0</v>
      </c>
      <c r="N129" s="98">
        <v>0</v>
      </c>
      <c r="O129" s="103">
        <v>640000</v>
      </c>
      <c r="P129" s="103">
        <v>2249400</v>
      </c>
      <c r="Q129" s="103">
        <v>0</v>
      </c>
      <c r="R129" s="104">
        <f t="shared" si="0"/>
        <v>2889400</v>
      </c>
      <c r="S129" s="105" t="s">
        <v>370</v>
      </c>
      <c r="T129" s="106" t="s">
        <v>371</v>
      </c>
      <c r="U129" s="107"/>
      <c r="V129" s="89"/>
      <c r="W129" s="90"/>
      <c r="X129" s="81"/>
      <c r="Y129" s="81"/>
      <c r="Z129" s="81"/>
      <c r="AA129" s="81"/>
      <c r="AB129" s="81"/>
      <c r="AC129" s="81"/>
      <c r="AD129" s="81"/>
      <c r="AE129" s="81"/>
    </row>
    <row r="130" spans="1:31" s="1" customFormat="1" ht="27">
      <c r="A130" s="96">
        <v>129</v>
      </c>
      <c r="B130" s="97">
        <v>107</v>
      </c>
      <c r="C130" s="98" t="s">
        <v>39</v>
      </c>
      <c r="D130" s="98" t="s">
        <v>56</v>
      </c>
      <c r="E130" s="99" t="s">
        <v>385</v>
      </c>
      <c r="F130" s="100" t="s">
        <v>386</v>
      </c>
      <c r="G130" s="100" t="s">
        <v>245</v>
      </c>
      <c r="H130" s="101">
        <v>20</v>
      </c>
      <c r="I130" s="98" t="s">
        <v>42</v>
      </c>
      <c r="J130" s="102">
        <v>8</v>
      </c>
      <c r="K130" s="98">
        <v>1</v>
      </c>
      <c r="L130" s="98">
        <v>0</v>
      </c>
      <c r="M130" s="98">
        <v>0</v>
      </c>
      <c r="N130" s="98">
        <v>0</v>
      </c>
      <c r="O130" s="103">
        <v>640000</v>
      </c>
      <c r="P130" s="103">
        <v>0</v>
      </c>
      <c r="Q130" s="103">
        <v>0</v>
      </c>
      <c r="R130" s="104">
        <f t="shared" si="0"/>
        <v>640000</v>
      </c>
      <c r="S130" s="105" t="s">
        <v>370</v>
      </c>
      <c r="T130" s="110" t="s">
        <v>375</v>
      </c>
      <c r="U130" s="111" t="s">
        <v>387</v>
      </c>
      <c r="V130" s="89"/>
      <c r="W130" s="90"/>
      <c r="X130" s="81"/>
      <c r="Y130" s="81"/>
      <c r="Z130" s="81"/>
      <c r="AA130" s="81"/>
      <c r="AB130" s="81"/>
      <c r="AC130" s="81"/>
      <c r="AD130" s="81"/>
      <c r="AE130" s="81"/>
    </row>
    <row r="131" spans="1:31" s="1" customFormat="1" ht="27">
      <c r="A131" s="96">
        <v>130</v>
      </c>
      <c r="B131" s="97">
        <v>107</v>
      </c>
      <c r="C131" s="98" t="s">
        <v>39</v>
      </c>
      <c r="D131" s="98" t="s">
        <v>56</v>
      </c>
      <c r="E131" s="99" t="s">
        <v>388</v>
      </c>
      <c r="F131" s="100" t="s">
        <v>389</v>
      </c>
      <c r="G131" s="100" t="s">
        <v>390</v>
      </c>
      <c r="H131" s="101">
        <v>35</v>
      </c>
      <c r="I131" s="98" t="s">
        <v>254</v>
      </c>
      <c r="J131" s="102">
        <v>12</v>
      </c>
      <c r="K131" s="98">
        <v>3</v>
      </c>
      <c r="L131" s="98">
        <v>0</v>
      </c>
      <c r="M131" s="98">
        <v>0</v>
      </c>
      <c r="N131" s="98">
        <v>8</v>
      </c>
      <c r="O131" s="103">
        <v>1680000</v>
      </c>
      <c r="P131" s="104">
        <v>0</v>
      </c>
      <c r="Q131" s="104">
        <v>29270000</v>
      </c>
      <c r="R131" s="104">
        <f t="shared" si="0"/>
        <v>30950000</v>
      </c>
      <c r="S131" s="105" t="s">
        <v>370</v>
      </c>
      <c r="T131" s="110" t="s">
        <v>375</v>
      </c>
      <c r="U131" s="111"/>
      <c r="V131" s="89"/>
      <c r="W131" s="90"/>
      <c r="X131" s="81"/>
      <c r="Y131" s="81"/>
      <c r="Z131" s="81"/>
      <c r="AA131" s="81"/>
      <c r="AB131" s="81"/>
      <c r="AC131" s="81"/>
      <c r="AD131" s="81"/>
      <c r="AE131" s="81"/>
    </row>
    <row r="132" spans="1:31" s="1" customFormat="1" ht="27">
      <c r="A132" s="96">
        <v>131</v>
      </c>
      <c r="B132" s="97">
        <v>107</v>
      </c>
      <c r="C132" s="98" t="s">
        <v>39</v>
      </c>
      <c r="D132" s="98" t="s">
        <v>56</v>
      </c>
      <c r="E132" s="99" t="s">
        <v>391</v>
      </c>
      <c r="F132" s="100" t="s">
        <v>392</v>
      </c>
      <c r="G132" s="100" t="s">
        <v>393</v>
      </c>
      <c r="H132" s="101">
        <v>50</v>
      </c>
      <c r="I132" s="98">
        <v>8</v>
      </c>
      <c r="J132" s="102">
        <v>15</v>
      </c>
      <c r="K132" s="98">
        <v>0</v>
      </c>
      <c r="L132" s="98">
        <v>1</v>
      </c>
      <c r="M132" s="98">
        <v>0</v>
      </c>
      <c r="N132" s="98">
        <v>5</v>
      </c>
      <c r="O132" s="103">
        <v>3000000</v>
      </c>
      <c r="P132" s="104">
        <v>4940000</v>
      </c>
      <c r="Q132" s="104">
        <v>3866280</v>
      </c>
      <c r="R132" s="104">
        <f t="shared" si="0"/>
        <v>11806280</v>
      </c>
      <c r="S132" s="105" t="s">
        <v>370</v>
      </c>
      <c r="T132" s="106" t="s">
        <v>371</v>
      </c>
      <c r="U132" s="107" t="s">
        <v>394</v>
      </c>
      <c r="V132" s="89"/>
      <c r="W132" s="90"/>
      <c r="X132" s="81"/>
      <c r="Y132" s="81"/>
      <c r="Z132" s="81"/>
      <c r="AA132" s="81"/>
      <c r="AB132" s="81"/>
      <c r="AC132" s="81"/>
      <c r="AD132" s="81"/>
      <c r="AE132" s="81"/>
    </row>
    <row r="133" spans="1:31" s="1" customFormat="1" ht="54">
      <c r="A133" s="96">
        <v>132</v>
      </c>
      <c r="B133" s="97" t="s">
        <v>38</v>
      </c>
      <c r="C133" s="98" t="s">
        <v>178</v>
      </c>
      <c r="D133" s="98" t="s">
        <v>83</v>
      </c>
      <c r="E133" s="108" t="s">
        <v>249</v>
      </c>
      <c r="F133" s="109" t="s">
        <v>395</v>
      </c>
      <c r="G133" s="109" t="s">
        <v>396</v>
      </c>
      <c r="H133" s="101" t="s">
        <v>397</v>
      </c>
      <c r="I133" s="98" t="s">
        <v>42</v>
      </c>
      <c r="J133" s="102">
        <v>8</v>
      </c>
      <c r="K133" s="98">
        <v>1</v>
      </c>
      <c r="L133" s="98">
        <v>3</v>
      </c>
      <c r="M133" s="98">
        <v>3</v>
      </c>
      <c r="N133" s="98">
        <v>1</v>
      </c>
      <c r="O133" s="103">
        <v>1920000</v>
      </c>
      <c r="P133" s="104">
        <v>31342488</v>
      </c>
      <c r="Q133" s="104">
        <v>5009600</v>
      </c>
      <c r="R133" s="104">
        <f t="shared" si="0"/>
        <v>38272088</v>
      </c>
      <c r="S133" s="105" t="s">
        <v>370</v>
      </c>
      <c r="T133" s="106" t="s">
        <v>380</v>
      </c>
      <c r="U133" s="107" t="s">
        <v>250</v>
      </c>
      <c r="V133" s="89"/>
      <c r="W133" s="90"/>
      <c r="X133" s="81"/>
      <c r="Y133" s="81"/>
      <c r="Z133" s="81"/>
      <c r="AA133" s="81"/>
      <c r="AB133" s="81"/>
      <c r="AC133" s="81"/>
      <c r="AD133" s="81"/>
      <c r="AE133" s="81"/>
    </row>
    <row r="134" spans="1:31" s="1" customFormat="1" ht="27">
      <c r="A134" s="96">
        <v>133</v>
      </c>
      <c r="B134" s="97">
        <v>107</v>
      </c>
      <c r="C134" s="98" t="s">
        <v>39</v>
      </c>
      <c r="D134" s="98" t="s">
        <v>83</v>
      </c>
      <c r="E134" s="99" t="s">
        <v>398</v>
      </c>
      <c r="F134" s="100" t="s">
        <v>399</v>
      </c>
      <c r="G134" s="100" t="s">
        <v>400</v>
      </c>
      <c r="H134" s="101">
        <v>20</v>
      </c>
      <c r="I134" s="98">
        <v>8</v>
      </c>
      <c r="J134" s="102">
        <v>10</v>
      </c>
      <c r="K134" s="98">
        <v>0</v>
      </c>
      <c r="L134" s="98">
        <v>4</v>
      </c>
      <c r="M134" s="98">
        <v>1</v>
      </c>
      <c r="N134" s="98">
        <v>0</v>
      </c>
      <c r="O134" s="103">
        <v>640000</v>
      </c>
      <c r="P134" s="103">
        <v>4005168</v>
      </c>
      <c r="Q134" s="103">
        <v>1771742</v>
      </c>
      <c r="R134" s="104">
        <f t="shared" si="0"/>
        <v>6416910</v>
      </c>
      <c r="S134" s="105" t="s">
        <v>370</v>
      </c>
      <c r="T134" s="110" t="s">
        <v>375</v>
      </c>
      <c r="U134" s="111"/>
      <c r="V134" s="89"/>
      <c r="W134" s="90"/>
      <c r="X134" s="81"/>
      <c r="Y134" s="81"/>
      <c r="Z134" s="81"/>
      <c r="AA134" s="81"/>
      <c r="AB134" s="81"/>
      <c r="AC134" s="81"/>
      <c r="AD134" s="81"/>
      <c r="AE134" s="81"/>
    </row>
    <row r="135" spans="1:31" s="1" customFormat="1" ht="27">
      <c r="A135" s="96">
        <v>134</v>
      </c>
      <c r="B135" s="97">
        <v>107</v>
      </c>
      <c r="C135" s="98" t="s">
        <v>39</v>
      </c>
      <c r="D135" s="98" t="s">
        <v>83</v>
      </c>
      <c r="E135" s="99" t="s">
        <v>401</v>
      </c>
      <c r="F135" s="100" t="s">
        <v>402</v>
      </c>
      <c r="G135" s="100" t="s">
        <v>403</v>
      </c>
      <c r="H135" s="101">
        <v>40</v>
      </c>
      <c r="I135" s="98" t="s">
        <v>404</v>
      </c>
      <c r="J135" s="102">
        <v>8</v>
      </c>
      <c r="K135" s="98">
        <v>1</v>
      </c>
      <c r="L135" s="98">
        <v>8</v>
      </c>
      <c r="M135" s="98">
        <v>0</v>
      </c>
      <c r="N135" s="98">
        <v>4</v>
      </c>
      <c r="O135" s="103">
        <v>1440000</v>
      </c>
      <c r="P135" s="103">
        <v>28764000</v>
      </c>
      <c r="Q135" s="103">
        <v>2740000</v>
      </c>
      <c r="R135" s="104">
        <f t="shared" si="0"/>
        <v>32944000</v>
      </c>
      <c r="S135" s="105" t="s">
        <v>370</v>
      </c>
      <c r="T135" s="106" t="s">
        <v>405</v>
      </c>
      <c r="U135" s="107"/>
      <c r="V135" s="89"/>
      <c r="W135" s="90" t="s">
        <v>406</v>
      </c>
      <c r="X135" s="81"/>
      <c r="Y135" s="81"/>
      <c r="Z135" s="81"/>
      <c r="AA135" s="81"/>
      <c r="AB135" s="81"/>
      <c r="AC135" s="81"/>
      <c r="AD135" s="81"/>
      <c r="AE135" s="81"/>
    </row>
    <row r="136" spans="1:31" s="1" customFormat="1" ht="27">
      <c r="A136" s="96">
        <v>135</v>
      </c>
      <c r="B136" s="97">
        <v>107</v>
      </c>
      <c r="C136" s="98" t="s">
        <v>39</v>
      </c>
      <c r="D136" s="105" t="s">
        <v>83</v>
      </c>
      <c r="E136" s="99" t="s">
        <v>407</v>
      </c>
      <c r="F136" s="100" t="s">
        <v>408</v>
      </c>
      <c r="G136" s="100"/>
      <c r="H136" s="101">
        <v>50</v>
      </c>
      <c r="I136" s="98" t="s">
        <v>140</v>
      </c>
      <c r="J136" s="102">
        <v>12</v>
      </c>
      <c r="K136" s="98">
        <v>0</v>
      </c>
      <c r="L136" s="98">
        <v>16</v>
      </c>
      <c r="M136" s="98">
        <v>2</v>
      </c>
      <c r="N136" s="98">
        <v>1</v>
      </c>
      <c r="O136" s="103">
        <v>2000000</v>
      </c>
      <c r="P136" s="103">
        <v>26124146</v>
      </c>
      <c r="Q136" s="103">
        <v>9000000</v>
      </c>
      <c r="R136" s="104">
        <f t="shared" si="0"/>
        <v>37124146</v>
      </c>
      <c r="S136" s="105" t="s">
        <v>370</v>
      </c>
      <c r="T136" s="106" t="s">
        <v>409</v>
      </c>
      <c r="U136" s="107"/>
      <c r="V136" s="89"/>
      <c r="W136" s="90"/>
      <c r="X136" s="81"/>
      <c r="Y136" s="81"/>
      <c r="Z136" s="81"/>
      <c r="AA136" s="81"/>
      <c r="AB136" s="81"/>
      <c r="AC136" s="81"/>
      <c r="AD136" s="81"/>
      <c r="AE136" s="81"/>
    </row>
    <row r="137" spans="1:31" s="1" customFormat="1" ht="27">
      <c r="A137" s="96">
        <v>136</v>
      </c>
      <c r="B137" s="97">
        <v>107</v>
      </c>
      <c r="C137" s="98" t="s">
        <v>39</v>
      </c>
      <c r="D137" s="105" t="s">
        <v>83</v>
      </c>
      <c r="E137" s="99" t="s">
        <v>410</v>
      </c>
      <c r="F137" s="100" t="s">
        <v>411</v>
      </c>
      <c r="G137" s="100" t="s">
        <v>412</v>
      </c>
      <c r="H137" s="101">
        <v>50</v>
      </c>
      <c r="I137" s="98" t="s">
        <v>42</v>
      </c>
      <c r="J137" s="102">
        <v>8</v>
      </c>
      <c r="K137" s="98">
        <v>2</v>
      </c>
      <c r="L137" s="98">
        <v>1</v>
      </c>
      <c r="M137" s="98">
        <v>0</v>
      </c>
      <c r="N137" s="98">
        <v>1</v>
      </c>
      <c r="O137" s="103">
        <v>1500000</v>
      </c>
      <c r="P137" s="103">
        <v>1583915</v>
      </c>
      <c r="Q137" s="103">
        <v>0</v>
      </c>
      <c r="R137" s="104">
        <f t="shared" si="0"/>
        <v>3083915</v>
      </c>
      <c r="S137" s="105" t="s">
        <v>370</v>
      </c>
      <c r="T137" s="110" t="s">
        <v>375</v>
      </c>
      <c r="U137" s="111" t="s">
        <v>413</v>
      </c>
      <c r="V137" s="89"/>
      <c r="W137" s="90"/>
      <c r="X137" s="81"/>
      <c r="Y137" s="81"/>
      <c r="Z137" s="81"/>
      <c r="AA137" s="81"/>
      <c r="AB137" s="81"/>
      <c r="AC137" s="81"/>
      <c r="AD137" s="81"/>
      <c r="AE137" s="81"/>
    </row>
    <row r="138" spans="1:31" s="1" customFormat="1" ht="27">
      <c r="A138" s="96">
        <v>137</v>
      </c>
      <c r="B138" s="97">
        <v>107</v>
      </c>
      <c r="C138" s="98" t="s">
        <v>39</v>
      </c>
      <c r="D138" s="98" t="s">
        <v>108</v>
      </c>
      <c r="E138" s="99" t="s">
        <v>414</v>
      </c>
      <c r="F138" s="100" t="s">
        <v>415</v>
      </c>
      <c r="G138" s="100" t="s">
        <v>416</v>
      </c>
      <c r="H138" s="101">
        <v>25</v>
      </c>
      <c r="I138" s="98" t="s">
        <v>417</v>
      </c>
      <c r="J138" s="102">
        <v>8</v>
      </c>
      <c r="K138" s="98">
        <v>2</v>
      </c>
      <c r="L138" s="98">
        <v>0</v>
      </c>
      <c r="M138" s="98">
        <v>0</v>
      </c>
      <c r="N138" s="98">
        <v>1</v>
      </c>
      <c r="O138" s="103">
        <v>800000</v>
      </c>
      <c r="P138" s="103">
        <v>0</v>
      </c>
      <c r="Q138" s="103">
        <v>3999600</v>
      </c>
      <c r="R138" s="104">
        <f t="shared" si="0"/>
        <v>4799600</v>
      </c>
      <c r="S138" s="105" t="s">
        <v>370</v>
      </c>
      <c r="T138" s="110" t="s">
        <v>375</v>
      </c>
      <c r="U138" s="111" t="s">
        <v>387</v>
      </c>
      <c r="V138" s="89"/>
      <c r="W138" s="90"/>
      <c r="X138" s="81"/>
      <c r="Y138" s="81"/>
      <c r="Z138" s="81"/>
      <c r="AA138" s="81"/>
      <c r="AB138" s="81"/>
      <c r="AC138" s="81"/>
      <c r="AD138" s="81"/>
      <c r="AE138" s="81"/>
    </row>
    <row r="139" spans="1:31" s="1" customFormat="1" ht="27">
      <c r="A139" s="96">
        <v>138</v>
      </c>
      <c r="B139" s="97">
        <v>107</v>
      </c>
      <c r="C139" s="98" t="s">
        <v>39</v>
      </c>
      <c r="D139" s="98" t="s">
        <v>108</v>
      </c>
      <c r="E139" s="99" t="s">
        <v>418</v>
      </c>
      <c r="F139" s="100" t="s">
        <v>419</v>
      </c>
      <c r="G139" s="100" t="s">
        <v>416</v>
      </c>
      <c r="H139" s="101">
        <v>25</v>
      </c>
      <c r="I139" s="98" t="s">
        <v>417</v>
      </c>
      <c r="J139" s="102">
        <v>8</v>
      </c>
      <c r="K139" s="98">
        <v>4</v>
      </c>
      <c r="L139" s="98">
        <v>0</v>
      </c>
      <c r="M139" s="98">
        <v>0</v>
      </c>
      <c r="N139" s="98">
        <v>1</v>
      </c>
      <c r="O139" s="103">
        <v>800000</v>
      </c>
      <c r="P139" s="103">
        <v>0</v>
      </c>
      <c r="Q139" s="103">
        <v>2767400</v>
      </c>
      <c r="R139" s="104">
        <f t="shared" si="0"/>
        <v>3567400</v>
      </c>
      <c r="S139" s="105" t="s">
        <v>370</v>
      </c>
      <c r="T139" s="110" t="s">
        <v>375</v>
      </c>
      <c r="U139" s="111" t="s">
        <v>387</v>
      </c>
      <c r="V139" s="89"/>
      <c r="W139" s="90"/>
      <c r="X139" s="81"/>
      <c r="Y139" s="81"/>
      <c r="Z139" s="81"/>
      <c r="AA139" s="81"/>
      <c r="AB139" s="81"/>
      <c r="AC139" s="81"/>
      <c r="AD139" s="81"/>
      <c r="AE139" s="81"/>
    </row>
    <row r="140" spans="1:31" s="1" customFormat="1" ht="27">
      <c r="A140" s="96">
        <v>139</v>
      </c>
      <c r="B140" s="97">
        <v>107</v>
      </c>
      <c r="C140" s="98" t="s">
        <v>39</v>
      </c>
      <c r="D140" s="98" t="s">
        <v>117</v>
      </c>
      <c r="E140" s="99" t="s">
        <v>420</v>
      </c>
      <c r="F140" s="100"/>
      <c r="G140" s="100"/>
      <c r="H140" s="101">
        <v>20</v>
      </c>
      <c r="I140" s="98" t="s">
        <v>42</v>
      </c>
      <c r="J140" s="102">
        <v>20</v>
      </c>
      <c r="K140" s="98">
        <v>3</v>
      </c>
      <c r="L140" s="98">
        <v>1</v>
      </c>
      <c r="M140" s="98">
        <v>0</v>
      </c>
      <c r="N140" s="98">
        <v>0</v>
      </c>
      <c r="O140" s="103">
        <v>2000000</v>
      </c>
      <c r="P140" s="103">
        <v>518180</v>
      </c>
      <c r="Q140" s="103">
        <v>0</v>
      </c>
      <c r="R140" s="104">
        <f t="shared" si="0"/>
        <v>2518180</v>
      </c>
      <c r="S140" s="105" t="s">
        <v>370</v>
      </c>
      <c r="T140" s="106" t="s">
        <v>421</v>
      </c>
      <c r="U140" s="107"/>
      <c r="V140" s="89"/>
      <c r="W140" s="90"/>
      <c r="X140" s="81"/>
      <c r="Y140" s="81"/>
      <c r="Z140" s="81"/>
      <c r="AA140" s="81"/>
      <c r="AB140" s="81"/>
      <c r="AC140" s="81"/>
      <c r="AD140" s="81"/>
      <c r="AE140" s="81"/>
    </row>
    <row r="141" spans="1:31" s="1" customFormat="1" ht="15.75">
      <c r="A141" s="96">
        <v>140</v>
      </c>
      <c r="B141" s="97"/>
      <c r="C141" s="98" t="s">
        <v>39</v>
      </c>
      <c r="D141" s="98" t="s">
        <v>117</v>
      </c>
      <c r="E141" s="99" t="s">
        <v>281</v>
      </c>
      <c r="F141" s="100" t="s">
        <v>422</v>
      </c>
      <c r="G141" s="100" t="s">
        <v>423</v>
      </c>
      <c r="H141" s="101">
        <v>25</v>
      </c>
      <c r="I141" s="98" t="s">
        <v>42</v>
      </c>
      <c r="J141" s="102">
        <v>20</v>
      </c>
      <c r="K141" s="98">
        <v>5</v>
      </c>
      <c r="L141" s="98">
        <v>2</v>
      </c>
      <c r="M141" s="98">
        <v>0</v>
      </c>
      <c r="N141" s="98">
        <v>0</v>
      </c>
      <c r="O141" s="103">
        <v>2000000</v>
      </c>
      <c r="P141" s="103">
        <v>2765699</v>
      </c>
      <c r="Q141" s="103">
        <v>0</v>
      </c>
      <c r="R141" s="104">
        <f t="shared" si="0"/>
        <v>4765699</v>
      </c>
      <c r="S141" s="105"/>
      <c r="T141" s="110"/>
      <c r="U141" s="111"/>
      <c r="V141" s="89"/>
      <c r="W141" s="90"/>
      <c r="X141" s="81"/>
      <c r="Y141" s="81"/>
      <c r="Z141" s="81"/>
      <c r="AA141" s="81"/>
      <c r="AB141" s="81"/>
      <c r="AC141" s="81"/>
      <c r="AD141" s="81"/>
      <c r="AE141" s="81"/>
    </row>
    <row r="142" spans="1:31" s="1" customFormat="1" ht="54">
      <c r="A142" s="96">
        <v>141</v>
      </c>
      <c r="B142" s="97">
        <v>107</v>
      </c>
      <c r="C142" s="98" t="s">
        <v>39</v>
      </c>
      <c r="D142" s="98" t="s">
        <v>117</v>
      </c>
      <c r="E142" s="99" t="s">
        <v>424</v>
      </c>
      <c r="F142" s="100" t="s">
        <v>425</v>
      </c>
      <c r="G142" s="100" t="s">
        <v>426</v>
      </c>
      <c r="H142" s="101">
        <v>25</v>
      </c>
      <c r="I142" s="98" t="s">
        <v>427</v>
      </c>
      <c r="J142" s="102">
        <v>6</v>
      </c>
      <c r="K142" s="98">
        <v>3</v>
      </c>
      <c r="L142" s="98">
        <v>1</v>
      </c>
      <c r="M142" s="98">
        <v>2</v>
      </c>
      <c r="N142" s="98">
        <v>0</v>
      </c>
      <c r="O142" s="103">
        <v>600000</v>
      </c>
      <c r="P142" s="103">
        <v>168000</v>
      </c>
      <c r="Q142" s="103">
        <v>4500000</v>
      </c>
      <c r="R142" s="104">
        <f t="shared" si="0"/>
        <v>5268000</v>
      </c>
      <c r="S142" s="105" t="s">
        <v>370</v>
      </c>
      <c r="T142" s="106" t="s">
        <v>428</v>
      </c>
      <c r="U142" s="107" t="s">
        <v>429</v>
      </c>
      <c r="V142" s="89"/>
      <c r="W142" s="90"/>
      <c r="X142" s="81"/>
      <c r="Y142" s="81"/>
      <c r="Z142" s="81"/>
      <c r="AA142" s="81"/>
      <c r="AB142" s="81"/>
      <c r="AC142" s="81"/>
      <c r="AD142" s="81"/>
      <c r="AE142" s="81"/>
    </row>
    <row r="143" spans="1:31" s="1" customFormat="1" ht="27">
      <c r="A143" s="96">
        <v>142</v>
      </c>
      <c r="B143" s="97">
        <v>107</v>
      </c>
      <c r="C143" s="105" t="s">
        <v>39</v>
      </c>
      <c r="D143" s="105" t="s">
        <v>133</v>
      </c>
      <c r="E143" s="99" t="s">
        <v>430</v>
      </c>
      <c r="F143" s="100" t="s">
        <v>431</v>
      </c>
      <c r="G143" s="100"/>
      <c r="H143" s="112" t="s">
        <v>432</v>
      </c>
      <c r="I143" s="105" t="s">
        <v>254</v>
      </c>
      <c r="J143" s="113">
        <v>6</v>
      </c>
      <c r="K143" s="105">
        <v>3</v>
      </c>
      <c r="L143" s="105">
        <v>5</v>
      </c>
      <c r="M143" s="105">
        <v>1</v>
      </c>
      <c r="N143" s="105">
        <v>0</v>
      </c>
      <c r="O143" s="114">
        <v>13000000</v>
      </c>
      <c r="P143" s="115">
        <v>1000000</v>
      </c>
      <c r="Q143" s="115">
        <v>3000000</v>
      </c>
      <c r="R143" s="104">
        <f t="shared" si="0"/>
        <v>17000000</v>
      </c>
      <c r="S143" s="105" t="s">
        <v>370</v>
      </c>
      <c r="T143" s="106" t="s">
        <v>371</v>
      </c>
      <c r="U143" s="107"/>
      <c r="V143" s="89"/>
      <c r="W143" s="90"/>
      <c r="X143" s="81"/>
      <c r="Y143" s="81"/>
      <c r="Z143" s="81"/>
      <c r="AA143" s="81"/>
      <c r="AB143" s="81"/>
      <c r="AC143" s="81"/>
      <c r="AD143" s="81"/>
      <c r="AE143" s="81"/>
    </row>
    <row r="144" spans="1:31" s="1" customFormat="1" ht="27">
      <c r="A144" s="96">
        <v>143</v>
      </c>
      <c r="B144" s="97">
        <v>107</v>
      </c>
      <c r="C144" s="105" t="s">
        <v>39</v>
      </c>
      <c r="D144" s="105" t="s">
        <v>133</v>
      </c>
      <c r="E144" s="99" t="s">
        <v>433</v>
      </c>
      <c r="F144" s="100" t="s">
        <v>434</v>
      </c>
      <c r="G144" s="100"/>
      <c r="H144" s="112">
        <v>5</v>
      </c>
      <c r="I144" s="105">
        <v>3</v>
      </c>
      <c r="J144" s="113">
        <v>8</v>
      </c>
      <c r="K144" s="105">
        <v>2</v>
      </c>
      <c r="L144" s="105">
        <v>3</v>
      </c>
      <c r="M144" s="105">
        <v>2</v>
      </c>
      <c r="N144" s="105">
        <v>1</v>
      </c>
      <c r="O144" s="114">
        <v>200000</v>
      </c>
      <c r="P144" s="115">
        <v>224000</v>
      </c>
      <c r="Q144" s="115">
        <v>4000000</v>
      </c>
      <c r="R144" s="104">
        <f t="shared" si="0"/>
        <v>4424000</v>
      </c>
      <c r="S144" s="105" t="s">
        <v>370</v>
      </c>
      <c r="T144" s="106" t="s">
        <v>409</v>
      </c>
      <c r="U144" s="107"/>
      <c r="V144" s="89"/>
      <c r="W144" s="90"/>
      <c r="X144" s="81"/>
      <c r="Y144" s="81"/>
      <c r="Z144" s="81"/>
      <c r="AA144" s="81"/>
      <c r="AB144" s="81"/>
      <c r="AC144" s="81"/>
      <c r="AD144" s="81"/>
      <c r="AE144" s="81"/>
    </row>
    <row r="145" spans="1:31" s="1" customFormat="1" ht="40.5">
      <c r="A145" s="96">
        <v>144</v>
      </c>
      <c r="B145" s="97">
        <v>106</v>
      </c>
      <c r="C145" s="105" t="s">
        <v>178</v>
      </c>
      <c r="D145" s="105" t="s">
        <v>133</v>
      </c>
      <c r="E145" s="99" t="s">
        <v>435</v>
      </c>
      <c r="F145" s="100" t="s">
        <v>436</v>
      </c>
      <c r="G145" s="100"/>
      <c r="H145" s="112" t="s">
        <v>437</v>
      </c>
      <c r="I145" s="105">
        <v>4</v>
      </c>
      <c r="J145" s="113">
        <v>12</v>
      </c>
      <c r="K145" s="105">
        <v>4</v>
      </c>
      <c r="L145" s="105">
        <v>3</v>
      </c>
      <c r="M145" s="105">
        <v>0</v>
      </c>
      <c r="N145" s="105" t="s">
        <v>438</v>
      </c>
      <c r="O145" s="114">
        <v>4800000</v>
      </c>
      <c r="P145" s="115">
        <v>6480000</v>
      </c>
      <c r="Q145" s="115">
        <v>0</v>
      </c>
      <c r="R145" s="104">
        <f t="shared" si="0"/>
        <v>11280000</v>
      </c>
      <c r="S145" s="105" t="s">
        <v>370</v>
      </c>
      <c r="T145" s="106" t="s">
        <v>439</v>
      </c>
      <c r="U145" s="107"/>
      <c r="V145" s="89"/>
      <c r="W145" s="90"/>
      <c r="X145" s="81"/>
      <c r="Y145" s="81"/>
      <c r="Z145" s="81"/>
      <c r="AA145" s="81"/>
      <c r="AB145" s="81"/>
      <c r="AC145" s="81"/>
      <c r="AD145" s="81"/>
      <c r="AE145" s="81"/>
    </row>
    <row r="146" spans="1:31" s="1" customFormat="1" ht="27">
      <c r="A146" s="96">
        <v>145</v>
      </c>
      <c r="B146" s="97" t="s">
        <v>38</v>
      </c>
      <c r="C146" s="98" t="s">
        <v>39</v>
      </c>
      <c r="D146" s="98" t="s">
        <v>147</v>
      </c>
      <c r="E146" s="108" t="s">
        <v>159</v>
      </c>
      <c r="F146" s="109" t="s">
        <v>440</v>
      </c>
      <c r="G146" s="109" t="s">
        <v>441</v>
      </c>
      <c r="H146" s="101">
        <v>23</v>
      </c>
      <c r="I146" s="98" t="s">
        <v>42</v>
      </c>
      <c r="J146" s="102">
        <v>7</v>
      </c>
      <c r="K146" s="98">
        <v>0</v>
      </c>
      <c r="L146" s="98">
        <v>5</v>
      </c>
      <c r="M146" s="98">
        <v>2</v>
      </c>
      <c r="N146" s="98">
        <v>0</v>
      </c>
      <c r="O146" s="103">
        <v>736000</v>
      </c>
      <c r="P146" s="103">
        <v>21230000</v>
      </c>
      <c r="Q146" s="103">
        <v>343400</v>
      </c>
      <c r="R146" s="104">
        <v>22309400</v>
      </c>
      <c r="S146" s="105" t="s">
        <v>370</v>
      </c>
      <c r="T146" s="106" t="s">
        <v>371</v>
      </c>
      <c r="U146" s="107" t="s">
        <v>151</v>
      </c>
      <c r="V146" s="89"/>
      <c r="W146" s="90"/>
      <c r="X146" s="81"/>
      <c r="Y146" s="81"/>
      <c r="Z146" s="81"/>
      <c r="AA146" s="81"/>
      <c r="AB146" s="81"/>
      <c r="AC146" s="81"/>
      <c r="AD146" s="81"/>
      <c r="AE146" s="81"/>
    </row>
    <row r="147" spans="1:31" s="1" customFormat="1" ht="27">
      <c r="A147" s="96">
        <v>146</v>
      </c>
      <c r="B147" s="97">
        <v>107</v>
      </c>
      <c r="C147" s="98" t="s">
        <v>39</v>
      </c>
      <c r="D147" s="98" t="s">
        <v>171</v>
      </c>
      <c r="E147" s="99" t="s">
        <v>442</v>
      </c>
      <c r="F147" s="100" t="s">
        <v>443</v>
      </c>
      <c r="G147" s="100" t="s">
        <v>444</v>
      </c>
      <c r="H147" s="101">
        <v>50</v>
      </c>
      <c r="I147" s="98" t="s">
        <v>42</v>
      </c>
      <c r="J147" s="102">
        <v>8</v>
      </c>
      <c r="K147" s="98">
        <v>0</v>
      </c>
      <c r="L147" s="98">
        <v>7</v>
      </c>
      <c r="M147" s="98">
        <v>2</v>
      </c>
      <c r="N147" s="98">
        <v>0</v>
      </c>
      <c r="O147" s="103">
        <v>1600000</v>
      </c>
      <c r="P147" s="103">
        <v>12449749</v>
      </c>
      <c r="Q147" s="103">
        <v>2491508</v>
      </c>
      <c r="R147" s="104">
        <f>SUM(O147:Q147)</f>
        <v>16541257</v>
      </c>
      <c r="S147" s="105" t="s">
        <v>370</v>
      </c>
      <c r="T147" s="106" t="s">
        <v>371</v>
      </c>
      <c r="U147" s="107"/>
      <c r="V147" s="89"/>
      <c r="W147" s="90"/>
      <c r="X147" s="81"/>
      <c r="Y147" s="81"/>
      <c r="Z147" s="81"/>
      <c r="AA147" s="81"/>
      <c r="AB147" s="81"/>
      <c r="AC147" s="81"/>
      <c r="AD147" s="81"/>
      <c r="AE147" s="81"/>
    </row>
    <row r="148" spans="1:31" s="1" customFormat="1" ht="27">
      <c r="A148" s="96">
        <v>147</v>
      </c>
      <c r="B148" s="97">
        <v>107</v>
      </c>
      <c r="C148" s="98" t="s">
        <v>39</v>
      </c>
      <c r="D148" s="98" t="s">
        <v>171</v>
      </c>
      <c r="E148" s="99" t="s">
        <v>445</v>
      </c>
      <c r="F148" s="100" t="s">
        <v>446</v>
      </c>
      <c r="G148" s="100"/>
      <c r="H148" s="101">
        <v>30</v>
      </c>
      <c r="I148" s="98" t="s">
        <v>42</v>
      </c>
      <c r="J148" s="102">
        <v>6</v>
      </c>
      <c r="K148" s="98">
        <v>7</v>
      </c>
      <c r="L148" s="98">
        <v>2</v>
      </c>
      <c r="M148" s="98">
        <v>0</v>
      </c>
      <c r="N148" s="98">
        <v>0</v>
      </c>
      <c r="O148" s="103">
        <v>9000000</v>
      </c>
      <c r="P148" s="103">
        <v>0</v>
      </c>
      <c r="Q148" s="103">
        <v>0</v>
      </c>
      <c r="R148" s="104">
        <f>SUM(O148:Q148)</f>
        <v>9000000</v>
      </c>
      <c r="S148" s="105" t="s">
        <v>370</v>
      </c>
      <c r="T148" s="106" t="s">
        <v>371</v>
      </c>
      <c r="U148" s="107"/>
      <c r="V148" s="89"/>
      <c r="W148" s="90"/>
      <c r="X148" s="81"/>
      <c r="Y148" s="81"/>
      <c r="Z148" s="81"/>
      <c r="AA148" s="81"/>
      <c r="AB148" s="81"/>
      <c r="AC148" s="81"/>
      <c r="AD148" s="81"/>
      <c r="AE148" s="81"/>
    </row>
    <row r="149" spans="1:31" s="1" customFormat="1" ht="27">
      <c r="A149" s="96">
        <v>148</v>
      </c>
      <c r="B149" s="97">
        <v>107</v>
      </c>
      <c r="C149" s="98" t="s">
        <v>39</v>
      </c>
      <c r="D149" s="98" t="s">
        <v>173</v>
      </c>
      <c r="E149" s="99" t="s">
        <v>447</v>
      </c>
      <c r="F149" s="100" t="s">
        <v>448</v>
      </c>
      <c r="G149" s="100" t="s">
        <v>449</v>
      </c>
      <c r="H149" s="101">
        <v>35</v>
      </c>
      <c r="I149" s="98" t="s">
        <v>42</v>
      </c>
      <c r="J149" s="102">
        <v>4</v>
      </c>
      <c r="K149" s="98">
        <v>0</v>
      </c>
      <c r="L149" s="98">
        <v>3</v>
      </c>
      <c r="M149" s="98">
        <v>0</v>
      </c>
      <c r="N149" s="98">
        <v>2</v>
      </c>
      <c r="O149" s="103">
        <v>560000</v>
      </c>
      <c r="P149" s="103">
        <v>2113347</v>
      </c>
      <c r="Q149" s="103">
        <v>1061421</v>
      </c>
      <c r="R149" s="104">
        <f>SUM(O149:Q149)</f>
        <v>3734768</v>
      </c>
      <c r="S149" s="105" t="s">
        <v>370</v>
      </c>
      <c r="T149" s="106" t="s">
        <v>409</v>
      </c>
      <c r="U149" s="107" t="s">
        <v>450</v>
      </c>
      <c r="V149" s="89"/>
      <c r="W149" s="90"/>
      <c r="X149" s="81"/>
      <c r="Y149" s="81"/>
      <c r="Z149" s="81"/>
      <c r="AA149" s="81"/>
      <c r="AB149" s="81"/>
      <c r="AC149" s="81"/>
      <c r="AD149" s="81"/>
      <c r="AE149" s="81"/>
    </row>
    <row r="150" spans="1:31" s="1" customFormat="1" ht="27">
      <c r="A150" s="96">
        <v>149</v>
      </c>
      <c r="B150" s="116">
        <v>107</v>
      </c>
      <c r="C150" s="105" t="s">
        <v>178</v>
      </c>
      <c r="D150" s="105" t="s">
        <v>451</v>
      </c>
      <c r="E150" s="100" t="s">
        <v>452</v>
      </c>
      <c r="F150" s="100" t="s">
        <v>453</v>
      </c>
      <c r="G150" s="100" t="s">
        <v>194</v>
      </c>
      <c r="H150" s="112"/>
      <c r="I150" s="105"/>
      <c r="J150" s="113"/>
      <c r="K150" s="105"/>
      <c r="L150" s="105"/>
      <c r="M150" s="105"/>
      <c r="N150" s="105"/>
      <c r="O150" s="114"/>
      <c r="P150" s="115"/>
      <c r="Q150" s="115"/>
      <c r="R150" s="114"/>
      <c r="S150" s="105" t="s">
        <v>454</v>
      </c>
      <c r="T150" s="110"/>
      <c r="U150" s="111" t="s">
        <v>455</v>
      </c>
      <c r="V150" s="89"/>
      <c r="W150" s="90"/>
      <c r="X150" s="81"/>
      <c r="Y150" s="81"/>
      <c r="Z150" s="81"/>
      <c r="AA150" s="81"/>
      <c r="AB150" s="81"/>
      <c r="AC150" s="81"/>
      <c r="AD150" s="81"/>
      <c r="AE150" s="81"/>
    </row>
    <row r="151" spans="1:31" s="1" customFormat="1" ht="27">
      <c r="A151" s="96">
        <v>150</v>
      </c>
      <c r="B151" s="116">
        <v>107</v>
      </c>
      <c r="C151" s="98" t="s">
        <v>39</v>
      </c>
      <c r="D151" s="105" t="s">
        <v>451</v>
      </c>
      <c r="E151" s="100" t="s">
        <v>456</v>
      </c>
      <c r="F151" s="100" t="s">
        <v>456</v>
      </c>
      <c r="G151" s="100" t="s">
        <v>457</v>
      </c>
      <c r="H151" s="112"/>
      <c r="I151" s="105"/>
      <c r="J151" s="113"/>
      <c r="K151" s="105"/>
      <c r="L151" s="105"/>
      <c r="M151" s="105"/>
      <c r="N151" s="105"/>
      <c r="O151" s="114"/>
      <c r="P151" s="115"/>
      <c r="Q151" s="115"/>
      <c r="R151" s="114"/>
      <c r="S151" s="105" t="s">
        <v>458</v>
      </c>
      <c r="T151" s="110" t="s">
        <v>459</v>
      </c>
      <c r="U151" s="111"/>
      <c r="V151" s="89"/>
      <c r="W151" s="90"/>
      <c r="X151" s="81"/>
      <c r="Y151" s="81"/>
      <c r="Z151" s="81"/>
      <c r="AA151" s="81"/>
      <c r="AB151" s="81"/>
      <c r="AC151" s="81"/>
      <c r="AD151" s="81"/>
      <c r="AE151" s="81"/>
    </row>
    <row r="152" spans="1:31" s="1" customFormat="1" ht="54">
      <c r="A152" s="96">
        <v>151</v>
      </c>
      <c r="B152" s="116">
        <v>107</v>
      </c>
      <c r="C152" s="105" t="s">
        <v>178</v>
      </c>
      <c r="D152" s="105" t="s">
        <v>451</v>
      </c>
      <c r="E152" s="100" t="s">
        <v>460</v>
      </c>
      <c r="F152" s="100" t="s">
        <v>461</v>
      </c>
      <c r="G152" s="100" t="s">
        <v>460</v>
      </c>
      <c r="H152" s="112"/>
      <c r="I152" s="105"/>
      <c r="J152" s="113"/>
      <c r="K152" s="105"/>
      <c r="L152" s="105"/>
      <c r="M152" s="105"/>
      <c r="N152" s="105"/>
      <c r="O152" s="114"/>
      <c r="P152" s="115"/>
      <c r="Q152" s="115"/>
      <c r="R152" s="114"/>
      <c r="S152" s="105" t="s">
        <v>454</v>
      </c>
      <c r="T152" s="110" t="s">
        <v>462</v>
      </c>
      <c r="U152" s="111"/>
      <c r="V152" s="89"/>
      <c r="W152" s="90"/>
      <c r="X152" s="81"/>
      <c r="Y152" s="81"/>
      <c r="Z152" s="81"/>
      <c r="AA152" s="81"/>
      <c r="AB152" s="81"/>
      <c r="AC152" s="81"/>
      <c r="AD152" s="81"/>
      <c r="AE152" s="81"/>
    </row>
    <row r="153" spans="1:31" s="1" customFormat="1" ht="27">
      <c r="A153" s="96">
        <v>152</v>
      </c>
      <c r="B153" s="116">
        <v>107</v>
      </c>
      <c r="C153" s="105" t="s">
        <v>178</v>
      </c>
      <c r="D153" s="105" t="s">
        <v>463</v>
      </c>
      <c r="E153" s="100" t="s">
        <v>464</v>
      </c>
      <c r="F153" s="100" t="s">
        <v>464</v>
      </c>
      <c r="G153" s="100" t="s">
        <v>465</v>
      </c>
      <c r="H153" s="112"/>
      <c r="I153" s="105"/>
      <c r="J153" s="113"/>
      <c r="K153" s="105"/>
      <c r="L153" s="105"/>
      <c r="M153" s="105"/>
      <c r="N153" s="105"/>
      <c r="O153" s="114"/>
      <c r="P153" s="115"/>
      <c r="Q153" s="115"/>
      <c r="R153" s="114"/>
      <c r="S153" s="105" t="s">
        <v>466</v>
      </c>
      <c r="T153" s="110" t="s">
        <v>467</v>
      </c>
      <c r="U153" s="111"/>
      <c r="V153" s="89"/>
      <c r="W153" s="90"/>
      <c r="X153" s="81"/>
      <c r="Y153" s="81"/>
      <c r="Z153" s="81"/>
      <c r="AA153" s="81"/>
      <c r="AB153" s="81"/>
      <c r="AC153" s="81"/>
      <c r="AD153" s="81"/>
      <c r="AE153" s="81"/>
    </row>
    <row r="154" spans="1:31" s="1" customFormat="1" ht="27">
      <c r="A154" s="96">
        <v>153</v>
      </c>
      <c r="B154" s="116">
        <v>107</v>
      </c>
      <c r="C154" s="98" t="s">
        <v>39</v>
      </c>
      <c r="D154" s="105" t="s">
        <v>463</v>
      </c>
      <c r="E154" s="100" t="s">
        <v>468</v>
      </c>
      <c r="F154" s="100" t="s">
        <v>469</v>
      </c>
      <c r="G154" s="100" t="s">
        <v>470</v>
      </c>
      <c r="H154" s="112"/>
      <c r="I154" s="105"/>
      <c r="J154" s="113"/>
      <c r="K154" s="105"/>
      <c r="L154" s="105"/>
      <c r="M154" s="105"/>
      <c r="N154" s="105"/>
      <c r="O154" s="114"/>
      <c r="P154" s="115"/>
      <c r="Q154" s="115"/>
      <c r="R154" s="114"/>
      <c r="S154" s="105" t="s">
        <v>458</v>
      </c>
      <c r="T154" s="110" t="s">
        <v>471</v>
      </c>
      <c r="U154" s="111"/>
      <c r="V154" s="89"/>
      <c r="W154" s="90"/>
      <c r="X154" s="81"/>
      <c r="Y154" s="81"/>
      <c r="Z154" s="81"/>
      <c r="AA154" s="81"/>
      <c r="AB154" s="81"/>
      <c r="AC154" s="81"/>
      <c r="AD154" s="81"/>
      <c r="AE154" s="81"/>
    </row>
    <row r="155" spans="1:31" s="1" customFormat="1" ht="27">
      <c r="A155" s="96">
        <v>154</v>
      </c>
      <c r="B155" s="116">
        <v>107</v>
      </c>
      <c r="C155" s="105" t="s">
        <v>178</v>
      </c>
      <c r="D155" s="105" t="s">
        <v>463</v>
      </c>
      <c r="E155" s="100" t="s">
        <v>472</v>
      </c>
      <c r="F155" s="100" t="s">
        <v>473</v>
      </c>
      <c r="G155" s="100" t="s">
        <v>474</v>
      </c>
      <c r="H155" s="112"/>
      <c r="I155" s="105"/>
      <c r="J155" s="113"/>
      <c r="K155" s="105"/>
      <c r="L155" s="105"/>
      <c r="M155" s="105"/>
      <c r="N155" s="105"/>
      <c r="O155" s="114"/>
      <c r="P155" s="115"/>
      <c r="Q155" s="115"/>
      <c r="R155" s="114"/>
      <c r="S155" s="105" t="s">
        <v>466</v>
      </c>
      <c r="T155" s="110" t="s">
        <v>475</v>
      </c>
      <c r="U155" s="111"/>
      <c r="V155" s="89"/>
      <c r="W155" s="90"/>
      <c r="X155" s="81"/>
      <c r="Y155" s="81"/>
      <c r="Z155" s="81"/>
      <c r="AA155" s="81"/>
      <c r="AB155" s="81"/>
      <c r="AC155" s="81"/>
      <c r="AD155" s="81"/>
      <c r="AE155" s="81"/>
    </row>
    <row r="156" spans="1:31" s="1" customFormat="1" ht="40.5">
      <c r="A156" s="96">
        <v>155</v>
      </c>
      <c r="B156" s="116">
        <v>107</v>
      </c>
      <c r="C156" s="98" t="s">
        <v>39</v>
      </c>
      <c r="D156" s="105" t="s">
        <v>463</v>
      </c>
      <c r="E156" s="100" t="s">
        <v>476</v>
      </c>
      <c r="F156" s="100" t="s">
        <v>477</v>
      </c>
      <c r="G156" s="100" t="s">
        <v>478</v>
      </c>
      <c r="H156" s="112"/>
      <c r="I156" s="105"/>
      <c r="J156" s="113"/>
      <c r="K156" s="105"/>
      <c r="L156" s="105"/>
      <c r="M156" s="105"/>
      <c r="N156" s="105"/>
      <c r="O156" s="114"/>
      <c r="P156" s="115"/>
      <c r="Q156" s="115"/>
      <c r="R156" s="114"/>
      <c r="S156" s="105" t="s">
        <v>458</v>
      </c>
      <c r="T156" s="110" t="s">
        <v>479</v>
      </c>
      <c r="U156" s="111" t="s">
        <v>480</v>
      </c>
      <c r="V156" s="89"/>
      <c r="W156" s="90"/>
      <c r="X156" s="81"/>
      <c r="Y156" s="81"/>
      <c r="Z156" s="81"/>
      <c r="AA156" s="81"/>
      <c r="AB156" s="81"/>
      <c r="AC156" s="81"/>
      <c r="AD156" s="81"/>
      <c r="AE156" s="81"/>
    </row>
    <row r="157" spans="1:31" s="1" customFormat="1" ht="40.5">
      <c r="A157" s="96">
        <v>156</v>
      </c>
      <c r="B157" s="116">
        <v>107</v>
      </c>
      <c r="C157" s="105" t="s">
        <v>178</v>
      </c>
      <c r="D157" s="105" t="s">
        <v>463</v>
      </c>
      <c r="E157" s="100" t="s">
        <v>481</v>
      </c>
      <c r="F157" s="100" t="s">
        <v>482</v>
      </c>
      <c r="G157" s="100" t="s">
        <v>483</v>
      </c>
      <c r="H157" s="112"/>
      <c r="I157" s="105"/>
      <c r="J157" s="113"/>
      <c r="K157" s="105"/>
      <c r="L157" s="105"/>
      <c r="M157" s="105"/>
      <c r="N157" s="105"/>
      <c r="O157" s="114"/>
      <c r="P157" s="115"/>
      <c r="Q157" s="115"/>
      <c r="R157" s="114"/>
      <c r="S157" s="105" t="s">
        <v>484</v>
      </c>
      <c r="T157" s="110" t="s">
        <v>485</v>
      </c>
      <c r="U157" s="111"/>
      <c r="V157" s="89"/>
      <c r="W157" s="90"/>
      <c r="X157" s="81"/>
      <c r="Y157" s="81"/>
      <c r="Z157" s="81"/>
      <c r="AA157" s="81"/>
      <c r="AB157" s="81"/>
      <c r="AC157" s="81"/>
      <c r="AD157" s="81"/>
      <c r="AE157" s="81"/>
    </row>
    <row r="158" spans="1:31" s="1" customFormat="1" ht="27">
      <c r="A158" s="96">
        <v>157</v>
      </c>
      <c r="B158" s="116">
        <v>107</v>
      </c>
      <c r="C158" s="105" t="s">
        <v>178</v>
      </c>
      <c r="D158" s="105" t="s">
        <v>463</v>
      </c>
      <c r="E158" s="100" t="s">
        <v>486</v>
      </c>
      <c r="F158" s="100" t="s">
        <v>487</v>
      </c>
      <c r="G158" s="100" t="s">
        <v>488</v>
      </c>
      <c r="H158" s="112"/>
      <c r="I158" s="105"/>
      <c r="J158" s="113"/>
      <c r="K158" s="105"/>
      <c r="L158" s="105"/>
      <c r="M158" s="105"/>
      <c r="N158" s="105"/>
      <c r="O158" s="114"/>
      <c r="P158" s="115"/>
      <c r="Q158" s="115"/>
      <c r="R158" s="114"/>
      <c r="S158" s="105" t="s">
        <v>466</v>
      </c>
      <c r="T158" s="110" t="s">
        <v>489</v>
      </c>
      <c r="U158" s="111"/>
      <c r="V158" s="89"/>
      <c r="W158" s="90"/>
      <c r="X158" s="81"/>
      <c r="Y158" s="81"/>
      <c r="Z158" s="81"/>
      <c r="AA158" s="81"/>
      <c r="AB158" s="81"/>
      <c r="AC158" s="81"/>
      <c r="AD158" s="81"/>
      <c r="AE158" s="81"/>
    </row>
    <row r="159" spans="1:31" s="1" customFormat="1" ht="40.5">
      <c r="A159" s="96">
        <v>158</v>
      </c>
      <c r="B159" s="116">
        <v>107</v>
      </c>
      <c r="C159" s="98" t="s">
        <v>39</v>
      </c>
      <c r="D159" s="105" t="s">
        <v>463</v>
      </c>
      <c r="E159" s="100" t="s">
        <v>490</v>
      </c>
      <c r="F159" s="100" t="s">
        <v>491</v>
      </c>
      <c r="G159" s="100" t="s">
        <v>492</v>
      </c>
      <c r="H159" s="112"/>
      <c r="I159" s="105"/>
      <c r="J159" s="113"/>
      <c r="K159" s="105"/>
      <c r="L159" s="105"/>
      <c r="M159" s="105"/>
      <c r="N159" s="105"/>
      <c r="O159" s="114"/>
      <c r="P159" s="115"/>
      <c r="Q159" s="115"/>
      <c r="R159" s="114"/>
      <c r="S159" s="105" t="s">
        <v>458</v>
      </c>
      <c r="T159" s="110" t="s">
        <v>493</v>
      </c>
      <c r="U159" s="111"/>
      <c r="V159" s="89"/>
      <c r="W159" s="90"/>
      <c r="X159" s="81"/>
      <c r="Y159" s="81"/>
      <c r="Z159" s="81"/>
      <c r="AA159" s="81"/>
      <c r="AB159" s="81"/>
      <c r="AC159" s="81"/>
      <c r="AD159" s="81"/>
      <c r="AE159" s="81"/>
    </row>
    <row r="160" spans="1:31" s="1" customFormat="1" ht="15.75">
      <c r="A160" s="96">
        <v>159</v>
      </c>
      <c r="B160" s="116">
        <v>107</v>
      </c>
      <c r="C160" s="105" t="s">
        <v>178</v>
      </c>
      <c r="D160" s="105" t="s">
        <v>83</v>
      </c>
      <c r="E160" s="100" t="s">
        <v>494</v>
      </c>
      <c r="F160" s="100" t="s">
        <v>495</v>
      </c>
      <c r="G160" s="100" t="s">
        <v>496</v>
      </c>
      <c r="H160" s="112"/>
      <c r="I160" s="105"/>
      <c r="J160" s="113"/>
      <c r="K160" s="105"/>
      <c r="L160" s="105"/>
      <c r="M160" s="105"/>
      <c r="N160" s="105"/>
      <c r="O160" s="114"/>
      <c r="P160" s="115"/>
      <c r="Q160" s="115"/>
      <c r="R160" s="114"/>
      <c r="S160" s="105"/>
      <c r="T160" s="110"/>
      <c r="U160" s="111"/>
      <c r="V160" s="89"/>
      <c r="W160" s="90"/>
      <c r="X160" s="81"/>
      <c r="Y160" s="81"/>
      <c r="Z160" s="81"/>
      <c r="AA160" s="81"/>
      <c r="AB160" s="81"/>
      <c r="AC160" s="81"/>
      <c r="AD160" s="81"/>
      <c r="AE160" s="81"/>
    </row>
    <row r="161" spans="1:31" s="1" customFormat="1" ht="54">
      <c r="A161" s="96">
        <v>160</v>
      </c>
      <c r="B161" s="116">
        <v>107</v>
      </c>
      <c r="C161" s="105" t="s">
        <v>178</v>
      </c>
      <c r="D161" s="105" t="s">
        <v>83</v>
      </c>
      <c r="E161" s="100" t="s">
        <v>497</v>
      </c>
      <c r="F161" s="100" t="s">
        <v>495</v>
      </c>
      <c r="G161" s="100" t="s">
        <v>498</v>
      </c>
      <c r="H161" s="112"/>
      <c r="I161" s="105"/>
      <c r="J161" s="113"/>
      <c r="K161" s="105"/>
      <c r="L161" s="105"/>
      <c r="M161" s="105"/>
      <c r="N161" s="105"/>
      <c r="O161" s="114"/>
      <c r="P161" s="115"/>
      <c r="Q161" s="115"/>
      <c r="R161" s="114"/>
      <c r="S161" s="105" t="s">
        <v>484</v>
      </c>
      <c r="T161" s="110" t="s">
        <v>499</v>
      </c>
      <c r="U161" s="111"/>
      <c r="V161" s="89"/>
      <c r="W161" s="90"/>
      <c r="X161" s="81"/>
      <c r="Y161" s="81"/>
      <c r="Z161" s="81"/>
      <c r="AA161" s="81"/>
      <c r="AB161" s="81"/>
      <c r="AC161" s="81"/>
      <c r="AD161" s="81"/>
      <c r="AE161" s="81"/>
    </row>
    <row r="162" spans="1:31" s="1" customFormat="1" ht="40.5">
      <c r="A162" s="96">
        <v>161</v>
      </c>
      <c r="B162" s="116">
        <v>107</v>
      </c>
      <c r="C162" s="105" t="s">
        <v>178</v>
      </c>
      <c r="D162" s="105" t="s">
        <v>500</v>
      </c>
      <c r="E162" s="100" t="s">
        <v>501</v>
      </c>
      <c r="F162" s="100" t="s">
        <v>502</v>
      </c>
      <c r="G162" s="100" t="s">
        <v>503</v>
      </c>
      <c r="H162" s="112">
        <v>125</v>
      </c>
      <c r="I162" s="105" t="s">
        <v>42</v>
      </c>
      <c r="J162" s="113">
        <v>10</v>
      </c>
      <c r="K162" s="105">
        <v>5</v>
      </c>
      <c r="L162" s="105">
        <v>6</v>
      </c>
      <c r="M162" s="105">
        <v>0</v>
      </c>
      <c r="N162" s="105">
        <v>1</v>
      </c>
      <c r="O162" s="114">
        <v>5000000</v>
      </c>
      <c r="P162" s="115">
        <v>26065016</v>
      </c>
      <c r="Q162" s="115">
        <v>526008</v>
      </c>
      <c r="R162" s="114">
        <f t="shared" ref="R162:R179" si="1">SUM(O162:Q162)</f>
        <v>31591024</v>
      </c>
      <c r="S162" s="105" t="s">
        <v>504</v>
      </c>
      <c r="T162" s="110" t="s">
        <v>505</v>
      </c>
      <c r="U162" s="111"/>
      <c r="V162" s="89"/>
      <c r="W162" s="90" t="s">
        <v>506</v>
      </c>
      <c r="X162" s="81"/>
      <c r="Y162" s="81"/>
      <c r="Z162" s="81"/>
      <c r="AA162" s="81"/>
      <c r="AB162" s="81"/>
      <c r="AC162" s="81"/>
      <c r="AD162" s="81"/>
      <c r="AE162" s="81"/>
    </row>
    <row r="163" spans="1:31" s="1" customFormat="1" ht="40.5">
      <c r="A163" s="96">
        <v>162</v>
      </c>
      <c r="B163" s="116">
        <v>107</v>
      </c>
      <c r="C163" s="105" t="s">
        <v>178</v>
      </c>
      <c r="D163" s="105" t="s">
        <v>83</v>
      </c>
      <c r="E163" s="100" t="s">
        <v>507</v>
      </c>
      <c r="F163" s="100" t="s">
        <v>508</v>
      </c>
      <c r="G163" s="100" t="s">
        <v>509</v>
      </c>
      <c r="H163" s="112">
        <v>905</v>
      </c>
      <c r="I163" s="105" t="s">
        <v>42</v>
      </c>
      <c r="J163" s="113">
        <v>12</v>
      </c>
      <c r="K163" s="105">
        <v>10</v>
      </c>
      <c r="L163" s="105">
        <v>23</v>
      </c>
      <c r="M163" s="105">
        <v>0</v>
      </c>
      <c r="N163" s="105">
        <v>0</v>
      </c>
      <c r="O163" s="114">
        <v>85470000</v>
      </c>
      <c r="P163" s="115">
        <v>140000000</v>
      </c>
      <c r="Q163" s="115">
        <v>0</v>
      </c>
      <c r="R163" s="114">
        <f t="shared" si="1"/>
        <v>225470000</v>
      </c>
      <c r="S163" s="105" t="s">
        <v>484</v>
      </c>
      <c r="T163" s="110" t="s">
        <v>510</v>
      </c>
      <c r="U163" s="111"/>
      <c r="V163" s="89"/>
      <c r="W163" s="90" t="s">
        <v>511</v>
      </c>
      <c r="X163" s="81"/>
      <c r="Y163" s="81"/>
      <c r="Z163" s="81"/>
      <c r="AA163" s="81"/>
      <c r="AB163" s="81"/>
      <c r="AC163" s="81"/>
      <c r="AD163" s="81"/>
      <c r="AE163" s="81"/>
    </row>
    <row r="164" spans="1:31" s="1" customFormat="1" ht="40.5">
      <c r="A164" s="96">
        <v>163</v>
      </c>
      <c r="B164" s="97" t="s">
        <v>38</v>
      </c>
      <c r="C164" s="98" t="s">
        <v>178</v>
      </c>
      <c r="D164" s="98" t="s">
        <v>108</v>
      </c>
      <c r="E164" s="109" t="s">
        <v>512</v>
      </c>
      <c r="F164" s="109" t="s">
        <v>513</v>
      </c>
      <c r="G164" s="109" t="s">
        <v>514</v>
      </c>
      <c r="H164" s="101">
        <v>450</v>
      </c>
      <c r="I164" s="98">
        <v>4</v>
      </c>
      <c r="J164" s="102">
        <v>8</v>
      </c>
      <c r="K164" s="98">
        <v>11</v>
      </c>
      <c r="L164" s="98">
        <v>11</v>
      </c>
      <c r="M164" s="98">
        <v>0</v>
      </c>
      <c r="N164" s="98">
        <v>0</v>
      </c>
      <c r="O164" s="103">
        <v>42000000</v>
      </c>
      <c r="P164" s="115">
        <v>80000000</v>
      </c>
      <c r="Q164" s="115">
        <v>0</v>
      </c>
      <c r="R164" s="114">
        <f t="shared" si="1"/>
        <v>122000000</v>
      </c>
      <c r="S164" s="105" t="s">
        <v>484</v>
      </c>
      <c r="T164" s="110" t="s">
        <v>515</v>
      </c>
      <c r="U164" s="111"/>
      <c r="V164" s="89"/>
      <c r="W164" s="90" t="s">
        <v>516</v>
      </c>
      <c r="X164" s="81"/>
      <c r="Y164" s="81"/>
      <c r="Z164" s="81"/>
      <c r="AA164" s="81"/>
      <c r="AB164" s="81"/>
      <c r="AC164" s="81"/>
      <c r="AD164" s="81"/>
      <c r="AE164" s="81"/>
    </row>
    <row r="165" spans="1:31" s="1" customFormat="1" ht="54">
      <c r="A165" s="96">
        <v>164</v>
      </c>
      <c r="B165" s="97" t="s">
        <v>38</v>
      </c>
      <c r="C165" s="98" t="s">
        <v>178</v>
      </c>
      <c r="D165" s="98" t="s">
        <v>117</v>
      </c>
      <c r="E165" s="109" t="s">
        <v>294</v>
      </c>
      <c r="F165" s="109" t="s">
        <v>517</v>
      </c>
      <c r="G165" s="109" t="s">
        <v>518</v>
      </c>
      <c r="H165" s="101">
        <v>1200</v>
      </c>
      <c r="I165" s="98" t="s">
        <v>254</v>
      </c>
      <c r="J165" s="102">
        <v>8</v>
      </c>
      <c r="K165" s="98">
        <v>22</v>
      </c>
      <c r="L165" s="98">
        <v>76</v>
      </c>
      <c r="M165" s="98">
        <v>1</v>
      </c>
      <c r="N165" s="98">
        <v>2</v>
      </c>
      <c r="O165" s="103">
        <v>68200000</v>
      </c>
      <c r="P165" s="115">
        <v>169247700</v>
      </c>
      <c r="Q165" s="115">
        <v>10752300</v>
      </c>
      <c r="R165" s="114">
        <f t="shared" si="1"/>
        <v>248200000</v>
      </c>
      <c r="S165" s="105" t="s">
        <v>484</v>
      </c>
      <c r="T165" s="110" t="s">
        <v>519</v>
      </c>
      <c r="U165" s="111"/>
      <c r="V165" s="89"/>
      <c r="W165" s="90" t="s">
        <v>520</v>
      </c>
      <c r="X165" s="81"/>
      <c r="Y165" s="81"/>
      <c r="Z165" s="81"/>
      <c r="AA165" s="81"/>
      <c r="AB165" s="81"/>
      <c r="AC165" s="81"/>
      <c r="AD165" s="81"/>
      <c r="AE165" s="81"/>
    </row>
    <row r="166" spans="1:31" s="1" customFormat="1" ht="40.5">
      <c r="A166" s="96">
        <v>165</v>
      </c>
      <c r="B166" s="97" t="s">
        <v>38</v>
      </c>
      <c r="C166" s="98" t="s">
        <v>178</v>
      </c>
      <c r="D166" s="98" t="s">
        <v>171</v>
      </c>
      <c r="E166" s="109" t="s">
        <v>521</v>
      </c>
      <c r="F166" s="109" t="s">
        <v>346</v>
      </c>
      <c r="G166" s="109" t="s">
        <v>522</v>
      </c>
      <c r="H166" s="101">
        <v>340</v>
      </c>
      <c r="I166" s="98" t="s">
        <v>42</v>
      </c>
      <c r="J166" s="102">
        <v>20</v>
      </c>
      <c r="K166" s="98">
        <v>3</v>
      </c>
      <c r="L166" s="98">
        <v>21</v>
      </c>
      <c r="M166" s="98">
        <v>5</v>
      </c>
      <c r="N166" s="98">
        <v>2</v>
      </c>
      <c r="O166" s="103">
        <v>56000000</v>
      </c>
      <c r="P166" s="115">
        <v>206000000</v>
      </c>
      <c r="Q166" s="115">
        <v>14000000</v>
      </c>
      <c r="R166" s="114">
        <f t="shared" si="1"/>
        <v>276000000</v>
      </c>
      <c r="S166" s="105" t="s">
        <v>466</v>
      </c>
      <c r="T166" s="110" t="s">
        <v>523</v>
      </c>
      <c r="U166" s="111"/>
      <c r="V166" s="89"/>
      <c r="W166" s="90" t="s">
        <v>350</v>
      </c>
      <c r="X166" s="81"/>
      <c r="Y166" s="81"/>
      <c r="Z166" s="81"/>
      <c r="AA166" s="81"/>
      <c r="AB166" s="81"/>
      <c r="AC166" s="81"/>
      <c r="AD166" s="81"/>
      <c r="AE166" s="81"/>
    </row>
    <row r="167" spans="1:31" s="1" customFormat="1" ht="15.75">
      <c r="A167" s="96">
        <v>166</v>
      </c>
      <c r="B167" s="97">
        <v>107</v>
      </c>
      <c r="C167" s="98" t="s">
        <v>178</v>
      </c>
      <c r="D167" s="98" t="s">
        <v>171</v>
      </c>
      <c r="E167" s="109" t="s">
        <v>524</v>
      </c>
      <c r="F167" s="109" t="s">
        <v>525</v>
      </c>
      <c r="G167" s="109" t="s">
        <v>522</v>
      </c>
      <c r="H167" s="101">
        <v>1200</v>
      </c>
      <c r="I167" s="98" t="s">
        <v>347</v>
      </c>
      <c r="J167" s="102" t="s">
        <v>348</v>
      </c>
      <c r="K167" s="98">
        <v>15</v>
      </c>
      <c r="L167" s="98">
        <v>89</v>
      </c>
      <c r="M167" s="98">
        <v>57</v>
      </c>
      <c r="N167" s="98">
        <v>1</v>
      </c>
      <c r="O167" s="103">
        <v>96000000</v>
      </c>
      <c r="P167" s="115">
        <v>95123432</v>
      </c>
      <c r="Q167" s="115">
        <v>28966800</v>
      </c>
      <c r="R167" s="114">
        <f t="shared" si="1"/>
        <v>220090232</v>
      </c>
      <c r="S167" s="105"/>
      <c r="T167" s="110"/>
      <c r="U167" s="111"/>
      <c r="V167" s="89"/>
      <c r="W167" s="90"/>
      <c r="X167" s="81"/>
      <c r="Y167" s="81"/>
      <c r="Z167" s="81"/>
      <c r="AA167" s="81"/>
      <c r="AB167" s="81"/>
      <c r="AC167" s="81"/>
      <c r="AD167" s="81"/>
      <c r="AE167" s="81"/>
    </row>
    <row r="168" spans="1:31" s="1" customFormat="1" ht="27">
      <c r="A168" s="96">
        <v>167</v>
      </c>
      <c r="B168" s="97">
        <v>107</v>
      </c>
      <c r="C168" s="98" t="s">
        <v>178</v>
      </c>
      <c r="D168" s="98" t="s">
        <v>173</v>
      </c>
      <c r="E168" s="109" t="s">
        <v>526</v>
      </c>
      <c r="F168" s="109" t="s">
        <v>527</v>
      </c>
      <c r="G168" s="109" t="s">
        <v>528</v>
      </c>
      <c r="H168" s="101">
        <v>140</v>
      </c>
      <c r="I168" s="98" t="s">
        <v>42</v>
      </c>
      <c r="J168" s="102">
        <v>8</v>
      </c>
      <c r="K168" s="98">
        <v>4</v>
      </c>
      <c r="L168" s="98">
        <v>4</v>
      </c>
      <c r="M168" s="98">
        <v>0</v>
      </c>
      <c r="N168" s="98">
        <v>0</v>
      </c>
      <c r="O168" s="103">
        <v>11120000</v>
      </c>
      <c r="P168" s="115">
        <v>25241150</v>
      </c>
      <c r="Q168" s="115">
        <v>0</v>
      </c>
      <c r="R168" s="114">
        <f t="shared" si="1"/>
        <v>36361150</v>
      </c>
      <c r="S168" s="105" t="s">
        <v>454</v>
      </c>
      <c r="T168" s="110"/>
      <c r="U168" s="111" t="s">
        <v>529</v>
      </c>
      <c r="V168" s="89"/>
      <c r="W168" s="90"/>
      <c r="X168" s="81"/>
      <c r="Y168" s="81"/>
      <c r="Z168" s="81"/>
      <c r="AA168" s="81"/>
      <c r="AB168" s="81"/>
      <c r="AC168" s="81"/>
      <c r="AD168" s="81"/>
      <c r="AE168" s="81"/>
    </row>
    <row r="169" spans="1:31" s="1" customFormat="1" ht="15.75">
      <c r="A169" s="96">
        <v>168</v>
      </c>
      <c r="B169" s="97">
        <v>107</v>
      </c>
      <c r="C169" s="98" t="s">
        <v>178</v>
      </c>
      <c r="D169" s="98" t="s">
        <v>83</v>
      </c>
      <c r="E169" s="109" t="s">
        <v>530</v>
      </c>
      <c r="F169" s="109"/>
      <c r="G169" s="109"/>
      <c r="H169" s="101">
        <v>572</v>
      </c>
      <c r="I169" s="98" t="s">
        <v>206</v>
      </c>
      <c r="J169" s="102">
        <v>10</v>
      </c>
      <c r="K169" s="98">
        <v>3</v>
      </c>
      <c r="L169" s="98">
        <v>19</v>
      </c>
      <c r="M169" s="98">
        <v>0</v>
      </c>
      <c r="N169" s="98">
        <v>1</v>
      </c>
      <c r="O169" s="103">
        <v>22000000</v>
      </c>
      <c r="P169" s="115">
        <v>44000000</v>
      </c>
      <c r="Q169" s="115">
        <v>1000000</v>
      </c>
      <c r="R169" s="114">
        <f t="shared" si="1"/>
        <v>67000000</v>
      </c>
      <c r="S169" s="105"/>
      <c r="T169" s="110" t="s">
        <v>531</v>
      </c>
      <c r="U169" s="111"/>
      <c r="V169" s="89"/>
      <c r="W169" s="117" t="s">
        <v>532</v>
      </c>
      <c r="X169" s="81"/>
      <c r="Y169" s="81"/>
      <c r="Z169" s="81"/>
      <c r="AA169" s="81"/>
      <c r="AB169" s="81"/>
      <c r="AC169" s="81"/>
      <c r="AD169" s="81"/>
      <c r="AE169" s="81"/>
    </row>
    <row r="170" spans="1:31" s="1" customFormat="1" ht="15.75">
      <c r="A170" s="96">
        <v>169</v>
      </c>
      <c r="B170" s="97" t="s">
        <v>38</v>
      </c>
      <c r="C170" s="98" t="s">
        <v>178</v>
      </c>
      <c r="D170" s="98" t="s">
        <v>117</v>
      </c>
      <c r="E170" s="109" t="s">
        <v>533</v>
      </c>
      <c r="F170" s="109"/>
      <c r="G170" s="109"/>
      <c r="H170" s="101">
        <v>800</v>
      </c>
      <c r="I170" s="98">
        <v>8</v>
      </c>
      <c r="J170" s="102">
        <v>15</v>
      </c>
      <c r="K170" s="98">
        <v>18</v>
      </c>
      <c r="L170" s="98">
        <v>6</v>
      </c>
      <c r="M170" s="98">
        <v>0</v>
      </c>
      <c r="N170" s="98">
        <v>0</v>
      </c>
      <c r="O170" s="103">
        <v>48000000</v>
      </c>
      <c r="P170" s="115">
        <v>185046400</v>
      </c>
      <c r="Q170" s="115">
        <v>0</v>
      </c>
      <c r="R170" s="114">
        <f t="shared" si="1"/>
        <v>233046400</v>
      </c>
      <c r="S170" s="105"/>
      <c r="T170" s="110" t="s">
        <v>534</v>
      </c>
      <c r="U170" s="111"/>
      <c r="V170" s="89"/>
      <c r="W170" s="117" t="s">
        <v>535</v>
      </c>
      <c r="X170" s="81"/>
      <c r="Y170" s="81"/>
      <c r="Z170" s="81"/>
      <c r="AA170" s="81"/>
      <c r="AB170" s="81"/>
      <c r="AC170" s="81"/>
      <c r="AD170" s="81"/>
      <c r="AE170" s="81"/>
    </row>
    <row r="171" spans="1:31" s="1" customFormat="1" ht="15.75">
      <c r="A171" s="96">
        <v>170</v>
      </c>
      <c r="B171" s="97">
        <v>107</v>
      </c>
      <c r="C171" s="98" t="s">
        <v>178</v>
      </c>
      <c r="D171" s="98" t="s">
        <v>121</v>
      </c>
      <c r="E171" s="109" t="s">
        <v>536</v>
      </c>
      <c r="F171" s="109"/>
      <c r="G171" s="109"/>
      <c r="H171" s="101">
        <v>180</v>
      </c>
      <c r="I171" s="98" t="s">
        <v>42</v>
      </c>
      <c r="J171" s="102">
        <v>15</v>
      </c>
      <c r="K171" s="98">
        <v>1</v>
      </c>
      <c r="L171" s="98">
        <v>18</v>
      </c>
      <c r="M171" s="98">
        <v>0</v>
      </c>
      <c r="N171" s="98">
        <v>1</v>
      </c>
      <c r="O171" s="103">
        <v>11880000</v>
      </c>
      <c r="P171" s="115">
        <v>126348686</v>
      </c>
      <c r="Q171" s="115">
        <v>1500000</v>
      </c>
      <c r="R171" s="114">
        <f t="shared" si="1"/>
        <v>139728686</v>
      </c>
      <c r="S171" s="105"/>
      <c r="T171" s="110" t="s">
        <v>537</v>
      </c>
      <c r="U171" s="111"/>
      <c r="V171" s="89"/>
      <c r="W171" s="117" t="s">
        <v>538</v>
      </c>
      <c r="X171" s="81"/>
      <c r="Y171" s="81"/>
      <c r="Z171" s="81"/>
      <c r="AA171" s="81"/>
      <c r="AB171" s="81"/>
      <c r="AC171" s="81"/>
      <c r="AD171" s="81"/>
      <c r="AE171" s="81"/>
    </row>
    <row r="172" spans="1:31" s="1" customFormat="1" ht="15.75">
      <c r="A172" s="96">
        <v>171</v>
      </c>
      <c r="B172" s="97">
        <v>107</v>
      </c>
      <c r="C172" s="98" t="s">
        <v>178</v>
      </c>
      <c r="D172" s="98" t="s">
        <v>137</v>
      </c>
      <c r="E172" s="109" t="s">
        <v>539</v>
      </c>
      <c r="F172" s="109"/>
      <c r="G172" s="109"/>
      <c r="H172" s="101">
        <v>570</v>
      </c>
      <c r="I172" s="98">
        <v>6</v>
      </c>
      <c r="J172" s="102">
        <v>8</v>
      </c>
      <c r="K172" s="98">
        <v>8</v>
      </c>
      <c r="L172" s="98">
        <v>31</v>
      </c>
      <c r="M172" s="98">
        <v>4</v>
      </c>
      <c r="N172" s="98">
        <v>0</v>
      </c>
      <c r="O172" s="103">
        <v>18240000</v>
      </c>
      <c r="P172" s="115">
        <v>455508702</v>
      </c>
      <c r="Q172" s="115">
        <v>10000000</v>
      </c>
      <c r="R172" s="114">
        <f t="shared" si="1"/>
        <v>483748702</v>
      </c>
      <c r="S172" s="105"/>
      <c r="T172" s="110" t="s">
        <v>540</v>
      </c>
      <c r="U172" s="111"/>
      <c r="V172" s="89"/>
      <c r="W172" s="117" t="s">
        <v>541</v>
      </c>
      <c r="X172" s="81"/>
      <c r="Y172" s="81"/>
      <c r="Z172" s="81"/>
      <c r="AA172" s="81"/>
      <c r="AB172" s="81"/>
      <c r="AC172" s="81"/>
      <c r="AD172" s="81"/>
      <c r="AE172" s="81"/>
    </row>
    <row r="173" spans="1:31" s="1" customFormat="1" ht="15.75">
      <c r="A173" s="96">
        <v>172</v>
      </c>
      <c r="B173" s="97">
        <v>107</v>
      </c>
      <c r="C173" s="98" t="s">
        <v>178</v>
      </c>
      <c r="D173" s="98" t="s">
        <v>137</v>
      </c>
      <c r="E173" s="109" t="s">
        <v>542</v>
      </c>
      <c r="F173" s="109"/>
      <c r="G173" s="109"/>
      <c r="H173" s="101">
        <v>120</v>
      </c>
      <c r="I173" s="98" t="s">
        <v>543</v>
      </c>
      <c r="J173" s="102">
        <v>8</v>
      </c>
      <c r="K173" s="98">
        <v>3</v>
      </c>
      <c r="L173" s="98">
        <v>4</v>
      </c>
      <c r="M173" s="98">
        <v>2</v>
      </c>
      <c r="N173" s="98">
        <v>1</v>
      </c>
      <c r="O173" s="103">
        <v>28480000</v>
      </c>
      <c r="P173" s="115">
        <v>2592000</v>
      </c>
      <c r="Q173" s="115">
        <v>8403200</v>
      </c>
      <c r="R173" s="114">
        <f t="shared" si="1"/>
        <v>39475200</v>
      </c>
      <c r="S173" s="105"/>
      <c r="T173" s="110" t="s">
        <v>540</v>
      </c>
      <c r="U173" s="111"/>
      <c r="V173" s="89"/>
      <c r="W173" s="117" t="s">
        <v>541</v>
      </c>
      <c r="X173" s="81"/>
      <c r="Y173" s="81"/>
      <c r="Z173" s="81"/>
      <c r="AA173" s="81"/>
      <c r="AB173" s="81"/>
      <c r="AC173" s="81"/>
      <c r="AD173" s="81"/>
      <c r="AE173" s="81"/>
    </row>
    <row r="174" spans="1:31" s="1" customFormat="1" ht="15.75">
      <c r="A174" s="96">
        <v>173</v>
      </c>
      <c r="B174" s="97" t="s">
        <v>38</v>
      </c>
      <c r="C174" s="98" t="s">
        <v>178</v>
      </c>
      <c r="D174" s="98" t="s">
        <v>173</v>
      </c>
      <c r="E174" s="109" t="s">
        <v>364</v>
      </c>
      <c r="F174" s="109"/>
      <c r="G174" s="109"/>
      <c r="H174" s="101">
        <v>2110</v>
      </c>
      <c r="I174" s="98">
        <v>6</v>
      </c>
      <c r="J174" s="102">
        <v>12</v>
      </c>
      <c r="K174" s="98">
        <v>10</v>
      </c>
      <c r="L174" s="98">
        <v>32</v>
      </c>
      <c r="M174" s="98">
        <v>0</v>
      </c>
      <c r="N174" s="98">
        <v>0</v>
      </c>
      <c r="O174" s="103">
        <v>101280000</v>
      </c>
      <c r="P174" s="115">
        <v>357593422</v>
      </c>
      <c r="Q174" s="115">
        <v>0</v>
      </c>
      <c r="R174" s="114">
        <f t="shared" si="1"/>
        <v>458873422</v>
      </c>
      <c r="S174" s="105"/>
      <c r="T174" s="110" t="s">
        <v>544</v>
      </c>
      <c r="U174" s="111" t="s">
        <v>545</v>
      </c>
      <c r="V174" s="89"/>
      <c r="W174" s="117" t="s">
        <v>544</v>
      </c>
      <c r="X174" s="81"/>
      <c r="Y174" s="81"/>
      <c r="Z174" s="81"/>
      <c r="AA174" s="81"/>
      <c r="AB174" s="81"/>
      <c r="AC174" s="81"/>
      <c r="AD174" s="81"/>
      <c r="AE174" s="81"/>
    </row>
    <row r="175" spans="1:31" s="1" customFormat="1" ht="27">
      <c r="A175" s="96">
        <v>174</v>
      </c>
      <c r="B175" s="97">
        <v>106</v>
      </c>
      <c r="C175" s="98" t="s">
        <v>178</v>
      </c>
      <c r="D175" s="98" t="s">
        <v>147</v>
      </c>
      <c r="E175" s="109" t="s">
        <v>546</v>
      </c>
      <c r="F175" s="109"/>
      <c r="G175" s="109"/>
      <c r="H175" s="101">
        <v>560</v>
      </c>
      <c r="I175" s="98" t="s">
        <v>42</v>
      </c>
      <c r="J175" s="102">
        <v>4</v>
      </c>
      <c r="K175" s="98">
        <v>3</v>
      </c>
      <c r="L175" s="98">
        <v>1</v>
      </c>
      <c r="M175" s="98">
        <v>0</v>
      </c>
      <c r="N175" s="98">
        <v>4</v>
      </c>
      <c r="O175" s="103">
        <v>8960000</v>
      </c>
      <c r="P175" s="115">
        <v>119318000</v>
      </c>
      <c r="Q175" s="115">
        <v>5820000</v>
      </c>
      <c r="R175" s="114">
        <f t="shared" si="1"/>
        <v>134098000</v>
      </c>
      <c r="S175" s="105" t="s">
        <v>320</v>
      </c>
      <c r="T175" s="110" t="s">
        <v>547</v>
      </c>
      <c r="U175" s="111"/>
      <c r="V175" s="89"/>
      <c r="W175" s="117" t="s">
        <v>548</v>
      </c>
      <c r="X175" s="81"/>
      <c r="Y175" s="81"/>
      <c r="Z175" s="81"/>
      <c r="AA175" s="81"/>
      <c r="AB175" s="81"/>
      <c r="AC175" s="81"/>
      <c r="AD175" s="81"/>
      <c r="AE175" s="81"/>
    </row>
    <row r="176" spans="1:31" s="1" customFormat="1" ht="15.75">
      <c r="A176" s="96">
        <v>175</v>
      </c>
      <c r="B176" s="97">
        <v>107</v>
      </c>
      <c r="C176" s="98" t="s">
        <v>178</v>
      </c>
      <c r="D176" s="98" t="s">
        <v>147</v>
      </c>
      <c r="E176" s="109" t="s">
        <v>549</v>
      </c>
      <c r="F176" s="109"/>
      <c r="G176" s="109"/>
      <c r="H176" s="101">
        <v>1450</v>
      </c>
      <c r="I176" s="98">
        <v>8</v>
      </c>
      <c r="J176" s="102">
        <v>25</v>
      </c>
      <c r="K176" s="98">
        <v>7</v>
      </c>
      <c r="L176" s="98">
        <v>76</v>
      </c>
      <c r="M176" s="98">
        <v>0</v>
      </c>
      <c r="N176" s="98">
        <v>0</v>
      </c>
      <c r="O176" s="103">
        <v>290000000</v>
      </c>
      <c r="P176" s="115">
        <v>655566750</v>
      </c>
      <c r="Q176" s="115">
        <v>0</v>
      </c>
      <c r="R176" s="114">
        <f t="shared" si="1"/>
        <v>945566750</v>
      </c>
      <c r="S176" s="105"/>
      <c r="T176" s="110" t="s">
        <v>550</v>
      </c>
      <c r="U176" s="111"/>
      <c r="V176" s="89"/>
      <c r="W176" s="117" t="s">
        <v>550</v>
      </c>
      <c r="X176" s="81"/>
      <c r="Y176" s="81"/>
      <c r="Z176" s="81"/>
      <c r="AA176" s="81"/>
      <c r="AB176" s="81"/>
      <c r="AC176" s="81"/>
      <c r="AD176" s="81"/>
      <c r="AE176" s="81"/>
    </row>
    <row r="177" spans="1:31" s="1" customFormat="1" ht="15.75">
      <c r="A177" s="96">
        <v>176</v>
      </c>
      <c r="B177" s="97">
        <v>107</v>
      </c>
      <c r="C177" s="98" t="s">
        <v>178</v>
      </c>
      <c r="D177" s="98" t="s">
        <v>147</v>
      </c>
      <c r="E177" s="109" t="s">
        <v>551</v>
      </c>
      <c r="F177" s="109"/>
      <c r="G177" s="109"/>
      <c r="H177" s="101">
        <v>175</v>
      </c>
      <c r="I177" s="98" t="s">
        <v>42</v>
      </c>
      <c r="J177" s="102">
        <v>8</v>
      </c>
      <c r="K177" s="98">
        <v>5</v>
      </c>
      <c r="L177" s="98">
        <v>5</v>
      </c>
      <c r="M177" s="98">
        <v>0</v>
      </c>
      <c r="N177" s="98">
        <v>0</v>
      </c>
      <c r="O177" s="103">
        <v>11200000</v>
      </c>
      <c r="P177" s="115">
        <v>153481100</v>
      </c>
      <c r="Q177" s="115">
        <v>0</v>
      </c>
      <c r="R177" s="114">
        <f t="shared" si="1"/>
        <v>164681100</v>
      </c>
      <c r="S177" s="105"/>
      <c r="T177" s="110" t="s">
        <v>550</v>
      </c>
      <c r="U177" s="111"/>
      <c r="V177" s="89"/>
      <c r="W177" s="117" t="s">
        <v>550</v>
      </c>
      <c r="X177" s="81"/>
      <c r="Y177" s="81"/>
      <c r="Z177" s="81"/>
      <c r="AA177" s="81"/>
      <c r="AB177" s="81"/>
      <c r="AC177" s="81"/>
      <c r="AD177" s="81"/>
      <c r="AE177" s="81"/>
    </row>
    <row r="178" spans="1:31" s="1" customFormat="1" ht="15.75">
      <c r="A178" s="96">
        <v>177</v>
      </c>
      <c r="B178" s="97">
        <v>107</v>
      </c>
      <c r="C178" s="98" t="s">
        <v>178</v>
      </c>
      <c r="D178" s="98" t="s">
        <v>160</v>
      </c>
      <c r="E178" s="109" t="s">
        <v>552</v>
      </c>
      <c r="F178" s="109"/>
      <c r="G178" s="109"/>
      <c r="H178" s="101">
        <v>1200</v>
      </c>
      <c r="I178" s="98" t="s">
        <v>42</v>
      </c>
      <c r="J178" s="102">
        <v>3</v>
      </c>
      <c r="K178" s="98">
        <v>50</v>
      </c>
      <c r="L178" s="98">
        <v>0</v>
      </c>
      <c r="M178" s="98">
        <v>0</v>
      </c>
      <c r="N178" s="98">
        <v>0</v>
      </c>
      <c r="O178" s="103">
        <v>27000000</v>
      </c>
      <c r="P178" s="115">
        <v>0</v>
      </c>
      <c r="Q178" s="115">
        <v>1500000</v>
      </c>
      <c r="R178" s="114">
        <f t="shared" si="1"/>
        <v>28500000</v>
      </c>
      <c r="S178" s="105"/>
      <c r="T178" s="110" t="s">
        <v>553</v>
      </c>
      <c r="U178" s="111"/>
      <c r="V178" s="89"/>
      <c r="W178" s="117" t="s">
        <v>553</v>
      </c>
      <c r="X178" s="81"/>
      <c r="Y178" s="81"/>
      <c r="Z178" s="81"/>
      <c r="AA178" s="81"/>
      <c r="AB178" s="81"/>
      <c r="AC178" s="81"/>
      <c r="AD178" s="81"/>
      <c r="AE178" s="81"/>
    </row>
    <row r="179" spans="1:31" s="1" customFormat="1" ht="15.75">
      <c r="A179" s="96">
        <v>178</v>
      </c>
      <c r="B179" s="97">
        <v>107</v>
      </c>
      <c r="C179" s="98" t="s">
        <v>178</v>
      </c>
      <c r="D179" s="98" t="s">
        <v>160</v>
      </c>
      <c r="E179" s="109" t="s">
        <v>554</v>
      </c>
      <c r="F179" s="109"/>
      <c r="G179" s="109"/>
      <c r="H179" s="101">
        <v>4000</v>
      </c>
      <c r="I179" s="98" t="s">
        <v>555</v>
      </c>
      <c r="J179" s="102">
        <v>25</v>
      </c>
      <c r="K179" s="98">
        <v>340</v>
      </c>
      <c r="L179" s="98">
        <v>212</v>
      </c>
      <c r="M179" s="98">
        <v>13</v>
      </c>
      <c r="N179" s="98">
        <v>0</v>
      </c>
      <c r="O179" s="103">
        <v>400000000</v>
      </c>
      <c r="P179" s="115">
        <v>640000000</v>
      </c>
      <c r="Q179" s="115">
        <v>60000000</v>
      </c>
      <c r="R179" s="114">
        <f t="shared" si="1"/>
        <v>1100000000</v>
      </c>
      <c r="S179" s="105"/>
      <c r="T179" s="110" t="s">
        <v>553</v>
      </c>
      <c r="U179" s="111"/>
      <c r="V179" s="89"/>
      <c r="W179" s="117" t="s">
        <v>553</v>
      </c>
      <c r="X179" s="81"/>
      <c r="Y179" s="81"/>
      <c r="Z179" s="81"/>
      <c r="AA179" s="81"/>
      <c r="AB179" s="81"/>
      <c r="AC179" s="81"/>
      <c r="AD179" s="81"/>
      <c r="AE179" s="81"/>
    </row>
    <row r="180" spans="1:31" s="1" customFormat="1" ht="81">
      <c r="A180" s="96">
        <v>179</v>
      </c>
      <c r="B180" s="97">
        <v>107</v>
      </c>
      <c r="C180" s="98" t="s">
        <v>178</v>
      </c>
      <c r="D180" s="98" t="s">
        <v>451</v>
      </c>
      <c r="E180" s="109" t="s">
        <v>556</v>
      </c>
      <c r="F180" s="109" t="s">
        <v>557</v>
      </c>
      <c r="G180" s="109" t="s">
        <v>558</v>
      </c>
      <c r="H180" s="101"/>
      <c r="I180" s="98"/>
      <c r="J180" s="102"/>
      <c r="K180" s="98"/>
      <c r="L180" s="98"/>
      <c r="M180" s="98"/>
      <c r="N180" s="98"/>
      <c r="O180" s="103"/>
      <c r="P180" s="115"/>
      <c r="Q180" s="115"/>
      <c r="R180" s="114"/>
      <c r="S180" s="105" t="s">
        <v>559</v>
      </c>
      <c r="T180" s="110" t="s">
        <v>560</v>
      </c>
      <c r="U180" s="111"/>
      <c r="V180" s="89"/>
      <c r="W180" s="90"/>
      <c r="X180" s="81"/>
      <c r="Y180" s="81"/>
      <c r="Z180" s="81"/>
      <c r="AA180" s="81"/>
      <c r="AB180" s="81"/>
      <c r="AC180" s="81"/>
      <c r="AD180" s="81"/>
      <c r="AE180" s="81"/>
    </row>
    <row r="181" spans="1:31" s="1" customFormat="1" ht="67.5">
      <c r="A181" s="96">
        <v>180</v>
      </c>
      <c r="B181" s="97">
        <v>107</v>
      </c>
      <c r="C181" s="98" t="s">
        <v>178</v>
      </c>
      <c r="D181" s="98" t="s">
        <v>451</v>
      </c>
      <c r="E181" s="109" t="s">
        <v>561</v>
      </c>
      <c r="F181" s="109" t="s">
        <v>562</v>
      </c>
      <c r="G181" s="109" t="s">
        <v>563</v>
      </c>
      <c r="H181" s="101"/>
      <c r="I181" s="98"/>
      <c r="J181" s="102"/>
      <c r="K181" s="98"/>
      <c r="L181" s="98"/>
      <c r="M181" s="98"/>
      <c r="N181" s="98"/>
      <c r="O181" s="103"/>
      <c r="P181" s="115"/>
      <c r="Q181" s="115"/>
      <c r="R181" s="114"/>
      <c r="S181" s="105" t="s">
        <v>564</v>
      </c>
      <c r="T181" s="110" t="s">
        <v>565</v>
      </c>
      <c r="U181" s="111" t="s">
        <v>566</v>
      </c>
      <c r="V181" s="89"/>
      <c r="W181" s="90"/>
      <c r="X181" s="81"/>
      <c r="Y181" s="81"/>
      <c r="Z181" s="81"/>
      <c r="AA181" s="81"/>
      <c r="AB181" s="81"/>
      <c r="AC181" s="81"/>
      <c r="AD181" s="81"/>
      <c r="AE181" s="81"/>
    </row>
    <row r="182" spans="1:31" s="1" customFormat="1" ht="27">
      <c r="A182" s="96">
        <v>181</v>
      </c>
      <c r="B182" s="97">
        <v>107</v>
      </c>
      <c r="C182" s="98" t="s">
        <v>178</v>
      </c>
      <c r="D182" s="98" t="s">
        <v>451</v>
      </c>
      <c r="E182" s="109" t="s">
        <v>567</v>
      </c>
      <c r="F182" s="109" t="s">
        <v>452</v>
      </c>
      <c r="G182" s="109" t="s">
        <v>568</v>
      </c>
      <c r="H182" s="101"/>
      <c r="I182" s="98"/>
      <c r="J182" s="102"/>
      <c r="K182" s="98"/>
      <c r="L182" s="98"/>
      <c r="M182" s="98"/>
      <c r="N182" s="98"/>
      <c r="O182" s="103"/>
      <c r="P182" s="115"/>
      <c r="Q182" s="115"/>
      <c r="R182" s="114"/>
      <c r="S182" s="105" t="s">
        <v>564</v>
      </c>
      <c r="T182" s="110" t="s">
        <v>569</v>
      </c>
      <c r="U182" s="111" t="s">
        <v>570</v>
      </c>
      <c r="V182" s="89"/>
      <c r="W182" s="90"/>
      <c r="X182" s="81"/>
      <c r="Y182" s="81"/>
      <c r="Z182" s="81"/>
      <c r="AA182" s="81"/>
      <c r="AB182" s="81"/>
      <c r="AC182" s="81"/>
      <c r="AD182" s="81"/>
      <c r="AE182" s="81"/>
    </row>
    <row r="183" spans="1:31" s="1" customFormat="1" ht="67.5">
      <c r="A183" s="96">
        <v>182</v>
      </c>
      <c r="B183" s="97">
        <v>107</v>
      </c>
      <c r="C183" s="98" t="s">
        <v>178</v>
      </c>
      <c r="D183" s="98" t="s">
        <v>463</v>
      </c>
      <c r="E183" s="109" t="s">
        <v>571</v>
      </c>
      <c r="F183" s="109" t="s">
        <v>216</v>
      </c>
      <c r="G183" s="109" t="s">
        <v>572</v>
      </c>
      <c r="H183" s="101"/>
      <c r="I183" s="98"/>
      <c r="J183" s="102"/>
      <c r="K183" s="98"/>
      <c r="L183" s="98"/>
      <c r="M183" s="98"/>
      <c r="N183" s="98"/>
      <c r="O183" s="103"/>
      <c r="P183" s="115"/>
      <c r="Q183" s="115"/>
      <c r="R183" s="114"/>
      <c r="S183" s="105" t="s">
        <v>564</v>
      </c>
      <c r="T183" s="110" t="s">
        <v>573</v>
      </c>
      <c r="U183" s="111"/>
      <c r="V183" s="89"/>
      <c r="W183" s="90"/>
      <c r="X183" s="81"/>
      <c r="Y183" s="81"/>
      <c r="Z183" s="81"/>
      <c r="AA183" s="81"/>
      <c r="AB183" s="81"/>
      <c r="AC183" s="81"/>
      <c r="AD183" s="81"/>
      <c r="AE183" s="81"/>
    </row>
    <row r="184" spans="1:31" s="1" customFormat="1" ht="40.5">
      <c r="A184" s="96">
        <v>183</v>
      </c>
      <c r="B184" s="97">
        <v>107</v>
      </c>
      <c r="C184" s="98" t="s">
        <v>178</v>
      </c>
      <c r="D184" s="98" t="s">
        <v>463</v>
      </c>
      <c r="E184" s="109" t="s">
        <v>574</v>
      </c>
      <c r="F184" s="109" t="s">
        <v>575</v>
      </c>
      <c r="G184" s="109" t="s">
        <v>576</v>
      </c>
      <c r="H184" s="101"/>
      <c r="I184" s="98"/>
      <c r="J184" s="102"/>
      <c r="K184" s="98"/>
      <c r="L184" s="98"/>
      <c r="M184" s="98"/>
      <c r="N184" s="98"/>
      <c r="O184" s="103"/>
      <c r="P184" s="115"/>
      <c r="Q184" s="115"/>
      <c r="R184" s="114"/>
      <c r="S184" s="105" t="s">
        <v>559</v>
      </c>
      <c r="T184" s="110" t="s">
        <v>577</v>
      </c>
      <c r="U184" s="111"/>
      <c r="V184" s="89"/>
      <c r="W184" s="90"/>
      <c r="X184" s="81"/>
      <c r="Y184" s="81"/>
      <c r="Z184" s="81"/>
      <c r="AA184" s="81"/>
      <c r="AB184" s="81"/>
      <c r="AC184" s="81"/>
      <c r="AD184" s="81"/>
      <c r="AE184" s="81"/>
    </row>
    <row r="185" spans="1:31" s="1" customFormat="1" ht="40.5">
      <c r="A185" s="96">
        <v>184</v>
      </c>
      <c r="B185" s="97">
        <v>107</v>
      </c>
      <c r="C185" s="98" t="s">
        <v>178</v>
      </c>
      <c r="D185" s="98" t="s">
        <v>463</v>
      </c>
      <c r="E185" s="109" t="s">
        <v>578</v>
      </c>
      <c r="F185" s="109" t="s">
        <v>579</v>
      </c>
      <c r="G185" s="109" t="s">
        <v>580</v>
      </c>
      <c r="H185" s="101"/>
      <c r="I185" s="98"/>
      <c r="J185" s="102"/>
      <c r="K185" s="98"/>
      <c r="L185" s="98"/>
      <c r="M185" s="98"/>
      <c r="N185" s="98"/>
      <c r="O185" s="103"/>
      <c r="P185" s="115"/>
      <c r="Q185" s="115"/>
      <c r="R185" s="114"/>
      <c r="S185" s="105" t="s">
        <v>581</v>
      </c>
      <c r="T185" s="110" t="s">
        <v>582</v>
      </c>
      <c r="U185" s="111"/>
      <c r="V185" s="89"/>
      <c r="W185" s="90"/>
      <c r="X185" s="81"/>
      <c r="Y185" s="81"/>
      <c r="Z185" s="81"/>
      <c r="AA185" s="81"/>
      <c r="AB185" s="81"/>
      <c r="AC185" s="81"/>
      <c r="AD185" s="81"/>
      <c r="AE185" s="81"/>
    </row>
    <row r="186" spans="1:31" s="1" customFormat="1" ht="27">
      <c r="A186" s="96">
        <v>185</v>
      </c>
      <c r="B186" s="97">
        <v>107</v>
      </c>
      <c r="C186" s="98" t="s">
        <v>178</v>
      </c>
      <c r="D186" s="98" t="s">
        <v>500</v>
      </c>
      <c r="E186" s="109" t="s">
        <v>583</v>
      </c>
      <c r="F186" s="109" t="s">
        <v>584</v>
      </c>
      <c r="G186" s="109" t="s">
        <v>585</v>
      </c>
      <c r="H186" s="101"/>
      <c r="I186" s="98"/>
      <c r="J186" s="102"/>
      <c r="K186" s="98"/>
      <c r="L186" s="98"/>
      <c r="M186" s="98"/>
      <c r="N186" s="98"/>
      <c r="O186" s="103"/>
      <c r="P186" s="115"/>
      <c r="Q186" s="115"/>
      <c r="R186" s="114"/>
      <c r="S186" s="105" t="s">
        <v>586</v>
      </c>
      <c r="T186" s="110" t="s">
        <v>587</v>
      </c>
      <c r="U186" s="111" t="s">
        <v>588</v>
      </c>
      <c r="V186" s="89"/>
      <c r="W186" s="90"/>
      <c r="X186" s="81"/>
      <c r="Y186" s="81"/>
      <c r="Z186" s="81"/>
      <c r="AA186" s="81"/>
      <c r="AB186" s="81"/>
      <c r="AC186" s="81"/>
      <c r="AD186" s="81"/>
      <c r="AE186" s="81"/>
    </row>
    <row r="187" spans="1:31" s="1" customFormat="1" ht="40.5">
      <c r="A187" s="96">
        <v>186</v>
      </c>
      <c r="B187" s="97">
        <v>107</v>
      </c>
      <c r="C187" s="98" t="s">
        <v>178</v>
      </c>
      <c r="D187" s="98" t="s">
        <v>83</v>
      </c>
      <c r="E187" s="109" t="s">
        <v>589</v>
      </c>
      <c r="F187" s="109" t="s">
        <v>590</v>
      </c>
      <c r="G187" s="109"/>
      <c r="H187" s="101">
        <v>132</v>
      </c>
      <c r="I187" s="98">
        <v>5</v>
      </c>
      <c r="J187" s="102">
        <v>6</v>
      </c>
      <c r="K187" s="98">
        <v>0</v>
      </c>
      <c r="L187" s="98">
        <v>1</v>
      </c>
      <c r="M187" s="98">
        <v>0</v>
      </c>
      <c r="N187" s="98">
        <v>1</v>
      </c>
      <c r="O187" s="103">
        <v>13000000</v>
      </c>
      <c r="P187" s="115">
        <v>0</v>
      </c>
      <c r="Q187" s="115">
        <v>0</v>
      </c>
      <c r="R187" s="114">
        <f t="shared" ref="R187:R202" si="2">SUM(O187:Q187)</f>
        <v>13000000</v>
      </c>
      <c r="S187" s="105" t="s">
        <v>564</v>
      </c>
      <c r="T187" s="110" t="s">
        <v>591</v>
      </c>
      <c r="U187" s="111" t="s">
        <v>592</v>
      </c>
      <c r="V187" s="89"/>
      <c r="W187" s="90"/>
      <c r="X187" s="81"/>
      <c r="Y187" s="81"/>
      <c r="Z187" s="81"/>
      <c r="AA187" s="81"/>
      <c r="AB187" s="81"/>
      <c r="AC187" s="81"/>
      <c r="AD187" s="81"/>
      <c r="AE187" s="81"/>
    </row>
    <row r="188" spans="1:31" s="1" customFormat="1" ht="27">
      <c r="A188" s="96">
        <v>187</v>
      </c>
      <c r="B188" s="97">
        <v>107</v>
      </c>
      <c r="C188" s="98" t="s">
        <v>178</v>
      </c>
      <c r="D188" s="98" t="s">
        <v>108</v>
      </c>
      <c r="E188" s="109" t="s">
        <v>593</v>
      </c>
      <c r="F188" s="109" t="s">
        <v>594</v>
      </c>
      <c r="G188" s="109" t="s">
        <v>580</v>
      </c>
      <c r="H188" s="101">
        <v>115</v>
      </c>
      <c r="I188" s="98" t="s">
        <v>42</v>
      </c>
      <c r="J188" s="102">
        <v>8</v>
      </c>
      <c r="K188" s="98">
        <v>2</v>
      </c>
      <c r="L188" s="98">
        <v>4</v>
      </c>
      <c r="M188" s="98">
        <v>0</v>
      </c>
      <c r="N188" s="98">
        <v>2</v>
      </c>
      <c r="O188" s="103">
        <v>7360000</v>
      </c>
      <c r="P188" s="115">
        <v>13924430</v>
      </c>
      <c r="Q188" s="115">
        <v>2787600</v>
      </c>
      <c r="R188" s="114">
        <f t="shared" si="2"/>
        <v>24072030</v>
      </c>
      <c r="S188" s="105" t="s">
        <v>581</v>
      </c>
      <c r="T188" s="110" t="s">
        <v>595</v>
      </c>
      <c r="U188" s="111" t="s">
        <v>596</v>
      </c>
      <c r="V188" s="89"/>
      <c r="W188" s="90"/>
      <c r="X188" s="81"/>
      <c r="Y188" s="81"/>
      <c r="Z188" s="81"/>
      <c r="AA188" s="81"/>
      <c r="AB188" s="81"/>
      <c r="AC188" s="81"/>
      <c r="AD188" s="81"/>
      <c r="AE188" s="81"/>
    </row>
    <row r="189" spans="1:31" s="1" customFormat="1" ht="67.5">
      <c r="A189" s="96">
        <v>188</v>
      </c>
      <c r="B189" s="97">
        <v>107</v>
      </c>
      <c r="C189" s="98" t="s">
        <v>178</v>
      </c>
      <c r="D189" s="98" t="s">
        <v>117</v>
      </c>
      <c r="E189" s="109" t="s">
        <v>597</v>
      </c>
      <c r="F189" s="109" t="s">
        <v>598</v>
      </c>
      <c r="G189" s="109" t="s">
        <v>599</v>
      </c>
      <c r="H189" s="101">
        <v>326</v>
      </c>
      <c r="I189" s="98" t="s">
        <v>42</v>
      </c>
      <c r="J189" s="102">
        <v>8</v>
      </c>
      <c r="K189" s="98">
        <v>4</v>
      </c>
      <c r="L189" s="98">
        <v>6</v>
      </c>
      <c r="M189" s="98">
        <v>0</v>
      </c>
      <c r="N189" s="98">
        <v>0</v>
      </c>
      <c r="O189" s="103">
        <v>15000000</v>
      </c>
      <c r="P189" s="115">
        <v>400000</v>
      </c>
      <c r="Q189" s="115">
        <v>0</v>
      </c>
      <c r="R189" s="114">
        <f t="shared" si="2"/>
        <v>15400000</v>
      </c>
      <c r="S189" s="105" t="s">
        <v>564</v>
      </c>
      <c r="T189" s="110" t="s">
        <v>600</v>
      </c>
      <c r="U189" s="111" t="s">
        <v>601</v>
      </c>
      <c r="V189" s="89"/>
      <c r="W189" s="90"/>
      <c r="X189" s="81"/>
      <c r="Y189" s="81"/>
      <c r="Z189" s="81"/>
      <c r="AA189" s="81"/>
      <c r="AB189" s="81"/>
      <c r="AC189" s="81"/>
      <c r="AD189" s="81"/>
      <c r="AE189" s="81"/>
    </row>
    <row r="190" spans="1:31" s="1" customFormat="1" ht="94.5">
      <c r="A190" s="96">
        <v>189</v>
      </c>
      <c r="B190" s="97" t="s">
        <v>38</v>
      </c>
      <c r="C190" s="98" t="s">
        <v>178</v>
      </c>
      <c r="D190" s="98" t="s">
        <v>117</v>
      </c>
      <c r="E190" s="109" t="s">
        <v>602</v>
      </c>
      <c r="F190" s="109" t="s">
        <v>602</v>
      </c>
      <c r="G190" s="109"/>
      <c r="H190" s="101">
        <v>1000</v>
      </c>
      <c r="I190" s="98">
        <v>5</v>
      </c>
      <c r="J190" s="102">
        <v>12</v>
      </c>
      <c r="K190" s="98">
        <v>16</v>
      </c>
      <c r="L190" s="98">
        <v>87</v>
      </c>
      <c r="M190" s="98">
        <v>0</v>
      </c>
      <c r="N190" s="98">
        <v>0</v>
      </c>
      <c r="O190" s="103">
        <v>96000000</v>
      </c>
      <c r="P190" s="115">
        <v>237580000</v>
      </c>
      <c r="Q190" s="115">
        <v>0</v>
      </c>
      <c r="R190" s="114">
        <f t="shared" si="2"/>
        <v>333580000</v>
      </c>
      <c r="S190" s="105" t="s">
        <v>564</v>
      </c>
      <c r="T190" s="110" t="s">
        <v>603</v>
      </c>
      <c r="U190" s="111"/>
      <c r="V190" s="89"/>
      <c r="W190" s="90"/>
      <c r="X190" s="81"/>
      <c r="Y190" s="81"/>
      <c r="Z190" s="81"/>
      <c r="AA190" s="81"/>
      <c r="AB190" s="81"/>
      <c r="AC190" s="81"/>
      <c r="AD190" s="81"/>
      <c r="AE190" s="81"/>
    </row>
    <row r="191" spans="1:31" s="1" customFormat="1" ht="54">
      <c r="A191" s="96">
        <v>190</v>
      </c>
      <c r="B191" s="97">
        <v>107</v>
      </c>
      <c r="C191" s="98" t="s">
        <v>178</v>
      </c>
      <c r="D191" s="98" t="s">
        <v>117</v>
      </c>
      <c r="E191" s="109" t="s">
        <v>604</v>
      </c>
      <c r="F191" s="109" t="s">
        <v>605</v>
      </c>
      <c r="G191" s="109"/>
      <c r="H191" s="101">
        <v>150</v>
      </c>
      <c r="I191" s="98">
        <v>10</v>
      </c>
      <c r="J191" s="102">
        <v>10</v>
      </c>
      <c r="K191" s="98">
        <v>2</v>
      </c>
      <c r="L191" s="98">
        <v>5</v>
      </c>
      <c r="M191" s="98" t="s">
        <v>606</v>
      </c>
      <c r="N191" s="98" t="s">
        <v>607</v>
      </c>
      <c r="O191" s="103">
        <v>9000000</v>
      </c>
      <c r="P191" s="115">
        <v>10000000</v>
      </c>
      <c r="Q191" s="115">
        <v>1000000</v>
      </c>
      <c r="R191" s="114">
        <f t="shared" si="2"/>
        <v>20000000</v>
      </c>
      <c r="S191" s="105" t="s">
        <v>564</v>
      </c>
      <c r="T191" s="110" t="s">
        <v>608</v>
      </c>
      <c r="U191" s="111" t="s">
        <v>609</v>
      </c>
      <c r="V191" s="89"/>
      <c r="W191" s="90"/>
      <c r="X191" s="81"/>
      <c r="Y191" s="81"/>
      <c r="Z191" s="81"/>
      <c r="AA191" s="81"/>
      <c r="AB191" s="81"/>
      <c r="AC191" s="81"/>
      <c r="AD191" s="81"/>
      <c r="AE191" s="81"/>
    </row>
    <row r="192" spans="1:31" s="1" customFormat="1" ht="40.5">
      <c r="A192" s="96">
        <v>191</v>
      </c>
      <c r="B192" s="97">
        <v>107</v>
      </c>
      <c r="C192" s="98" t="s">
        <v>178</v>
      </c>
      <c r="D192" s="98" t="s">
        <v>117</v>
      </c>
      <c r="E192" s="109" t="s">
        <v>610</v>
      </c>
      <c r="F192" s="109" t="s">
        <v>611</v>
      </c>
      <c r="G192" s="109" t="s">
        <v>517</v>
      </c>
      <c r="H192" s="101">
        <v>90</v>
      </c>
      <c r="I192" s="98" t="s">
        <v>42</v>
      </c>
      <c r="J192" s="102" t="s">
        <v>612</v>
      </c>
      <c r="K192" s="98">
        <v>5</v>
      </c>
      <c r="L192" s="98">
        <v>5</v>
      </c>
      <c r="M192" s="98">
        <v>0</v>
      </c>
      <c r="N192" s="98">
        <v>0</v>
      </c>
      <c r="O192" s="103">
        <v>2110920</v>
      </c>
      <c r="P192" s="115">
        <v>1367791</v>
      </c>
      <c r="Q192" s="115">
        <v>0</v>
      </c>
      <c r="R192" s="114">
        <f t="shared" si="2"/>
        <v>3478711</v>
      </c>
      <c r="S192" s="105" t="s">
        <v>564</v>
      </c>
      <c r="T192" s="110" t="s">
        <v>613</v>
      </c>
      <c r="U192" s="111" t="s">
        <v>614</v>
      </c>
      <c r="V192" s="89"/>
      <c r="W192" s="90"/>
      <c r="X192" s="81"/>
      <c r="Y192" s="81"/>
      <c r="Z192" s="81"/>
      <c r="AA192" s="81"/>
      <c r="AB192" s="81"/>
      <c r="AC192" s="81"/>
      <c r="AD192" s="81"/>
      <c r="AE192" s="81"/>
    </row>
    <row r="193" spans="1:31" s="1" customFormat="1" ht="27">
      <c r="A193" s="96">
        <v>192</v>
      </c>
      <c r="B193" s="97" t="s">
        <v>38</v>
      </c>
      <c r="C193" s="98" t="s">
        <v>178</v>
      </c>
      <c r="D193" s="98" t="s">
        <v>121</v>
      </c>
      <c r="E193" s="109" t="s">
        <v>615</v>
      </c>
      <c r="F193" s="109" t="s">
        <v>616</v>
      </c>
      <c r="G193" s="109" t="s">
        <v>617</v>
      </c>
      <c r="H193" s="101">
        <v>320</v>
      </c>
      <c r="I193" s="98" t="s">
        <v>42</v>
      </c>
      <c r="J193" s="102">
        <v>10</v>
      </c>
      <c r="K193" s="98">
        <v>8</v>
      </c>
      <c r="L193" s="98">
        <v>15</v>
      </c>
      <c r="M193" s="98">
        <v>0</v>
      </c>
      <c r="N193" s="98">
        <v>1</v>
      </c>
      <c r="O193" s="103">
        <v>25600000</v>
      </c>
      <c r="P193" s="115">
        <v>144080511</v>
      </c>
      <c r="Q193" s="115">
        <v>1105950</v>
      </c>
      <c r="R193" s="114">
        <f t="shared" si="2"/>
        <v>170786461</v>
      </c>
      <c r="S193" s="105" t="s">
        <v>586</v>
      </c>
      <c r="T193" s="110" t="s">
        <v>618</v>
      </c>
      <c r="U193" s="111" t="s">
        <v>619</v>
      </c>
      <c r="V193" s="89"/>
      <c r="W193" s="90"/>
      <c r="X193" s="81"/>
      <c r="Y193" s="81"/>
      <c r="Z193" s="81"/>
      <c r="AA193" s="81"/>
      <c r="AB193" s="81"/>
      <c r="AC193" s="81"/>
      <c r="AD193" s="81"/>
      <c r="AE193" s="81"/>
    </row>
    <row r="194" spans="1:31" s="1" customFormat="1" ht="27">
      <c r="A194" s="96">
        <v>193</v>
      </c>
      <c r="B194" s="97">
        <v>107</v>
      </c>
      <c r="C194" s="98" t="s">
        <v>178</v>
      </c>
      <c r="D194" s="98" t="s">
        <v>121</v>
      </c>
      <c r="E194" s="109" t="s">
        <v>620</v>
      </c>
      <c r="F194" s="109" t="s">
        <v>621</v>
      </c>
      <c r="G194" s="109" t="s">
        <v>622</v>
      </c>
      <c r="H194" s="101">
        <v>77</v>
      </c>
      <c r="I194" s="98">
        <v>3</v>
      </c>
      <c r="J194" s="102">
        <v>6</v>
      </c>
      <c r="K194" s="98">
        <v>3</v>
      </c>
      <c r="L194" s="98">
        <v>7</v>
      </c>
      <c r="M194" s="98">
        <v>0</v>
      </c>
      <c r="N194" s="98">
        <v>0</v>
      </c>
      <c r="O194" s="103">
        <v>31752000</v>
      </c>
      <c r="P194" s="115">
        <v>5806090</v>
      </c>
      <c r="Q194" s="115">
        <v>0</v>
      </c>
      <c r="R194" s="114">
        <f t="shared" si="2"/>
        <v>37558090</v>
      </c>
      <c r="S194" s="105" t="s">
        <v>586</v>
      </c>
      <c r="T194" s="110" t="s">
        <v>618</v>
      </c>
      <c r="U194" s="111"/>
      <c r="V194" s="89"/>
      <c r="W194" s="90"/>
      <c r="X194" s="81"/>
      <c r="Y194" s="81"/>
      <c r="Z194" s="81"/>
      <c r="AA194" s="81"/>
      <c r="AB194" s="81"/>
      <c r="AC194" s="81"/>
      <c r="AD194" s="81"/>
      <c r="AE194" s="81"/>
    </row>
    <row r="195" spans="1:31" s="1" customFormat="1" ht="15.75">
      <c r="A195" s="96">
        <v>194</v>
      </c>
      <c r="B195" s="97">
        <v>107</v>
      </c>
      <c r="C195" s="98" t="s">
        <v>178</v>
      </c>
      <c r="D195" s="98" t="s">
        <v>133</v>
      </c>
      <c r="E195" s="109" t="s">
        <v>623</v>
      </c>
      <c r="F195" s="109" t="s">
        <v>624</v>
      </c>
      <c r="G195" s="109"/>
      <c r="H195" s="101">
        <v>170</v>
      </c>
      <c r="I195" s="98" t="s">
        <v>625</v>
      </c>
      <c r="J195" s="102">
        <v>8</v>
      </c>
      <c r="K195" s="98">
        <v>1</v>
      </c>
      <c r="L195" s="98">
        <v>3</v>
      </c>
      <c r="M195" s="98">
        <v>0</v>
      </c>
      <c r="N195" s="98">
        <v>0</v>
      </c>
      <c r="O195" s="103">
        <v>70000000</v>
      </c>
      <c r="P195" s="115">
        <v>8080000</v>
      </c>
      <c r="Q195" s="115">
        <v>0</v>
      </c>
      <c r="R195" s="114">
        <f t="shared" si="2"/>
        <v>78080000</v>
      </c>
      <c r="S195" s="105"/>
      <c r="T195" s="110"/>
      <c r="U195" s="111"/>
      <c r="V195" s="89"/>
      <c r="W195" s="90"/>
      <c r="X195" s="81"/>
      <c r="Y195" s="81"/>
      <c r="Z195" s="81"/>
      <c r="AA195" s="81"/>
      <c r="AB195" s="81"/>
      <c r="AC195" s="81"/>
      <c r="AD195" s="81"/>
      <c r="AE195" s="81"/>
    </row>
    <row r="196" spans="1:31" s="1" customFormat="1" ht="54">
      <c r="A196" s="96">
        <v>195</v>
      </c>
      <c r="B196" s="97">
        <v>107</v>
      </c>
      <c r="C196" s="98" t="s">
        <v>178</v>
      </c>
      <c r="D196" s="98" t="s">
        <v>133</v>
      </c>
      <c r="E196" s="109" t="s">
        <v>626</v>
      </c>
      <c r="F196" s="109" t="s">
        <v>624</v>
      </c>
      <c r="G196" s="109"/>
      <c r="H196" s="101">
        <v>120</v>
      </c>
      <c r="I196" s="98" t="s">
        <v>625</v>
      </c>
      <c r="J196" s="102">
        <v>8</v>
      </c>
      <c r="K196" s="98">
        <v>1</v>
      </c>
      <c r="L196" s="98">
        <v>2</v>
      </c>
      <c r="M196" s="98">
        <v>0</v>
      </c>
      <c r="N196" s="98">
        <v>0</v>
      </c>
      <c r="O196" s="103">
        <v>82000000</v>
      </c>
      <c r="P196" s="115">
        <v>2190000</v>
      </c>
      <c r="Q196" s="115">
        <v>0</v>
      </c>
      <c r="R196" s="114">
        <f t="shared" si="2"/>
        <v>84190000</v>
      </c>
      <c r="S196" s="105" t="s">
        <v>581</v>
      </c>
      <c r="T196" s="110" t="s">
        <v>627</v>
      </c>
      <c r="U196" s="111"/>
      <c r="V196" s="89"/>
      <c r="W196" s="90"/>
      <c r="X196" s="81"/>
      <c r="Y196" s="81"/>
      <c r="Z196" s="81"/>
      <c r="AA196" s="81"/>
      <c r="AB196" s="81"/>
      <c r="AC196" s="81"/>
      <c r="AD196" s="81"/>
      <c r="AE196" s="81"/>
    </row>
    <row r="197" spans="1:31" s="1" customFormat="1" ht="54">
      <c r="A197" s="96">
        <v>196</v>
      </c>
      <c r="B197" s="97">
        <v>107</v>
      </c>
      <c r="C197" s="98" t="s">
        <v>178</v>
      </c>
      <c r="D197" s="98" t="s">
        <v>133</v>
      </c>
      <c r="E197" s="109" t="s">
        <v>628</v>
      </c>
      <c r="F197" s="109" t="s">
        <v>629</v>
      </c>
      <c r="G197" s="109"/>
      <c r="H197" s="101">
        <v>920</v>
      </c>
      <c r="I197" s="98" t="s">
        <v>630</v>
      </c>
      <c r="J197" s="102">
        <v>13</v>
      </c>
      <c r="K197" s="98">
        <v>5</v>
      </c>
      <c r="L197" s="98">
        <v>0</v>
      </c>
      <c r="M197" s="98">
        <v>0</v>
      </c>
      <c r="N197" s="98">
        <v>0</v>
      </c>
      <c r="O197" s="103">
        <v>30000000</v>
      </c>
      <c r="P197" s="115">
        <v>0</v>
      </c>
      <c r="Q197" s="115">
        <v>0</v>
      </c>
      <c r="R197" s="114">
        <f t="shared" si="2"/>
        <v>30000000</v>
      </c>
      <c r="S197" s="105" t="s">
        <v>564</v>
      </c>
      <c r="T197" s="110" t="s">
        <v>631</v>
      </c>
      <c r="U197" s="111" t="s">
        <v>632</v>
      </c>
      <c r="V197" s="89"/>
      <c r="W197" s="90"/>
      <c r="X197" s="81"/>
      <c r="Y197" s="81"/>
      <c r="Z197" s="81"/>
      <c r="AA197" s="81"/>
      <c r="AB197" s="81"/>
      <c r="AC197" s="81"/>
      <c r="AD197" s="81"/>
      <c r="AE197" s="81"/>
    </row>
    <row r="198" spans="1:31" s="1" customFormat="1" ht="27">
      <c r="A198" s="96">
        <v>197</v>
      </c>
      <c r="B198" s="97">
        <v>107</v>
      </c>
      <c r="C198" s="98" t="s">
        <v>178</v>
      </c>
      <c r="D198" s="98" t="s">
        <v>137</v>
      </c>
      <c r="E198" s="109" t="s">
        <v>633</v>
      </c>
      <c r="F198" s="109" t="s">
        <v>634</v>
      </c>
      <c r="G198" s="109" t="s">
        <v>635</v>
      </c>
      <c r="H198" s="101" t="s">
        <v>636</v>
      </c>
      <c r="I198" s="98" t="s">
        <v>140</v>
      </c>
      <c r="J198" s="102">
        <v>8</v>
      </c>
      <c r="K198" s="98">
        <v>0</v>
      </c>
      <c r="L198" s="98">
        <v>3</v>
      </c>
      <c r="M198" s="98">
        <v>0</v>
      </c>
      <c r="N198" s="98">
        <v>0</v>
      </c>
      <c r="O198" s="103">
        <v>3200000</v>
      </c>
      <c r="P198" s="115">
        <v>2375683</v>
      </c>
      <c r="Q198" s="115">
        <v>0</v>
      </c>
      <c r="R198" s="114">
        <f t="shared" si="2"/>
        <v>5575683</v>
      </c>
      <c r="S198" s="105" t="s">
        <v>564</v>
      </c>
      <c r="T198" s="110" t="s">
        <v>637</v>
      </c>
      <c r="U198" s="111" t="s">
        <v>638</v>
      </c>
      <c r="V198" s="89"/>
      <c r="W198" s="90"/>
      <c r="X198" s="81"/>
      <c r="Y198" s="81"/>
      <c r="Z198" s="81"/>
      <c r="AA198" s="81"/>
      <c r="AB198" s="81"/>
      <c r="AC198" s="81"/>
      <c r="AD198" s="81"/>
      <c r="AE198" s="81"/>
    </row>
    <row r="199" spans="1:31" s="1" customFormat="1" ht="15.75">
      <c r="A199" s="96">
        <v>198</v>
      </c>
      <c r="B199" s="97">
        <v>107</v>
      </c>
      <c r="C199" s="98" t="s">
        <v>178</v>
      </c>
      <c r="D199" s="98" t="s">
        <v>137</v>
      </c>
      <c r="E199" s="109" t="s">
        <v>639</v>
      </c>
      <c r="F199" s="109" t="s">
        <v>640</v>
      </c>
      <c r="G199" s="109" t="s">
        <v>641</v>
      </c>
      <c r="H199" s="101">
        <v>2560</v>
      </c>
      <c r="I199" s="98" t="s">
        <v>42</v>
      </c>
      <c r="J199" s="102">
        <v>10</v>
      </c>
      <c r="K199" s="98">
        <v>46</v>
      </c>
      <c r="L199" s="98">
        <v>9</v>
      </c>
      <c r="M199" s="98">
        <v>0</v>
      </c>
      <c r="N199" s="98">
        <v>0</v>
      </c>
      <c r="O199" s="103">
        <v>240000000</v>
      </c>
      <c r="P199" s="115">
        <v>12750000</v>
      </c>
      <c r="Q199" s="115">
        <v>0</v>
      </c>
      <c r="R199" s="114">
        <f t="shared" si="2"/>
        <v>252750000</v>
      </c>
      <c r="S199" s="105"/>
      <c r="T199" s="110"/>
      <c r="U199" s="111"/>
      <c r="V199" s="89"/>
      <c r="W199" s="90"/>
      <c r="X199" s="81"/>
      <c r="Y199" s="81"/>
      <c r="Z199" s="81"/>
      <c r="AA199" s="81"/>
      <c r="AB199" s="81"/>
      <c r="AC199" s="81"/>
      <c r="AD199" s="81"/>
      <c r="AE199" s="81"/>
    </row>
    <row r="200" spans="1:31" s="1" customFormat="1" ht="40.5">
      <c r="A200" s="96">
        <v>199</v>
      </c>
      <c r="B200" s="97">
        <v>106</v>
      </c>
      <c r="C200" s="98" t="s">
        <v>178</v>
      </c>
      <c r="D200" s="98" t="s">
        <v>147</v>
      </c>
      <c r="E200" s="109" t="s">
        <v>642</v>
      </c>
      <c r="F200" s="109" t="s">
        <v>333</v>
      </c>
      <c r="G200" s="109" t="s">
        <v>332</v>
      </c>
      <c r="H200" s="101">
        <v>150</v>
      </c>
      <c r="I200" s="98">
        <v>3</v>
      </c>
      <c r="J200" s="102">
        <v>12</v>
      </c>
      <c r="K200" s="98">
        <v>0</v>
      </c>
      <c r="L200" s="98">
        <v>5</v>
      </c>
      <c r="M200" s="98">
        <v>0</v>
      </c>
      <c r="N200" s="98">
        <v>0</v>
      </c>
      <c r="O200" s="103">
        <v>15080000</v>
      </c>
      <c r="P200" s="115">
        <v>56260000</v>
      </c>
      <c r="Q200" s="115">
        <v>2500000</v>
      </c>
      <c r="R200" s="114">
        <f t="shared" si="2"/>
        <v>73840000</v>
      </c>
      <c r="S200" s="105" t="s">
        <v>581</v>
      </c>
      <c r="T200" s="110" t="s">
        <v>643</v>
      </c>
      <c r="U200" s="111"/>
      <c r="V200" s="89"/>
      <c r="W200" s="90"/>
      <c r="X200" s="81"/>
      <c r="Y200" s="81"/>
      <c r="Z200" s="81"/>
      <c r="AA200" s="81"/>
      <c r="AB200" s="81"/>
      <c r="AC200" s="81"/>
      <c r="AD200" s="81"/>
      <c r="AE200" s="81"/>
    </row>
    <row r="201" spans="1:31" s="1" customFormat="1" ht="27">
      <c r="A201" s="96">
        <v>200</v>
      </c>
      <c r="B201" s="97">
        <v>107</v>
      </c>
      <c r="C201" s="98" t="s">
        <v>178</v>
      </c>
      <c r="D201" s="98" t="s">
        <v>160</v>
      </c>
      <c r="E201" s="109" t="s">
        <v>644</v>
      </c>
      <c r="F201" s="109" t="s">
        <v>645</v>
      </c>
      <c r="G201" s="109" t="s">
        <v>646</v>
      </c>
      <c r="H201" s="101">
        <v>160</v>
      </c>
      <c r="I201" s="98">
        <v>4</v>
      </c>
      <c r="J201" s="102">
        <v>12</v>
      </c>
      <c r="K201" s="98">
        <v>5</v>
      </c>
      <c r="L201" s="98">
        <v>17</v>
      </c>
      <c r="M201" s="98">
        <v>0</v>
      </c>
      <c r="N201" s="98">
        <v>1</v>
      </c>
      <c r="O201" s="103">
        <v>8000000</v>
      </c>
      <c r="P201" s="115">
        <v>48252376</v>
      </c>
      <c r="Q201" s="115">
        <v>1500000</v>
      </c>
      <c r="R201" s="114">
        <f t="shared" si="2"/>
        <v>57752376</v>
      </c>
      <c r="S201" s="105" t="s">
        <v>581</v>
      </c>
      <c r="T201" s="110" t="s">
        <v>647</v>
      </c>
      <c r="U201" s="111"/>
      <c r="V201" s="89"/>
      <c r="W201" s="90"/>
      <c r="X201" s="81"/>
      <c r="Y201" s="81"/>
      <c r="Z201" s="81"/>
      <c r="AA201" s="81"/>
      <c r="AB201" s="81"/>
      <c r="AC201" s="81"/>
      <c r="AD201" s="81"/>
      <c r="AE201" s="81"/>
    </row>
    <row r="202" spans="1:31" s="1" customFormat="1" ht="40.5">
      <c r="A202" s="96">
        <v>201</v>
      </c>
      <c r="B202" s="97">
        <v>107</v>
      </c>
      <c r="C202" s="98" t="s">
        <v>178</v>
      </c>
      <c r="D202" s="98" t="s">
        <v>173</v>
      </c>
      <c r="E202" s="109" t="s">
        <v>648</v>
      </c>
      <c r="F202" s="109" t="s">
        <v>649</v>
      </c>
      <c r="G202" s="109" t="s">
        <v>650</v>
      </c>
      <c r="H202" s="101">
        <v>925</v>
      </c>
      <c r="I202" s="98" t="s">
        <v>366</v>
      </c>
      <c r="J202" s="102" t="s">
        <v>651</v>
      </c>
      <c r="K202" s="98">
        <v>2</v>
      </c>
      <c r="L202" s="98">
        <v>4</v>
      </c>
      <c r="M202" s="98">
        <v>0</v>
      </c>
      <c r="N202" s="98">
        <v>0</v>
      </c>
      <c r="O202" s="103">
        <v>8800000</v>
      </c>
      <c r="P202" s="115">
        <v>1000000</v>
      </c>
      <c r="Q202" s="115">
        <v>0</v>
      </c>
      <c r="R202" s="114">
        <f t="shared" si="2"/>
        <v>9800000</v>
      </c>
      <c r="S202" s="105" t="s">
        <v>564</v>
      </c>
      <c r="T202" s="110" t="s">
        <v>652</v>
      </c>
      <c r="U202" s="111"/>
      <c r="V202" s="89"/>
      <c r="W202" s="90"/>
      <c r="X202" s="81"/>
      <c r="Y202" s="81"/>
      <c r="Z202" s="81"/>
      <c r="AA202" s="81"/>
      <c r="AB202" s="81"/>
      <c r="AC202" s="81"/>
      <c r="AD202" s="81"/>
      <c r="AE202" s="81"/>
    </row>
    <row r="203" spans="1:31" s="1" customFormat="1" ht="27">
      <c r="A203" s="96">
        <v>202</v>
      </c>
      <c r="B203" s="97">
        <v>107</v>
      </c>
      <c r="C203" s="98" t="s">
        <v>178</v>
      </c>
      <c r="D203" s="98" t="s">
        <v>451</v>
      </c>
      <c r="E203" s="109" t="s">
        <v>556</v>
      </c>
      <c r="F203" s="109" t="s">
        <v>557</v>
      </c>
      <c r="G203" s="109" t="s">
        <v>558</v>
      </c>
      <c r="H203" s="101"/>
      <c r="I203" s="98"/>
      <c r="J203" s="102"/>
      <c r="K203" s="98"/>
      <c r="L203" s="98"/>
      <c r="M203" s="98"/>
      <c r="N203" s="98"/>
      <c r="O203" s="103"/>
      <c r="P203" s="115"/>
      <c r="Q203" s="115"/>
      <c r="R203" s="114"/>
      <c r="S203" s="105" t="s">
        <v>653</v>
      </c>
      <c r="T203" s="110" t="s">
        <v>654</v>
      </c>
      <c r="U203" s="111"/>
      <c r="V203" s="89"/>
      <c r="W203" s="90"/>
      <c r="X203" s="81"/>
      <c r="Y203" s="81"/>
      <c r="Z203" s="81"/>
      <c r="AA203" s="81"/>
      <c r="AB203" s="81"/>
      <c r="AC203" s="81"/>
      <c r="AD203" s="81"/>
      <c r="AE203" s="81"/>
    </row>
    <row r="204" spans="1:31" s="1" customFormat="1" ht="27">
      <c r="A204" s="96">
        <v>203</v>
      </c>
      <c r="B204" s="97">
        <v>107</v>
      </c>
      <c r="C204" s="98" t="s">
        <v>178</v>
      </c>
      <c r="D204" s="98" t="s">
        <v>451</v>
      </c>
      <c r="E204" s="109" t="s">
        <v>561</v>
      </c>
      <c r="F204" s="109" t="s">
        <v>562</v>
      </c>
      <c r="G204" s="109" t="s">
        <v>563</v>
      </c>
      <c r="H204" s="101"/>
      <c r="I204" s="98"/>
      <c r="J204" s="102"/>
      <c r="K204" s="98"/>
      <c r="L204" s="98"/>
      <c r="M204" s="98"/>
      <c r="N204" s="98"/>
      <c r="O204" s="103"/>
      <c r="P204" s="115"/>
      <c r="Q204" s="115"/>
      <c r="R204" s="114"/>
      <c r="S204" s="105" t="s">
        <v>655</v>
      </c>
      <c r="T204" s="110" t="s">
        <v>569</v>
      </c>
      <c r="U204" s="111" t="s">
        <v>566</v>
      </c>
      <c r="V204" s="89"/>
      <c r="W204" s="90"/>
      <c r="X204" s="81"/>
      <c r="Y204" s="81"/>
      <c r="Z204" s="81"/>
      <c r="AA204" s="81"/>
      <c r="AB204" s="81"/>
      <c r="AC204" s="81"/>
      <c r="AD204" s="81"/>
      <c r="AE204" s="81"/>
    </row>
    <row r="205" spans="1:31" s="1" customFormat="1" ht="27">
      <c r="A205" s="96">
        <v>204</v>
      </c>
      <c r="B205" s="97">
        <v>107</v>
      </c>
      <c r="C205" s="98" t="s">
        <v>178</v>
      </c>
      <c r="D205" s="98" t="s">
        <v>451</v>
      </c>
      <c r="E205" s="109" t="s">
        <v>567</v>
      </c>
      <c r="F205" s="109" t="s">
        <v>452</v>
      </c>
      <c r="G205" s="109" t="s">
        <v>568</v>
      </c>
      <c r="H205" s="101"/>
      <c r="I205" s="98"/>
      <c r="J205" s="102"/>
      <c r="K205" s="98"/>
      <c r="L205" s="98"/>
      <c r="M205" s="98"/>
      <c r="N205" s="98"/>
      <c r="O205" s="103"/>
      <c r="P205" s="115"/>
      <c r="Q205" s="115"/>
      <c r="R205" s="114"/>
      <c r="S205" s="105" t="s">
        <v>655</v>
      </c>
      <c r="T205" s="110" t="s">
        <v>656</v>
      </c>
      <c r="U205" s="111" t="s">
        <v>570</v>
      </c>
      <c r="V205" s="89"/>
      <c r="W205" s="90"/>
      <c r="X205" s="81"/>
      <c r="Y205" s="81"/>
      <c r="Z205" s="81"/>
      <c r="AA205" s="81"/>
      <c r="AB205" s="81"/>
      <c r="AC205" s="81"/>
      <c r="AD205" s="81"/>
      <c r="AE205" s="81"/>
    </row>
    <row r="206" spans="1:31" s="1" customFormat="1" ht="40.5">
      <c r="A206" s="96">
        <v>205</v>
      </c>
      <c r="B206" s="97">
        <v>107</v>
      </c>
      <c r="C206" s="98" t="s">
        <v>178</v>
      </c>
      <c r="D206" s="98" t="s">
        <v>463</v>
      </c>
      <c r="E206" s="109" t="s">
        <v>571</v>
      </c>
      <c r="F206" s="109" t="s">
        <v>216</v>
      </c>
      <c r="G206" s="109" t="s">
        <v>572</v>
      </c>
      <c r="H206" s="101"/>
      <c r="I206" s="98"/>
      <c r="J206" s="102"/>
      <c r="K206" s="98"/>
      <c r="L206" s="98"/>
      <c r="M206" s="98"/>
      <c r="N206" s="98"/>
      <c r="O206" s="103"/>
      <c r="P206" s="115"/>
      <c r="Q206" s="115"/>
      <c r="R206" s="114"/>
      <c r="S206" s="105" t="s">
        <v>655</v>
      </c>
      <c r="T206" s="110" t="s">
        <v>657</v>
      </c>
      <c r="U206" s="111"/>
      <c r="V206" s="89"/>
      <c r="W206" s="90"/>
      <c r="X206" s="81"/>
      <c r="Y206" s="81"/>
      <c r="Z206" s="81"/>
      <c r="AA206" s="81"/>
      <c r="AB206" s="81"/>
      <c r="AC206" s="81"/>
      <c r="AD206" s="81"/>
      <c r="AE206" s="81"/>
    </row>
    <row r="207" spans="1:31" s="1" customFormat="1" ht="40.5">
      <c r="A207" s="96">
        <v>206</v>
      </c>
      <c r="B207" s="97">
        <v>107</v>
      </c>
      <c r="C207" s="98" t="s">
        <v>178</v>
      </c>
      <c r="D207" s="98" t="s">
        <v>463</v>
      </c>
      <c r="E207" s="109" t="s">
        <v>574</v>
      </c>
      <c r="F207" s="109" t="s">
        <v>575</v>
      </c>
      <c r="G207" s="109" t="s">
        <v>576</v>
      </c>
      <c r="H207" s="101"/>
      <c r="I207" s="98"/>
      <c r="J207" s="102"/>
      <c r="K207" s="98"/>
      <c r="L207" s="98"/>
      <c r="M207" s="98"/>
      <c r="N207" s="98"/>
      <c r="O207" s="103"/>
      <c r="P207" s="115"/>
      <c r="Q207" s="115"/>
      <c r="R207" s="114"/>
      <c r="S207" s="105" t="s">
        <v>653</v>
      </c>
      <c r="T207" s="110" t="s">
        <v>658</v>
      </c>
      <c r="U207" s="111"/>
      <c r="V207" s="89"/>
      <c r="W207" s="90"/>
      <c r="X207" s="81"/>
      <c r="Y207" s="81"/>
      <c r="Z207" s="81"/>
      <c r="AA207" s="81"/>
      <c r="AB207" s="81"/>
      <c r="AC207" s="81"/>
      <c r="AD207" s="81"/>
      <c r="AE207" s="81"/>
    </row>
    <row r="208" spans="1:31" s="1" customFormat="1" ht="40.5">
      <c r="A208" s="96">
        <v>207</v>
      </c>
      <c r="B208" s="97">
        <v>107</v>
      </c>
      <c r="C208" s="98" t="s">
        <v>178</v>
      </c>
      <c r="D208" s="98" t="s">
        <v>463</v>
      </c>
      <c r="E208" s="109" t="s">
        <v>578</v>
      </c>
      <c r="F208" s="109" t="s">
        <v>579</v>
      </c>
      <c r="G208" s="109" t="s">
        <v>580</v>
      </c>
      <c r="H208" s="101"/>
      <c r="I208" s="98"/>
      <c r="J208" s="102"/>
      <c r="K208" s="98"/>
      <c r="L208" s="98"/>
      <c r="M208" s="98"/>
      <c r="N208" s="98"/>
      <c r="O208" s="103"/>
      <c r="P208" s="115"/>
      <c r="Q208" s="115"/>
      <c r="R208" s="114"/>
      <c r="S208" s="105" t="s">
        <v>659</v>
      </c>
      <c r="T208" s="110" t="s">
        <v>660</v>
      </c>
      <c r="U208" s="111"/>
      <c r="V208" s="89"/>
      <c r="W208" s="90"/>
      <c r="X208" s="81"/>
      <c r="Y208" s="81"/>
      <c r="Z208" s="81"/>
      <c r="AA208" s="81"/>
      <c r="AB208" s="81"/>
      <c r="AC208" s="81"/>
      <c r="AD208" s="81"/>
      <c r="AE208" s="81"/>
    </row>
    <row r="209" spans="1:31" s="1" customFormat="1" ht="27">
      <c r="A209" s="96">
        <v>208</v>
      </c>
      <c r="B209" s="97">
        <v>107</v>
      </c>
      <c r="C209" s="98" t="s">
        <v>178</v>
      </c>
      <c r="D209" s="98" t="s">
        <v>500</v>
      </c>
      <c r="E209" s="109" t="s">
        <v>583</v>
      </c>
      <c r="F209" s="109" t="s">
        <v>584</v>
      </c>
      <c r="G209" s="109" t="s">
        <v>585</v>
      </c>
      <c r="H209" s="101"/>
      <c r="I209" s="98"/>
      <c r="J209" s="102"/>
      <c r="K209" s="98"/>
      <c r="L209" s="98"/>
      <c r="M209" s="98"/>
      <c r="N209" s="98"/>
      <c r="O209" s="103"/>
      <c r="P209" s="115"/>
      <c r="Q209" s="115"/>
      <c r="R209" s="114"/>
      <c r="S209" s="105" t="s">
        <v>659</v>
      </c>
      <c r="T209" s="110" t="s">
        <v>661</v>
      </c>
      <c r="U209" s="111" t="s">
        <v>588</v>
      </c>
      <c r="V209" s="89"/>
      <c r="W209" s="90"/>
      <c r="X209" s="81"/>
      <c r="Y209" s="81"/>
      <c r="Z209" s="81"/>
      <c r="AA209" s="81"/>
      <c r="AB209" s="81"/>
      <c r="AC209" s="81"/>
      <c r="AD209" s="81"/>
      <c r="AE209" s="81"/>
    </row>
    <row r="210" spans="1:31" s="1" customFormat="1" ht="27">
      <c r="A210" s="96">
        <v>209</v>
      </c>
      <c r="B210" s="97">
        <v>107</v>
      </c>
      <c r="C210" s="98" t="s">
        <v>178</v>
      </c>
      <c r="D210" s="98" t="s">
        <v>83</v>
      </c>
      <c r="E210" s="109" t="s">
        <v>589</v>
      </c>
      <c r="F210" s="109" t="s">
        <v>590</v>
      </c>
      <c r="G210" s="109"/>
      <c r="H210" s="101">
        <v>132</v>
      </c>
      <c r="I210" s="98">
        <v>5</v>
      </c>
      <c r="J210" s="102">
        <v>6</v>
      </c>
      <c r="K210" s="98">
        <v>0</v>
      </c>
      <c r="L210" s="98">
        <v>1</v>
      </c>
      <c r="M210" s="98">
        <v>0</v>
      </c>
      <c r="N210" s="98">
        <v>1</v>
      </c>
      <c r="O210" s="103">
        <v>13000000</v>
      </c>
      <c r="P210" s="115">
        <v>0</v>
      </c>
      <c r="Q210" s="115">
        <v>0</v>
      </c>
      <c r="R210" s="114">
        <f t="shared" ref="R210:R273" si="3">SUM(O210:Q210)</f>
        <v>13000000</v>
      </c>
      <c r="S210" s="105" t="s">
        <v>655</v>
      </c>
      <c r="T210" s="110" t="s">
        <v>662</v>
      </c>
      <c r="U210" s="111" t="s">
        <v>592</v>
      </c>
      <c r="V210" s="89"/>
      <c r="W210" s="90" t="s">
        <v>406</v>
      </c>
      <c r="X210" s="81"/>
      <c r="Y210" s="81"/>
      <c r="Z210" s="81"/>
      <c r="AA210" s="81"/>
      <c r="AB210" s="81"/>
      <c r="AC210" s="81"/>
      <c r="AD210" s="81"/>
      <c r="AE210" s="81"/>
    </row>
    <row r="211" spans="1:31" s="1" customFormat="1" ht="40.5">
      <c r="A211" s="96">
        <v>210</v>
      </c>
      <c r="B211" s="97">
        <v>107</v>
      </c>
      <c r="C211" s="98" t="s">
        <v>178</v>
      </c>
      <c r="D211" s="98" t="s">
        <v>108</v>
      </c>
      <c r="E211" s="109" t="s">
        <v>593</v>
      </c>
      <c r="F211" s="109" t="s">
        <v>594</v>
      </c>
      <c r="G211" s="109" t="s">
        <v>580</v>
      </c>
      <c r="H211" s="101">
        <v>115</v>
      </c>
      <c r="I211" s="98" t="s">
        <v>42</v>
      </c>
      <c r="J211" s="102">
        <v>8</v>
      </c>
      <c r="K211" s="98">
        <v>2</v>
      </c>
      <c r="L211" s="98">
        <v>4</v>
      </c>
      <c r="M211" s="98">
        <v>0</v>
      </c>
      <c r="N211" s="98">
        <v>2</v>
      </c>
      <c r="O211" s="103">
        <v>7360000</v>
      </c>
      <c r="P211" s="115">
        <v>13924430</v>
      </c>
      <c r="Q211" s="115">
        <v>2787600</v>
      </c>
      <c r="R211" s="114">
        <f t="shared" si="3"/>
        <v>24072030</v>
      </c>
      <c r="S211" s="105" t="s">
        <v>659</v>
      </c>
      <c r="T211" s="110" t="s">
        <v>663</v>
      </c>
      <c r="U211" s="111" t="s">
        <v>596</v>
      </c>
      <c r="V211" s="89"/>
      <c r="W211" s="90" t="s">
        <v>664</v>
      </c>
      <c r="X211" s="81"/>
      <c r="Y211" s="81"/>
      <c r="Z211" s="81"/>
      <c r="AA211" s="81"/>
      <c r="AB211" s="81"/>
      <c r="AC211" s="81"/>
      <c r="AD211" s="81"/>
      <c r="AE211" s="81"/>
    </row>
    <row r="212" spans="1:31" s="1" customFormat="1" ht="27">
      <c r="A212" s="96">
        <v>211</v>
      </c>
      <c r="B212" s="97">
        <v>107</v>
      </c>
      <c r="C212" s="98" t="s">
        <v>178</v>
      </c>
      <c r="D212" s="98" t="s">
        <v>117</v>
      </c>
      <c r="E212" s="109" t="s">
        <v>597</v>
      </c>
      <c r="F212" s="109" t="s">
        <v>598</v>
      </c>
      <c r="G212" s="109" t="s">
        <v>599</v>
      </c>
      <c r="H212" s="101">
        <v>326</v>
      </c>
      <c r="I212" s="98" t="s">
        <v>42</v>
      </c>
      <c r="J212" s="102">
        <v>8</v>
      </c>
      <c r="K212" s="98">
        <v>4</v>
      </c>
      <c r="L212" s="98">
        <v>6</v>
      </c>
      <c r="M212" s="98">
        <v>0</v>
      </c>
      <c r="N212" s="98">
        <v>0</v>
      </c>
      <c r="O212" s="103">
        <v>15000000</v>
      </c>
      <c r="P212" s="115">
        <v>400000</v>
      </c>
      <c r="Q212" s="115">
        <v>0</v>
      </c>
      <c r="R212" s="114">
        <f t="shared" si="3"/>
        <v>15400000</v>
      </c>
      <c r="S212" s="105" t="s">
        <v>655</v>
      </c>
      <c r="T212" s="110" t="s">
        <v>665</v>
      </c>
      <c r="U212" s="111" t="s">
        <v>601</v>
      </c>
      <c r="V212" s="89"/>
      <c r="W212" s="90"/>
      <c r="X212" s="81"/>
      <c r="Y212" s="81"/>
      <c r="Z212" s="81"/>
      <c r="AA212" s="81"/>
      <c r="AB212" s="81"/>
      <c r="AC212" s="81"/>
      <c r="AD212" s="81"/>
      <c r="AE212" s="81"/>
    </row>
    <row r="213" spans="1:31" s="1" customFormat="1" ht="54">
      <c r="A213" s="96">
        <v>212</v>
      </c>
      <c r="B213" s="97" t="s">
        <v>38</v>
      </c>
      <c r="C213" s="98" t="s">
        <v>178</v>
      </c>
      <c r="D213" s="98" t="s">
        <v>117</v>
      </c>
      <c r="E213" s="109" t="s">
        <v>602</v>
      </c>
      <c r="F213" s="109" t="s">
        <v>602</v>
      </c>
      <c r="G213" s="109"/>
      <c r="H213" s="101">
        <v>1000</v>
      </c>
      <c r="I213" s="98">
        <v>5</v>
      </c>
      <c r="J213" s="102">
        <v>12</v>
      </c>
      <c r="K213" s="98">
        <v>16</v>
      </c>
      <c r="L213" s="98">
        <v>87</v>
      </c>
      <c r="M213" s="98">
        <v>0</v>
      </c>
      <c r="N213" s="98">
        <v>0</v>
      </c>
      <c r="O213" s="103">
        <v>96000000</v>
      </c>
      <c r="P213" s="115">
        <v>237580000</v>
      </c>
      <c r="Q213" s="115">
        <v>0</v>
      </c>
      <c r="R213" s="114">
        <f t="shared" si="3"/>
        <v>333580000</v>
      </c>
      <c r="S213" s="105" t="s">
        <v>666</v>
      </c>
      <c r="T213" s="110" t="s">
        <v>667</v>
      </c>
      <c r="U213" s="111"/>
      <c r="V213" s="89"/>
      <c r="W213" s="90" t="s">
        <v>668</v>
      </c>
      <c r="X213" s="81"/>
      <c r="Y213" s="81"/>
      <c r="Z213" s="81"/>
      <c r="AA213" s="81"/>
      <c r="AB213" s="81"/>
      <c r="AC213" s="81"/>
      <c r="AD213" s="81"/>
      <c r="AE213" s="81"/>
    </row>
    <row r="214" spans="1:31" s="1" customFormat="1" ht="54">
      <c r="A214" s="96">
        <v>213</v>
      </c>
      <c r="B214" s="97">
        <v>107</v>
      </c>
      <c r="C214" s="98" t="s">
        <v>178</v>
      </c>
      <c r="D214" s="98" t="s">
        <v>117</v>
      </c>
      <c r="E214" s="109" t="s">
        <v>604</v>
      </c>
      <c r="F214" s="109" t="s">
        <v>605</v>
      </c>
      <c r="G214" s="109"/>
      <c r="H214" s="101">
        <v>150</v>
      </c>
      <c r="I214" s="98">
        <v>10</v>
      </c>
      <c r="J214" s="102">
        <v>10</v>
      </c>
      <c r="K214" s="98">
        <v>2</v>
      </c>
      <c r="L214" s="98">
        <v>5</v>
      </c>
      <c r="M214" s="98" t="s">
        <v>606</v>
      </c>
      <c r="N214" s="98" t="s">
        <v>607</v>
      </c>
      <c r="O214" s="103">
        <v>9000000</v>
      </c>
      <c r="P214" s="115">
        <v>10000000</v>
      </c>
      <c r="Q214" s="115">
        <v>1000000</v>
      </c>
      <c r="R214" s="114">
        <f t="shared" si="3"/>
        <v>20000000</v>
      </c>
      <c r="S214" s="105" t="s">
        <v>669</v>
      </c>
      <c r="T214" s="110" t="s">
        <v>670</v>
      </c>
      <c r="U214" s="111" t="s">
        <v>609</v>
      </c>
      <c r="V214" s="89"/>
      <c r="W214" s="90" t="s">
        <v>668</v>
      </c>
      <c r="X214" s="81"/>
      <c r="Y214" s="81"/>
      <c r="Z214" s="81"/>
      <c r="AA214" s="81"/>
      <c r="AB214" s="81"/>
      <c r="AC214" s="81"/>
      <c r="AD214" s="81"/>
      <c r="AE214" s="81"/>
    </row>
    <row r="215" spans="1:31" s="1" customFormat="1" ht="40.5">
      <c r="A215" s="96">
        <v>214</v>
      </c>
      <c r="B215" s="97">
        <v>107</v>
      </c>
      <c r="C215" s="98" t="s">
        <v>178</v>
      </c>
      <c r="D215" s="98" t="s">
        <v>117</v>
      </c>
      <c r="E215" s="109" t="s">
        <v>610</v>
      </c>
      <c r="F215" s="109" t="s">
        <v>611</v>
      </c>
      <c r="G215" s="109" t="s">
        <v>517</v>
      </c>
      <c r="H215" s="101">
        <v>90</v>
      </c>
      <c r="I215" s="98" t="s">
        <v>42</v>
      </c>
      <c r="J215" s="102" t="s">
        <v>612</v>
      </c>
      <c r="K215" s="98">
        <v>5</v>
      </c>
      <c r="L215" s="98">
        <v>5</v>
      </c>
      <c r="M215" s="98">
        <v>0</v>
      </c>
      <c r="N215" s="98">
        <v>0</v>
      </c>
      <c r="O215" s="103">
        <v>2110920</v>
      </c>
      <c r="P215" s="115">
        <v>1367791</v>
      </c>
      <c r="Q215" s="115">
        <v>0</v>
      </c>
      <c r="R215" s="114">
        <f t="shared" si="3"/>
        <v>3478711</v>
      </c>
      <c r="S215" s="105" t="s">
        <v>655</v>
      </c>
      <c r="T215" s="110" t="s">
        <v>671</v>
      </c>
      <c r="U215" s="111" t="s">
        <v>614</v>
      </c>
      <c r="V215" s="89"/>
      <c r="W215" s="90"/>
      <c r="X215" s="81"/>
      <c r="Y215" s="81"/>
      <c r="Z215" s="81"/>
      <c r="AA215" s="81"/>
      <c r="AB215" s="81"/>
      <c r="AC215" s="81"/>
      <c r="AD215" s="81"/>
      <c r="AE215" s="81"/>
    </row>
    <row r="216" spans="1:31" s="1" customFormat="1" ht="27">
      <c r="A216" s="96">
        <v>215</v>
      </c>
      <c r="B216" s="97" t="s">
        <v>38</v>
      </c>
      <c r="C216" s="98" t="s">
        <v>178</v>
      </c>
      <c r="D216" s="98" t="s">
        <v>121</v>
      </c>
      <c r="E216" s="109" t="s">
        <v>615</v>
      </c>
      <c r="F216" s="109" t="s">
        <v>616</v>
      </c>
      <c r="G216" s="109" t="s">
        <v>617</v>
      </c>
      <c r="H216" s="101">
        <v>320</v>
      </c>
      <c r="I216" s="98" t="s">
        <v>42</v>
      </c>
      <c r="J216" s="102">
        <v>10</v>
      </c>
      <c r="K216" s="98">
        <v>8</v>
      </c>
      <c r="L216" s="98">
        <v>15</v>
      </c>
      <c r="M216" s="98">
        <v>0</v>
      </c>
      <c r="N216" s="98">
        <v>1</v>
      </c>
      <c r="O216" s="103">
        <v>25600000</v>
      </c>
      <c r="P216" s="115">
        <v>144080511</v>
      </c>
      <c r="Q216" s="115">
        <v>1105950</v>
      </c>
      <c r="R216" s="114">
        <f t="shared" si="3"/>
        <v>170786461</v>
      </c>
      <c r="S216" s="105" t="s">
        <v>672</v>
      </c>
      <c r="T216" s="110" t="s">
        <v>673</v>
      </c>
      <c r="U216" s="111" t="s">
        <v>619</v>
      </c>
      <c r="V216" s="89"/>
      <c r="W216" s="90" t="s">
        <v>674</v>
      </c>
      <c r="X216" s="81"/>
      <c r="Y216" s="81"/>
      <c r="Z216" s="81"/>
      <c r="AA216" s="81"/>
      <c r="AB216" s="81"/>
      <c r="AC216" s="81"/>
      <c r="AD216" s="81"/>
      <c r="AE216" s="81"/>
    </row>
    <row r="217" spans="1:31" s="1" customFormat="1" ht="40.5">
      <c r="A217" s="96">
        <v>216</v>
      </c>
      <c r="B217" s="97">
        <v>107</v>
      </c>
      <c r="C217" s="98" t="s">
        <v>178</v>
      </c>
      <c r="D217" s="98" t="s">
        <v>121</v>
      </c>
      <c r="E217" s="109" t="s">
        <v>620</v>
      </c>
      <c r="F217" s="109" t="s">
        <v>621</v>
      </c>
      <c r="G217" s="109" t="s">
        <v>622</v>
      </c>
      <c r="H217" s="101">
        <v>77</v>
      </c>
      <c r="I217" s="98">
        <v>3</v>
      </c>
      <c r="J217" s="102">
        <v>6</v>
      </c>
      <c r="K217" s="98">
        <v>3</v>
      </c>
      <c r="L217" s="98">
        <v>7</v>
      </c>
      <c r="M217" s="98">
        <v>0</v>
      </c>
      <c r="N217" s="98">
        <v>0</v>
      </c>
      <c r="O217" s="103">
        <v>31752000</v>
      </c>
      <c r="P217" s="115">
        <v>5806090</v>
      </c>
      <c r="Q217" s="115">
        <v>0</v>
      </c>
      <c r="R217" s="114">
        <f t="shared" si="3"/>
        <v>37558090</v>
      </c>
      <c r="S217" s="105" t="s">
        <v>659</v>
      </c>
      <c r="T217" s="110" t="s">
        <v>675</v>
      </c>
      <c r="U217" s="111"/>
      <c r="V217" s="89"/>
      <c r="W217" s="90" t="s">
        <v>676</v>
      </c>
      <c r="X217" s="81"/>
      <c r="Y217" s="81"/>
      <c r="Z217" s="81"/>
      <c r="AA217" s="81"/>
      <c r="AB217" s="81"/>
      <c r="AC217" s="81"/>
      <c r="AD217" s="81"/>
      <c r="AE217" s="81"/>
    </row>
    <row r="218" spans="1:31" s="1" customFormat="1" ht="67.5">
      <c r="A218" s="96">
        <v>217</v>
      </c>
      <c r="B218" s="97">
        <v>107</v>
      </c>
      <c r="C218" s="98" t="s">
        <v>178</v>
      </c>
      <c r="D218" s="98" t="s">
        <v>133</v>
      </c>
      <c r="E218" s="109" t="s">
        <v>623</v>
      </c>
      <c r="F218" s="109" t="s">
        <v>624</v>
      </c>
      <c r="G218" s="109"/>
      <c r="H218" s="101">
        <v>170</v>
      </c>
      <c r="I218" s="98" t="s">
        <v>625</v>
      </c>
      <c r="J218" s="102">
        <v>8</v>
      </c>
      <c r="K218" s="98">
        <v>1</v>
      </c>
      <c r="L218" s="98">
        <v>3</v>
      </c>
      <c r="M218" s="98">
        <v>0</v>
      </c>
      <c r="N218" s="98">
        <v>0</v>
      </c>
      <c r="O218" s="103">
        <v>70000000</v>
      </c>
      <c r="P218" s="115">
        <v>8080000</v>
      </c>
      <c r="Q218" s="115">
        <v>0</v>
      </c>
      <c r="R218" s="114">
        <f t="shared" si="3"/>
        <v>78080000</v>
      </c>
      <c r="S218" s="105" t="s">
        <v>659</v>
      </c>
      <c r="T218" s="110" t="s">
        <v>677</v>
      </c>
      <c r="U218" s="111"/>
      <c r="V218" s="89"/>
      <c r="W218" s="90" t="s">
        <v>678</v>
      </c>
      <c r="X218" s="81"/>
      <c r="Y218" s="81"/>
      <c r="Z218" s="81"/>
      <c r="AA218" s="81"/>
      <c r="AB218" s="81"/>
      <c r="AC218" s="81"/>
      <c r="AD218" s="81"/>
      <c r="AE218" s="81"/>
    </row>
    <row r="219" spans="1:31" s="1" customFormat="1" ht="67.5">
      <c r="A219" s="96">
        <v>218</v>
      </c>
      <c r="B219" s="97">
        <v>107</v>
      </c>
      <c r="C219" s="98" t="s">
        <v>178</v>
      </c>
      <c r="D219" s="98" t="s">
        <v>133</v>
      </c>
      <c r="E219" s="109" t="s">
        <v>626</v>
      </c>
      <c r="F219" s="109" t="s">
        <v>624</v>
      </c>
      <c r="G219" s="109"/>
      <c r="H219" s="101">
        <v>120</v>
      </c>
      <c r="I219" s="98" t="s">
        <v>625</v>
      </c>
      <c r="J219" s="102">
        <v>8</v>
      </c>
      <c r="K219" s="98">
        <v>1</v>
      </c>
      <c r="L219" s="98">
        <v>2</v>
      </c>
      <c r="M219" s="98">
        <v>0</v>
      </c>
      <c r="N219" s="98">
        <v>0</v>
      </c>
      <c r="O219" s="103">
        <v>82000000</v>
      </c>
      <c r="P219" s="115">
        <v>2190000</v>
      </c>
      <c r="Q219" s="115">
        <v>0</v>
      </c>
      <c r="R219" s="114">
        <f t="shared" si="3"/>
        <v>84190000</v>
      </c>
      <c r="S219" s="105" t="s">
        <v>659</v>
      </c>
      <c r="T219" s="110" t="s">
        <v>677</v>
      </c>
      <c r="U219" s="111"/>
      <c r="V219" s="89"/>
      <c r="W219" s="90" t="s">
        <v>678</v>
      </c>
      <c r="X219" s="81"/>
      <c r="Y219" s="81"/>
      <c r="Z219" s="81"/>
      <c r="AA219" s="81"/>
      <c r="AB219" s="81"/>
      <c r="AC219" s="81"/>
      <c r="AD219" s="81"/>
      <c r="AE219" s="81"/>
    </row>
    <row r="220" spans="1:31" s="1" customFormat="1" ht="27">
      <c r="A220" s="96">
        <v>219</v>
      </c>
      <c r="B220" s="97">
        <v>107</v>
      </c>
      <c r="C220" s="98" t="s">
        <v>178</v>
      </c>
      <c r="D220" s="98" t="s">
        <v>133</v>
      </c>
      <c r="E220" s="109" t="s">
        <v>628</v>
      </c>
      <c r="F220" s="109" t="s">
        <v>629</v>
      </c>
      <c r="G220" s="109"/>
      <c r="H220" s="101">
        <v>920</v>
      </c>
      <c r="I220" s="98" t="s">
        <v>630</v>
      </c>
      <c r="J220" s="102">
        <v>13</v>
      </c>
      <c r="K220" s="98">
        <v>5</v>
      </c>
      <c r="L220" s="98">
        <v>0</v>
      </c>
      <c r="M220" s="98">
        <v>0</v>
      </c>
      <c r="N220" s="98">
        <v>0</v>
      </c>
      <c r="O220" s="103">
        <v>30000000</v>
      </c>
      <c r="P220" s="115">
        <v>0</v>
      </c>
      <c r="Q220" s="115">
        <v>0</v>
      </c>
      <c r="R220" s="114">
        <f t="shared" si="3"/>
        <v>30000000</v>
      </c>
      <c r="S220" s="105" t="s">
        <v>655</v>
      </c>
      <c r="T220" s="110" t="s">
        <v>569</v>
      </c>
      <c r="U220" s="111" t="s">
        <v>632</v>
      </c>
      <c r="V220" s="89"/>
      <c r="W220" s="90"/>
      <c r="X220" s="81"/>
      <c r="Y220" s="81"/>
      <c r="Z220" s="81"/>
      <c r="AA220" s="81"/>
      <c r="AB220" s="81"/>
      <c r="AC220" s="81"/>
      <c r="AD220" s="81"/>
      <c r="AE220" s="81"/>
    </row>
    <row r="221" spans="1:31" s="1" customFormat="1" ht="27">
      <c r="A221" s="96">
        <v>220</v>
      </c>
      <c r="B221" s="97">
        <v>107</v>
      </c>
      <c r="C221" s="98" t="s">
        <v>178</v>
      </c>
      <c r="D221" s="98" t="s">
        <v>137</v>
      </c>
      <c r="E221" s="109" t="s">
        <v>633</v>
      </c>
      <c r="F221" s="109" t="s">
        <v>634</v>
      </c>
      <c r="G221" s="109" t="s">
        <v>635</v>
      </c>
      <c r="H221" s="101" t="s">
        <v>636</v>
      </c>
      <c r="I221" s="98" t="s">
        <v>140</v>
      </c>
      <c r="J221" s="102">
        <v>8</v>
      </c>
      <c r="K221" s="98">
        <v>0</v>
      </c>
      <c r="L221" s="98">
        <v>3</v>
      </c>
      <c r="M221" s="98">
        <v>0</v>
      </c>
      <c r="N221" s="98">
        <v>0</v>
      </c>
      <c r="O221" s="103">
        <v>3200000</v>
      </c>
      <c r="P221" s="115">
        <v>2375683</v>
      </c>
      <c r="Q221" s="115">
        <v>0</v>
      </c>
      <c r="R221" s="114">
        <f t="shared" si="3"/>
        <v>5575683</v>
      </c>
      <c r="S221" s="105" t="s">
        <v>655</v>
      </c>
      <c r="T221" s="110" t="s">
        <v>569</v>
      </c>
      <c r="U221" s="111" t="s">
        <v>638</v>
      </c>
      <c r="V221" s="89"/>
      <c r="W221" s="90"/>
      <c r="X221" s="81"/>
      <c r="Y221" s="81"/>
      <c r="Z221" s="81"/>
      <c r="AA221" s="81"/>
      <c r="AB221" s="81"/>
      <c r="AC221" s="81"/>
      <c r="AD221" s="81"/>
      <c r="AE221" s="81"/>
    </row>
    <row r="222" spans="1:31" s="1" customFormat="1" ht="27">
      <c r="A222" s="96">
        <v>221</v>
      </c>
      <c r="B222" s="97">
        <v>107</v>
      </c>
      <c r="C222" s="98" t="s">
        <v>178</v>
      </c>
      <c r="D222" s="98" t="s">
        <v>137</v>
      </c>
      <c r="E222" s="109" t="s">
        <v>639</v>
      </c>
      <c r="F222" s="109" t="s">
        <v>640</v>
      </c>
      <c r="G222" s="109" t="s">
        <v>641</v>
      </c>
      <c r="H222" s="101">
        <v>2560</v>
      </c>
      <c r="I222" s="98" t="s">
        <v>42</v>
      </c>
      <c r="J222" s="102">
        <v>10</v>
      </c>
      <c r="K222" s="98">
        <v>46</v>
      </c>
      <c r="L222" s="98">
        <v>9</v>
      </c>
      <c r="M222" s="98">
        <v>0</v>
      </c>
      <c r="N222" s="98">
        <v>0</v>
      </c>
      <c r="O222" s="103">
        <v>240000000</v>
      </c>
      <c r="P222" s="115">
        <v>12750000</v>
      </c>
      <c r="Q222" s="115">
        <v>0</v>
      </c>
      <c r="R222" s="114">
        <f t="shared" si="3"/>
        <v>252750000</v>
      </c>
      <c r="S222" s="105" t="s">
        <v>586</v>
      </c>
      <c r="T222" s="110" t="s">
        <v>679</v>
      </c>
      <c r="U222" s="111"/>
      <c r="V222" s="89"/>
      <c r="W222" s="90"/>
      <c r="X222" s="81"/>
      <c r="Y222" s="81"/>
      <c r="Z222" s="81"/>
      <c r="AA222" s="81"/>
      <c r="AB222" s="81"/>
      <c r="AC222" s="81"/>
      <c r="AD222" s="81"/>
      <c r="AE222" s="81"/>
    </row>
    <row r="223" spans="1:31" s="1" customFormat="1" ht="15.75">
      <c r="A223" s="96">
        <v>222</v>
      </c>
      <c r="B223" s="97">
        <v>106</v>
      </c>
      <c r="C223" s="98" t="s">
        <v>178</v>
      </c>
      <c r="D223" s="98" t="s">
        <v>147</v>
      </c>
      <c r="E223" s="109" t="s">
        <v>642</v>
      </c>
      <c r="F223" s="109" t="s">
        <v>333</v>
      </c>
      <c r="G223" s="109" t="s">
        <v>332</v>
      </c>
      <c r="H223" s="101">
        <v>150</v>
      </c>
      <c r="I223" s="98">
        <v>3</v>
      </c>
      <c r="J223" s="102">
        <v>12</v>
      </c>
      <c r="K223" s="98">
        <v>0</v>
      </c>
      <c r="L223" s="98">
        <v>5</v>
      </c>
      <c r="M223" s="98">
        <v>0</v>
      </c>
      <c r="N223" s="98">
        <v>0</v>
      </c>
      <c r="O223" s="103">
        <v>15080000</v>
      </c>
      <c r="P223" s="115">
        <v>56260000</v>
      </c>
      <c r="Q223" s="115">
        <v>2500000</v>
      </c>
      <c r="R223" s="114">
        <f t="shared" si="3"/>
        <v>73840000</v>
      </c>
      <c r="S223" s="105"/>
      <c r="T223" s="110"/>
      <c r="U223" s="111"/>
      <c r="V223" s="89"/>
      <c r="W223" s="90"/>
      <c r="X223" s="81"/>
      <c r="Y223" s="81"/>
      <c r="Z223" s="81"/>
      <c r="AA223" s="81"/>
      <c r="AB223" s="81"/>
      <c r="AC223" s="81"/>
      <c r="AD223" s="81"/>
      <c r="AE223" s="81"/>
    </row>
    <row r="224" spans="1:31" s="1" customFormat="1" ht="15.75">
      <c r="A224" s="96">
        <v>223</v>
      </c>
      <c r="B224" s="97">
        <v>107</v>
      </c>
      <c r="C224" s="98" t="s">
        <v>178</v>
      </c>
      <c r="D224" s="98" t="s">
        <v>160</v>
      </c>
      <c r="E224" s="109" t="s">
        <v>644</v>
      </c>
      <c r="F224" s="109" t="s">
        <v>645</v>
      </c>
      <c r="G224" s="109" t="s">
        <v>646</v>
      </c>
      <c r="H224" s="101">
        <v>160</v>
      </c>
      <c r="I224" s="98">
        <v>4</v>
      </c>
      <c r="J224" s="102">
        <v>12</v>
      </c>
      <c r="K224" s="98">
        <v>5</v>
      </c>
      <c r="L224" s="98">
        <v>17</v>
      </c>
      <c r="M224" s="98">
        <v>0</v>
      </c>
      <c r="N224" s="98">
        <v>1</v>
      </c>
      <c r="O224" s="103">
        <v>8000000</v>
      </c>
      <c r="P224" s="115">
        <v>48252376</v>
      </c>
      <c r="Q224" s="115">
        <v>1500000</v>
      </c>
      <c r="R224" s="114">
        <f t="shared" si="3"/>
        <v>57752376</v>
      </c>
      <c r="S224" s="105"/>
      <c r="T224" s="110"/>
      <c r="U224" s="111"/>
      <c r="V224" s="89"/>
      <c r="W224" s="90"/>
      <c r="X224" s="81"/>
      <c r="Y224" s="81"/>
      <c r="Z224" s="81"/>
      <c r="AA224" s="81"/>
      <c r="AB224" s="81"/>
      <c r="AC224" s="81"/>
      <c r="AD224" s="81"/>
      <c r="AE224" s="81"/>
    </row>
    <row r="225" spans="1:31" s="1" customFormat="1" ht="15.75">
      <c r="A225" s="96">
        <v>224</v>
      </c>
      <c r="B225" s="97">
        <v>107</v>
      </c>
      <c r="C225" s="98" t="s">
        <v>178</v>
      </c>
      <c r="D225" s="98" t="s">
        <v>173</v>
      </c>
      <c r="E225" s="109" t="s">
        <v>648</v>
      </c>
      <c r="F225" s="109" t="s">
        <v>649</v>
      </c>
      <c r="G225" s="109" t="s">
        <v>650</v>
      </c>
      <c r="H225" s="101">
        <v>925</v>
      </c>
      <c r="I225" s="98" t="s">
        <v>366</v>
      </c>
      <c r="J225" s="102" t="s">
        <v>651</v>
      </c>
      <c r="K225" s="98">
        <v>2</v>
      </c>
      <c r="L225" s="98">
        <v>4</v>
      </c>
      <c r="M225" s="98">
        <v>0</v>
      </c>
      <c r="N225" s="98">
        <v>0</v>
      </c>
      <c r="O225" s="103">
        <v>8800000</v>
      </c>
      <c r="P225" s="115">
        <v>1000000</v>
      </c>
      <c r="Q225" s="115">
        <v>0</v>
      </c>
      <c r="R225" s="114">
        <f t="shared" si="3"/>
        <v>9800000</v>
      </c>
      <c r="S225" s="105"/>
      <c r="T225" s="110"/>
      <c r="U225" s="111"/>
      <c r="V225" s="89"/>
      <c r="W225" s="90"/>
      <c r="X225" s="81"/>
      <c r="Y225" s="81"/>
      <c r="Z225" s="81"/>
      <c r="AA225" s="81"/>
      <c r="AB225" s="81"/>
      <c r="AC225" s="81"/>
      <c r="AD225" s="81"/>
      <c r="AE225" s="81"/>
    </row>
    <row r="226" spans="1:31" s="1" customFormat="1" ht="27">
      <c r="A226" s="118">
        <v>225</v>
      </c>
      <c r="B226" s="119">
        <v>108</v>
      </c>
      <c r="C226" s="120" t="s">
        <v>39</v>
      </c>
      <c r="D226" s="120" t="s">
        <v>40</v>
      </c>
      <c r="E226" s="121" t="s">
        <v>680</v>
      </c>
      <c r="F226" s="121" t="s">
        <v>681</v>
      </c>
      <c r="G226" s="121" t="s">
        <v>682</v>
      </c>
      <c r="H226" s="122">
        <v>54</v>
      </c>
      <c r="I226" s="120" t="s">
        <v>42</v>
      </c>
      <c r="J226" s="123">
        <v>8</v>
      </c>
      <c r="K226" s="120">
        <v>12</v>
      </c>
      <c r="L226" s="120">
        <v>0</v>
      </c>
      <c r="M226" s="120">
        <v>0</v>
      </c>
      <c r="N226" s="120">
        <v>0</v>
      </c>
      <c r="O226" s="124">
        <v>1728000</v>
      </c>
      <c r="P226" s="124">
        <v>3233600</v>
      </c>
      <c r="Q226" s="124">
        <v>0</v>
      </c>
      <c r="R226" s="125">
        <f t="shared" si="3"/>
        <v>4961600</v>
      </c>
      <c r="S226" s="126" t="s">
        <v>683</v>
      </c>
      <c r="T226" s="127" t="s">
        <v>684</v>
      </c>
      <c r="U226" s="128" t="s">
        <v>685</v>
      </c>
      <c r="V226" s="89"/>
      <c r="W226" s="90" t="s">
        <v>686</v>
      </c>
      <c r="X226" s="81"/>
      <c r="Y226" s="81"/>
      <c r="Z226" s="81"/>
      <c r="AA226" s="81"/>
      <c r="AB226" s="81"/>
      <c r="AC226" s="81"/>
      <c r="AD226" s="81"/>
      <c r="AE226" s="81"/>
    </row>
    <row r="227" spans="1:31" s="1" customFormat="1" ht="54">
      <c r="A227" s="118">
        <v>226</v>
      </c>
      <c r="B227" s="119">
        <v>108</v>
      </c>
      <c r="C227" s="120" t="s">
        <v>39</v>
      </c>
      <c r="D227" s="120" t="s">
        <v>40</v>
      </c>
      <c r="E227" s="121" t="s">
        <v>687</v>
      </c>
      <c r="F227" s="121" t="s">
        <v>687</v>
      </c>
      <c r="G227" s="121" t="s">
        <v>688</v>
      </c>
      <c r="H227" s="122">
        <v>60</v>
      </c>
      <c r="I227" s="120">
        <v>4</v>
      </c>
      <c r="J227" s="123">
        <v>8</v>
      </c>
      <c r="K227" s="120">
        <v>5</v>
      </c>
      <c r="L227" s="120">
        <v>5</v>
      </c>
      <c r="M227" s="120">
        <v>0</v>
      </c>
      <c r="N227" s="120">
        <v>0</v>
      </c>
      <c r="O227" s="124">
        <v>1920000</v>
      </c>
      <c r="P227" s="124">
        <v>13176623</v>
      </c>
      <c r="Q227" s="124">
        <v>0</v>
      </c>
      <c r="R227" s="125">
        <f t="shared" si="3"/>
        <v>15096623</v>
      </c>
      <c r="S227" s="126" t="s">
        <v>689</v>
      </c>
      <c r="T227" s="127" t="s">
        <v>690</v>
      </c>
      <c r="U227" s="128"/>
      <c r="V227" s="89"/>
      <c r="W227" s="90" t="s">
        <v>691</v>
      </c>
      <c r="X227" s="81"/>
      <c r="Y227" s="81"/>
      <c r="Z227" s="81"/>
      <c r="AA227" s="81"/>
      <c r="AB227" s="81"/>
      <c r="AC227" s="81"/>
      <c r="AD227" s="81"/>
      <c r="AE227" s="81"/>
    </row>
    <row r="228" spans="1:31" s="1" customFormat="1" ht="54">
      <c r="A228" s="118">
        <v>227</v>
      </c>
      <c r="B228" s="119">
        <v>108</v>
      </c>
      <c r="C228" s="120" t="s">
        <v>39</v>
      </c>
      <c r="D228" s="120" t="s">
        <v>40</v>
      </c>
      <c r="E228" s="121" t="s">
        <v>692</v>
      </c>
      <c r="F228" s="121" t="s">
        <v>693</v>
      </c>
      <c r="G228" s="121" t="s">
        <v>694</v>
      </c>
      <c r="H228" s="122">
        <v>85</v>
      </c>
      <c r="I228" s="120" t="s">
        <v>51</v>
      </c>
      <c r="J228" s="123">
        <v>8</v>
      </c>
      <c r="K228" s="120">
        <v>1</v>
      </c>
      <c r="L228" s="120">
        <v>3</v>
      </c>
      <c r="M228" s="120">
        <v>0</v>
      </c>
      <c r="N228" s="120">
        <v>1</v>
      </c>
      <c r="O228" s="124">
        <v>1152000</v>
      </c>
      <c r="P228" s="124">
        <v>19488060</v>
      </c>
      <c r="Q228" s="124">
        <v>242400</v>
      </c>
      <c r="R228" s="125">
        <f t="shared" si="3"/>
        <v>20882460</v>
      </c>
      <c r="S228" s="126" t="s">
        <v>689</v>
      </c>
      <c r="T228" s="127" t="s">
        <v>695</v>
      </c>
      <c r="U228" s="128"/>
      <c r="V228" s="89"/>
      <c r="W228" s="90" t="s">
        <v>696</v>
      </c>
      <c r="X228" s="81"/>
      <c r="Y228" s="81"/>
      <c r="Z228" s="81"/>
      <c r="AA228" s="81"/>
      <c r="AB228" s="81"/>
      <c r="AC228" s="81"/>
      <c r="AD228" s="81"/>
      <c r="AE228" s="81"/>
    </row>
    <row r="229" spans="1:31" s="1" customFormat="1" ht="27">
      <c r="A229" s="118">
        <v>228</v>
      </c>
      <c r="B229" s="119">
        <v>108</v>
      </c>
      <c r="C229" s="120" t="s">
        <v>39</v>
      </c>
      <c r="D229" s="120" t="s">
        <v>40</v>
      </c>
      <c r="E229" s="121" t="s">
        <v>697</v>
      </c>
      <c r="F229" s="121" t="s">
        <v>698</v>
      </c>
      <c r="G229" s="121"/>
      <c r="H229" s="122">
        <v>50</v>
      </c>
      <c r="I229" s="120">
        <v>4</v>
      </c>
      <c r="J229" s="123">
        <v>8</v>
      </c>
      <c r="K229" s="120">
        <v>1</v>
      </c>
      <c r="L229" s="120">
        <v>0</v>
      </c>
      <c r="M229" s="120">
        <v>0</v>
      </c>
      <c r="N229" s="120">
        <v>0</v>
      </c>
      <c r="O229" s="124">
        <v>1600000</v>
      </c>
      <c r="P229" s="124">
        <v>2919973</v>
      </c>
      <c r="Q229" s="124">
        <v>0</v>
      </c>
      <c r="R229" s="125">
        <f t="shared" si="3"/>
        <v>4519973</v>
      </c>
      <c r="S229" s="126" t="s">
        <v>683</v>
      </c>
      <c r="T229" s="127" t="s">
        <v>699</v>
      </c>
      <c r="U229" s="128" t="s">
        <v>685</v>
      </c>
      <c r="V229" s="89"/>
      <c r="W229" s="90" t="s">
        <v>700</v>
      </c>
      <c r="X229" s="81"/>
      <c r="Y229" s="81"/>
      <c r="Z229" s="81"/>
      <c r="AA229" s="81"/>
      <c r="AB229" s="81"/>
      <c r="AC229" s="81"/>
      <c r="AD229" s="81"/>
      <c r="AE229" s="81"/>
    </row>
    <row r="230" spans="1:31" s="1" customFormat="1" ht="54">
      <c r="A230" s="118">
        <v>229</v>
      </c>
      <c r="B230" s="119">
        <v>108</v>
      </c>
      <c r="C230" s="120" t="s">
        <v>39</v>
      </c>
      <c r="D230" s="120" t="s">
        <v>40</v>
      </c>
      <c r="E230" s="121" t="s">
        <v>701</v>
      </c>
      <c r="F230" s="121" t="s">
        <v>702</v>
      </c>
      <c r="G230" s="121" t="s">
        <v>703</v>
      </c>
      <c r="H230" s="122">
        <v>15</v>
      </c>
      <c r="I230" s="120">
        <v>5</v>
      </c>
      <c r="J230" s="123">
        <v>8</v>
      </c>
      <c r="K230" s="120">
        <v>2</v>
      </c>
      <c r="L230" s="120">
        <v>2</v>
      </c>
      <c r="M230" s="120">
        <v>0</v>
      </c>
      <c r="N230" s="120">
        <v>0</v>
      </c>
      <c r="O230" s="124">
        <v>480000</v>
      </c>
      <c r="P230" s="124">
        <v>9674155</v>
      </c>
      <c r="Q230" s="124">
        <v>0</v>
      </c>
      <c r="R230" s="125">
        <f t="shared" si="3"/>
        <v>10154155</v>
      </c>
      <c r="S230" s="126" t="s">
        <v>689</v>
      </c>
      <c r="T230" s="127" t="s">
        <v>704</v>
      </c>
      <c r="U230" s="128" t="s">
        <v>705</v>
      </c>
      <c r="V230" s="129"/>
      <c r="W230" s="90" t="s">
        <v>53</v>
      </c>
      <c r="X230" s="81"/>
      <c r="Y230" s="81"/>
      <c r="Z230" s="81"/>
      <c r="AA230" s="81"/>
      <c r="AB230" s="81"/>
      <c r="AC230" s="81"/>
      <c r="AD230" s="81"/>
      <c r="AE230" s="81"/>
    </row>
    <row r="231" spans="1:31" s="1" customFormat="1" ht="40.5">
      <c r="A231" s="118">
        <v>230</v>
      </c>
      <c r="B231" s="119">
        <v>108</v>
      </c>
      <c r="C231" s="120" t="s">
        <v>39</v>
      </c>
      <c r="D231" s="120" t="s">
        <v>40</v>
      </c>
      <c r="E231" s="121" t="s">
        <v>706</v>
      </c>
      <c r="F231" s="121" t="s">
        <v>707</v>
      </c>
      <c r="G231" s="121" t="s">
        <v>708</v>
      </c>
      <c r="H231" s="122">
        <v>115</v>
      </c>
      <c r="I231" s="120" t="s">
        <v>42</v>
      </c>
      <c r="J231" s="123">
        <v>7</v>
      </c>
      <c r="K231" s="120">
        <v>2</v>
      </c>
      <c r="L231" s="120">
        <v>24</v>
      </c>
      <c r="M231" s="120">
        <v>5</v>
      </c>
      <c r="N231" s="120">
        <v>3</v>
      </c>
      <c r="O231" s="124">
        <v>3220000</v>
      </c>
      <c r="P231" s="124">
        <v>54861707</v>
      </c>
      <c r="Q231" s="124">
        <v>9284768</v>
      </c>
      <c r="R231" s="125">
        <f t="shared" si="3"/>
        <v>67366475</v>
      </c>
      <c r="S231" s="126" t="s">
        <v>689</v>
      </c>
      <c r="T231" s="130" t="s">
        <v>709</v>
      </c>
      <c r="U231" s="131"/>
      <c r="V231" s="89"/>
      <c r="W231" s="90" t="s">
        <v>710</v>
      </c>
      <c r="X231" s="81"/>
      <c r="Y231" s="81"/>
      <c r="Z231" s="81"/>
      <c r="AA231" s="81"/>
      <c r="AB231" s="81"/>
      <c r="AC231" s="81"/>
      <c r="AD231" s="81"/>
      <c r="AE231" s="81"/>
    </row>
    <row r="232" spans="1:31" s="1" customFormat="1" ht="54">
      <c r="A232" s="118">
        <v>231</v>
      </c>
      <c r="B232" s="119">
        <v>108</v>
      </c>
      <c r="C232" s="120" t="s">
        <v>39</v>
      </c>
      <c r="D232" s="120" t="s">
        <v>40</v>
      </c>
      <c r="E232" s="121" t="s">
        <v>711</v>
      </c>
      <c r="F232" s="121" t="s">
        <v>712</v>
      </c>
      <c r="G232" s="121" t="s">
        <v>713</v>
      </c>
      <c r="H232" s="122">
        <v>30</v>
      </c>
      <c r="I232" s="120" t="s">
        <v>42</v>
      </c>
      <c r="J232" s="123">
        <v>7</v>
      </c>
      <c r="K232" s="120">
        <v>0</v>
      </c>
      <c r="L232" s="120">
        <v>5</v>
      </c>
      <c r="M232" s="120">
        <v>1</v>
      </c>
      <c r="N232" s="120">
        <v>2</v>
      </c>
      <c r="O232" s="124">
        <v>960000</v>
      </c>
      <c r="P232" s="124">
        <v>15104880</v>
      </c>
      <c r="Q232" s="124">
        <v>4875310</v>
      </c>
      <c r="R232" s="125">
        <f t="shared" si="3"/>
        <v>20940190</v>
      </c>
      <c r="S232" s="126" t="s">
        <v>689</v>
      </c>
      <c r="T232" s="130" t="s">
        <v>714</v>
      </c>
      <c r="U232" s="131"/>
      <c r="V232" s="89"/>
      <c r="W232" s="90" t="s">
        <v>710</v>
      </c>
      <c r="X232" s="81"/>
      <c r="Y232" s="81"/>
      <c r="Z232" s="81"/>
      <c r="AA232" s="81"/>
      <c r="AB232" s="81"/>
      <c r="AC232" s="81"/>
      <c r="AD232" s="81"/>
      <c r="AE232" s="81"/>
    </row>
    <row r="233" spans="1:31" s="1" customFormat="1" ht="27">
      <c r="A233" s="118">
        <v>232</v>
      </c>
      <c r="B233" s="119">
        <v>108</v>
      </c>
      <c r="C233" s="120" t="s">
        <v>39</v>
      </c>
      <c r="D233" s="120" t="s">
        <v>40</v>
      </c>
      <c r="E233" s="121" t="s">
        <v>715</v>
      </c>
      <c r="F233" s="121" t="s">
        <v>716</v>
      </c>
      <c r="G233" s="121" t="s">
        <v>717</v>
      </c>
      <c r="H233" s="122">
        <v>38</v>
      </c>
      <c r="I233" s="120" t="s">
        <v>42</v>
      </c>
      <c r="J233" s="123">
        <v>8</v>
      </c>
      <c r="K233" s="120">
        <v>0</v>
      </c>
      <c r="L233" s="120">
        <v>1</v>
      </c>
      <c r="M233" s="120">
        <v>0</v>
      </c>
      <c r="N233" s="120">
        <v>0</v>
      </c>
      <c r="O233" s="124">
        <v>1216000</v>
      </c>
      <c r="P233" s="124">
        <v>26154014</v>
      </c>
      <c r="Q233" s="124">
        <v>0</v>
      </c>
      <c r="R233" s="125">
        <f t="shared" si="3"/>
        <v>27370014</v>
      </c>
      <c r="S233" s="126" t="s">
        <v>718</v>
      </c>
      <c r="T233" s="127" t="s">
        <v>719</v>
      </c>
      <c r="U233" s="128"/>
      <c r="V233" s="89"/>
      <c r="W233" s="90" t="s">
        <v>720</v>
      </c>
      <c r="X233" s="81"/>
      <c r="Y233" s="81"/>
      <c r="Z233" s="81"/>
      <c r="AA233" s="81"/>
      <c r="AB233" s="81"/>
      <c r="AC233" s="81"/>
      <c r="AD233" s="81"/>
      <c r="AE233" s="81"/>
    </row>
    <row r="234" spans="1:31" s="1" customFormat="1" ht="54">
      <c r="A234" s="118">
        <v>233</v>
      </c>
      <c r="B234" s="119">
        <v>108</v>
      </c>
      <c r="C234" s="120" t="s">
        <v>39</v>
      </c>
      <c r="D234" s="120" t="s">
        <v>40</v>
      </c>
      <c r="E234" s="121" t="s">
        <v>721</v>
      </c>
      <c r="F234" s="121" t="s">
        <v>722</v>
      </c>
      <c r="G234" s="121" t="s">
        <v>723</v>
      </c>
      <c r="H234" s="122">
        <v>76</v>
      </c>
      <c r="I234" s="120" t="s">
        <v>42</v>
      </c>
      <c r="J234" s="123">
        <v>4</v>
      </c>
      <c r="K234" s="120">
        <v>2</v>
      </c>
      <c r="L234" s="120">
        <v>2</v>
      </c>
      <c r="M234" s="120">
        <v>0</v>
      </c>
      <c r="N234" s="120">
        <v>0</v>
      </c>
      <c r="O234" s="124">
        <v>2432000</v>
      </c>
      <c r="P234" s="124">
        <v>27069250</v>
      </c>
      <c r="Q234" s="124">
        <v>0</v>
      </c>
      <c r="R234" s="125">
        <f t="shared" si="3"/>
        <v>29501250</v>
      </c>
      <c r="S234" s="126" t="s">
        <v>689</v>
      </c>
      <c r="T234" s="127" t="s">
        <v>724</v>
      </c>
      <c r="U234" s="128"/>
      <c r="V234" s="89"/>
      <c r="W234" s="90" t="s">
        <v>725</v>
      </c>
      <c r="X234" s="81"/>
      <c r="Y234" s="81"/>
      <c r="Z234" s="81"/>
      <c r="AA234" s="81"/>
      <c r="AB234" s="81"/>
      <c r="AC234" s="81"/>
      <c r="AD234" s="81"/>
      <c r="AE234" s="81"/>
    </row>
    <row r="235" spans="1:31" s="1" customFormat="1" ht="67.5">
      <c r="A235" s="118">
        <v>234</v>
      </c>
      <c r="B235" s="119">
        <v>108</v>
      </c>
      <c r="C235" s="120" t="s">
        <v>39</v>
      </c>
      <c r="D235" s="120" t="s">
        <v>40</v>
      </c>
      <c r="E235" s="121" t="s">
        <v>726</v>
      </c>
      <c r="F235" s="121" t="s">
        <v>727</v>
      </c>
      <c r="G235" s="121" t="s">
        <v>444</v>
      </c>
      <c r="H235" s="122">
        <v>115</v>
      </c>
      <c r="I235" s="120" t="s">
        <v>728</v>
      </c>
      <c r="J235" s="123">
        <v>7</v>
      </c>
      <c r="K235" s="120">
        <v>5</v>
      </c>
      <c r="L235" s="120">
        <v>2</v>
      </c>
      <c r="M235" s="120" t="s">
        <v>606</v>
      </c>
      <c r="N235" s="120">
        <v>0</v>
      </c>
      <c r="O235" s="124">
        <v>6440000</v>
      </c>
      <c r="P235" s="124">
        <v>9326304</v>
      </c>
      <c r="Q235" s="124">
        <v>0</v>
      </c>
      <c r="R235" s="125">
        <f t="shared" si="3"/>
        <v>15766304</v>
      </c>
      <c r="S235" s="126" t="s">
        <v>689</v>
      </c>
      <c r="T235" s="127" t="s">
        <v>729</v>
      </c>
      <c r="U235" s="128" t="s">
        <v>730</v>
      </c>
      <c r="V235" s="89"/>
      <c r="W235" s="90" t="s">
        <v>720</v>
      </c>
      <c r="X235" s="81"/>
      <c r="Y235" s="81"/>
      <c r="Z235" s="81"/>
      <c r="AA235" s="81"/>
      <c r="AB235" s="81"/>
      <c r="AC235" s="81"/>
      <c r="AD235" s="81"/>
      <c r="AE235" s="81"/>
    </row>
    <row r="236" spans="1:31" s="1" customFormat="1" ht="54">
      <c r="A236" s="118">
        <v>235</v>
      </c>
      <c r="B236" s="119">
        <v>108</v>
      </c>
      <c r="C236" s="120" t="s">
        <v>39</v>
      </c>
      <c r="D236" s="120" t="s">
        <v>40</v>
      </c>
      <c r="E236" s="121" t="s">
        <v>731</v>
      </c>
      <c r="F236" s="121" t="s">
        <v>732</v>
      </c>
      <c r="G236" s="121" t="s">
        <v>733</v>
      </c>
      <c r="H236" s="122">
        <v>53</v>
      </c>
      <c r="I236" s="120" t="s">
        <v>42</v>
      </c>
      <c r="J236" s="123">
        <v>8</v>
      </c>
      <c r="K236" s="120">
        <v>0</v>
      </c>
      <c r="L236" s="120">
        <v>4</v>
      </c>
      <c r="M236" s="120">
        <v>0</v>
      </c>
      <c r="N236" s="120">
        <v>0</v>
      </c>
      <c r="O236" s="124">
        <v>1696000</v>
      </c>
      <c r="P236" s="124">
        <v>54441600</v>
      </c>
      <c r="Q236" s="124">
        <v>0</v>
      </c>
      <c r="R236" s="125">
        <f t="shared" si="3"/>
        <v>56137600</v>
      </c>
      <c r="S236" s="126" t="s">
        <v>689</v>
      </c>
      <c r="T236" s="127" t="s">
        <v>734</v>
      </c>
      <c r="U236" s="128"/>
      <c r="V236" s="89"/>
      <c r="W236" s="90" t="s">
        <v>735</v>
      </c>
      <c r="X236" s="81"/>
      <c r="Y236" s="81"/>
      <c r="Z236" s="81"/>
      <c r="AA236" s="81"/>
      <c r="AB236" s="81"/>
      <c r="AC236" s="81"/>
      <c r="AD236" s="81"/>
      <c r="AE236" s="81"/>
    </row>
    <row r="237" spans="1:31" s="1" customFormat="1" ht="27">
      <c r="A237" s="118">
        <v>236</v>
      </c>
      <c r="B237" s="119">
        <v>108</v>
      </c>
      <c r="C237" s="120" t="s">
        <v>39</v>
      </c>
      <c r="D237" s="120" t="s">
        <v>40</v>
      </c>
      <c r="E237" s="121" t="s">
        <v>736</v>
      </c>
      <c r="F237" s="121" t="s">
        <v>737</v>
      </c>
      <c r="G237" s="121" t="s">
        <v>738</v>
      </c>
      <c r="H237" s="122">
        <v>27</v>
      </c>
      <c r="I237" s="120">
        <v>5</v>
      </c>
      <c r="J237" s="123">
        <v>8</v>
      </c>
      <c r="K237" s="120">
        <v>6</v>
      </c>
      <c r="L237" s="120">
        <v>0</v>
      </c>
      <c r="M237" s="120">
        <v>0</v>
      </c>
      <c r="N237" s="120">
        <v>0</v>
      </c>
      <c r="O237" s="124">
        <v>859200</v>
      </c>
      <c r="P237" s="124">
        <v>10321175</v>
      </c>
      <c r="Q237" s="124">
        <v>0</v>
      </c>
      <c r="R237" s="125">
        <f t="shared" si="3"/>
        <v>11180375</v>
      </c>
      <c r="S237" s="126" t="s">
        <v>683</v>
      </c>
      <c r="T237" s="127" t="s">
        <v>739</v>
      </c>
      <c r="U237" s="128" t="s">
        <v>740</v>
      </c>
      <c r="V237" s="89"/>
      <c r="W237" s="90" t="s">
        <v>350</v>
      </c>
      <c r="X237" s="81"/>
      <c r="Y237" s="81"/>
      <c r="Z237" s="81"/>
      <c r="AA237" s="81"/>
      <c r="AB237" s="81"/>
      <c r="AC237" s="81"/>
      <c r="AD237" s="81"/>
      <c r="AE237" s="81"/>
    </row>
    <row r="238" spans="1:31" s="1" customFormat="1" ht="54">
      <c r="A238" s="118">
        <v>237</v>
      </c>
      <c r="B238" s="119">
        <v>108</v>
      </c>
      <c r="C238" s="120" t="s">
        <v>39</v>
      </c>
      <c r="D238" s="120" t="s">
        <v>40</v>
      </c>
      <c r="E238" s="121" t="s">
        <v>741</v>
      </c>
      <c r="F238" s="121" t="s">
        <v>47</v>
      </c>
      <c r="G238" s="121" t="s">
        <v>742</v>
      </c>
      <c r="H238" s="122">
        <v>57</v>
      </c>
      <c r="I238" s="120">
        <v>5</v>
      </c>
      <c r="J238" s="123">
        <v>8</v>
      </c>
      <c r="K238" s="120">
        <v>1</v>
      </c>
      <c r="L238" s="120">
        <v>2</v>
      </c>
      <c r="M238" s="120">
        <v>0</v>
      </c>
      <c r="N238" s="120">
        <v>0</v>
      </c>
      <c r="O238" s="124">
        <v>1824000</v>
      </c>
      <c r="P238" s="124">
        <v>43129595</v>
      </c>
      <c r="Q238" s="124">
        <v>0</v>
      </c>
      <c r="R238" s="125">
        <f t="shared" si="3"/>
        <v>44953595</v>
      </c>
      <c r="S238" s="126" t="s">
        <v>689</v>
      </c>
      <c r="T238" s="127" t="s">
        <v>743</v>
      </c>
      <c r="U238" s="128"/>
      <c r="V238" s="89"/>
      <c r="W238" s="90" t="s">
        <v>710</v>
      </c>
      <c r="X238" s="81"/>
      <c r="Y238" s="81"/>
      <c r="Z238" s="81"/>
      <c r="AA238" s="81"/>
      <c r="AB238" s="81"/>
      <c r="AC238" s="81"/>
      <c r="AD238" s="81"/>
      <c r="AE238" s="81"/>
    </row>
    <row r="239" spans="1:31" s="1" customFormat="1" ht="40.5">
      <c r="A239" s="118">
        <v>238</v>
      </c>
      <c r="B239" s="119">
        <v>106</v>
      </c>
      <c r="C239" s="120" t="s">
        <v>39</v>
      </c>
      <c r="D239" s="120" t="s">
        <v>56</v>
      </c>
      <c r="E239" s="121" t="s">
        <v>744</v>
      </c>
      <c r="F239" s="121" t="s">
        <v>75</v>
      </c>
      <c r="G239" s="121" t="s">
        <v>745</v>
      </c>
      <c r="H239" s="122">
        <v>15</v>
      </c>
      <c r="I239" s="120">
        <v>2.5</v>
      </c>
      <c r="J239" s="123">
        <v>8</v>
      </c>
      <c r="K239" s="120">
        <v>0</v>
      </c>
      <c r="L239" s="120">
        <v>1</v>
      </c>
      <c r="M239" s="120">
        <v>0</v>
      </c>
      <c r="N239" s="120">
        <v>0</v>
      </c>
      <c r="O239" s="124">
        <v>480000</v>
      </c>
      <c r="P239" s="124">
        <v>1528320</v>
      </c>
      <c r="Q239" s="124">
        <v>0</v>
      </c>
      <c r="R239" s="125">
        <f t="shared" si="3"/>
        <v>2008320</v>
      </c>
      <c r="S239" s="126" t="s">
        <v>683</v>
      </c>
      <c r="T239" s="127" t="s">
        <v>746</v>
      </c>
      <c r="U239" s="128" t="s">
        <v>747</v>
      </c>
      <c r="V239" s="89"/>
      <c r="W239" s="90" t="s">
        <v>748</v>
      </c>
      <c r="X239" s="81"/>
      <c r="Y239" s="81"/>
      <c r="Z239" s="81"/>
      <c r="AA239" s="81"/>
      <c r="AB239" s="81"/>
      <c r="AC239" s="81"/>
      <c r="AD239" s="81"/>
      <c r="AE239" s="81"/>
    </row>
    <row r="240" spans="1:31" s="1" customFormat="1" ht="27">
      <c r="A240" s="118">
        <v>239</v>
      </c>
      <c r="B240" s="119">
        <v>108</v>
      </c>
      <c r="C240" s="120" t="s">
        <v>39</v>
      </c>
      <c r="D240" s="120" t="s">
        <v>56</v>
      </c>
      <c r="E240" s="121" t="s">
        <v>749</v>
      </c>
      <c r="F240" s="121" t="s">
        <v>750</v>
      </c>
      <c r="G240" s="121" t="s">
        <v>751</v>
      </c>
      <c r="H240" s="122">
        <v>23</v>
      </c>
      <c r="I240" s="120">
        <v>5</v>
      </c>
      <c r="J240" s="123">
        <v>8</v>
      </c>
      <c r="K240" s="120">
        <v>4</v>
      </c>
      <c r="L240" s="120">
        <v>0</v>
      </c>
      <c r="M240" s="120">
        <v>0</v>
      </c>
      <c r="N240" s="120">
        <v>0</v>
      </c>
      <c r="O240" s="124">
        <v>736000</v>
      </c>
      <c r="P240" s="124">
        <v>0</v>
      </c>
      <c r="Q240" s="124">
        <v>0</v>
      </c>
      <c r="R240" s="125">
        <f t="shared" si="3"/>
        <v>736000</v>
      </c>
      <c r="S240" s="126" t="s">
        <v>683</v>
      </c>
      <c r="T240" s="127" t="s">
        <v>752</v>
      </c>
      <c r="U240" s="128" t="s">
        <v>753</v>
      </c>
      <c r="V240" s="89"/>
      <c r="W240" s="90" t="s">
        <v>754</v>
      </c>
      <c r="X240" s="81"/>
      <c r="Y240" s="81"/>
      <c r="Z240" s="81"/>
      <c r="AA240" s="81"/>
      <c r="AB240" s="81"/>
      <c r="AC240" s="81"/>
      <c r="AD240" s="81"/>
      <c r="AE240" s="81"/>
    </row>
    <row r="241" spans="1:31" s="1" customFormat="1" ht="54">
      <c r="A241" s="118">
        <v>240</v>
      </c>
      <c r="B241" s="119">
        <v>108</v>
      </c>
      <c r="C241" s="120" t="s">
        <v>39</v>
      </c>
      <c r="D241" s="120" t="s">
        <v>56</v>
      </c>
      <c r="E241" s="121" t="s">
        <v>755</v>
      </c>
      <c r="F241" s="121" t="s">
        <v>756</v>
      </c>
      <c r="G241" s="121" t="s">
        <v>757</v>
      </c>
      <c r="H241" s="122">
        <v>43</v>
      </c>
      <c r="I241" s="120" t="s">
        <v>42</v>
      </c>
      <c r="J241" s="123">
        <v>8</v>
      </c>
      <c r="K241" s="120">
        <v>0</v>
      </c>
      <c r="L241" s="120">
        <v>4</v>
      </c>
      <c r="M241" s="120">
        <v>3</v>
      </c>
      <c r="N241" s="120">
        <v>0</v>
      </c>
      <c r="O241" s="124">
        <v>1376000</v>
      </c>
      <c r="P241" s="124">
        <v>46423308</v>
      </c>
      <c r="Q241" s="124">
        <v>6222408</v>
      </c>
      <c r="R241" s="125">
        <f t="shared" si="3"/>
        <v>54021716</v>
      </c>
      <c r="S241" s="126" t="s">
        <v>689</v>
      </c>
      <c r="T241" s="127" t="s">
        <v>758</v>
      </c>
      <c r="U241" s="128"/>
      <c r="V241" s="89"/>
      <c r="W241" s="90" t="s">
        <v>759</v>
      </c>
      <c r="X241" s="81"/>
      <c r="Y241" s="81"/>
      <c r="Z241" s="81"/>
      <c r="AA241" s="81"/>
      <c r="AB241" s="81"/>
      <c r="AC241" s="81"/>
      <c r="AD241" s="81"/>
      <c r="AE241" s="81"/>
    </row>
    <row r="242" spans="1:31" s="1" customFormat="1" ht="54">
      <c r="A242" s="118">
        <v>241</v>
      </c>
      <c r="B242" s="119">
        <v>108</v>
      </c>
      <c r="C242" s="120" t="s">
        <v>39</v>
      </c>
      <c r="D242" s="120" t="s">
        <v>56</v>
      </c>
      <c r="E242" s="121" t="s">
        <v>760</v>
      </c>
      <c r="F242" s="121" t="s">
        <v>761</v>
      </c>
      <c r="G242" s="121" t="s">
        <v>762</v>
      </c>
      <c r="H242" s="122">
        <v>82</v>
      </c>
      <c r="I242" s="120">
        <v>6</v>
      </c>
      <c r="J242" s="123">
        <v>8</v>
      </c>
      <c r="K242" s="120">
        <v>1</v>
      </c>
      <c r="L242" s="120">
        <v>3</v>
      </c>
      <c r="M242" s="120">
        <v>0</v>
      </c>
      <c r="N242" s="120">
        <v>0</v>
      </c>
      <c r="O242" s="124">
        <v>2624000</v>
      </c>
      <c r="P242" s="124">
        <v>38117011.200000003</v>
      </c>
      <c r="Q242" s="124">
        <v>0</v>
      </c>
      <c r="R242" s="125">
        <f t="shared" si="3"/>
        <v>40741011.200000003</v>
      </c>
      <c r="S242" s="126" t="s">
        <v>689</v>
      </c>
      <c r="T242" s="127" t="s">
        <v>763</v>
      </c>
      <c r="U242" s="128"/>
      <c r="V242" s="89"/>
      <c r="W242" s="90" t="s">
        <v>764</v>
      </c>
      <c r="X242" s="81"/>
      <c r="Y242" s="81"/>
      <c r="Z242" s="81"/>
      <c r="AA242" s="81"/>
      <c r="AB242" s="81"/>
      <c r="AC242" s="81"/>
      <c r="AD242" s="81"/>
      <c r="AE242" s="81"/>
    </row>
    <row r="243" spans="1:31" s="1" customFormat="1" ht="27">
      <c r="A243" s="118">
        <v>242</v>
      </c>
      <c r="B243" s="119">
        <v>108</v>
      </c>
      <c r="C243" s="120" t="s">
        <v>39</v>
      </c>
      <c r="D243" s="120" t="s">
        <v>56</v>
      </c>
      <c r="E243" s="121" t="s">
        <v>765</v>
      </c>
      <c r="F243" s="121" t="s">
        <v>766</v>
      </c>
      <c r="G243" s="121" t="s">
        <v>767</v>
      </c>
      <c r="H243" s="122">
        <v>30</v>
      </c>
      <c r="I243" s="120" t="s">
        <v>51</v>
      </c>
      <c r="J243" s="123">
        <v>10</v>
      </c>
      <c r="K243" s="120">
        <v>1</v>
      </c>
      <c r="L243" s="120">
        <v>2</v>
      </c>
      <c r="M243" s="120">
        <v>0</v>
      </c>
      <c r="N243" s="120">
        <v>1</v>
      </c>
      <c r="O243" s="124">
        <v>1200000</v>
      </c>
      <c r="P243" s="124">
        <v>4962816</v>
      </c>
      <c r="Q243" s="124">
        <v>1916239</v>
      </c>
      <c r="R243" s="125">
        <f t="shared" si="3"/>
        <v>8079055</v>
      </c>
      <c r="S243" s="126" t="s">
        <v>683</v>
      </c>
      <c r="T243" s="127" t="s">
        <v>768</v>
      </c>
      <c r="U243" s="128" t="s">
        <v>769</v>
      </c>
      <c r="V243" s="89"/>
      <c r="W243" s="90" t="s">
        <v>759</v>
      </c>
      <c r="X243" s="81"/>
      <c r="Y243" s="81"/>
      <c r="Z243" s="81"/>
      <c r="AA243" s="81"/>
      <c r="AB243" s="81"/>
      <c r="AC243" s="81"/>
      <c r="AD243" s="81"/>
      <c r="AE243" s="81"/>
    </row>
    <row r="244" spans="1:31" s="1" customFormat="1" ht="27">
      <c r="A244" s="118">
        <v>243</v>
      </c>
      <c r="B244" s="119">
        <v>108</v>
      </c>
      <c r="C244" s="120" t="s">
        <v>39</v>
      </c>
      <c r="D244" s="120" t="s">
        <v>56</v>
      </c>
      <c r="E244" s="121" t="s">
        <v>770</v>
      </c>
      <c r="F244" s="121" t="s">
        <v>771</v>
      </c>
      <c r="G244" s="121" t="s">
        <v>772</v>
      </c>
      <c r="H244" s="122">
        <v>50</v>
      </c>
      <c r="I244" s="120">
        <v>6</v>
      </c>
      <c r="J244" s="123">
        <v>15</v>
      </c>
      <c r="K244" s="120">
        <v>0</v>
      </c>
      <c r="L244" s="120">
        <v>4</v>
      </c>
      <c r="M244" s="120">
        <v>0</v>
      </c>
      <c r="N244" s="120">
        <v>1</v>
      </c>
      <c r="O244" s="124">
        <v>3000000</v>
      </c>
      <c r="P244" s="124">
        <v>7961359</v>
      </c>
      <c r="Q244" s="124">
        <v>363600</v>
      </c>
      <c r="R244" s="125">
        <f t="shared" si="3"/>
        <v>11324959</v>
      </c>
      <c r="S244" s="126" t="s">
        <v>683</v>
      </c>
      <c r="T244" s="127" t="s">
        <v>773</v>
      </c>
      <c r="U244" s="128"/>
      <c r="V244" s="89"/>
      <c r="W244" s="90" t="s">
        <v>754</v>
      </c>
      <c r="X244" s="81"/>
      <c r="Y244" s="81"/>
      <c r="Z244" s="81"/>
      <c r="AA244" s="81"/>
      <c r="AB244" s="81"/>
      <c r="AC244" s="81"/>
      <c r="AD244" s="81"/>
      <c r="AE244" s="81"/>
    </row>
    <row r="245" spans="1:31" s="1" customFormat="1" ht="27">
      <c r="A245" s="118">
        <v>244</v>
      </c>
      <c r="B245" s="119">
        <v>108</v>
      </c>
      <c r="C245" s="120" t="s">
        <v>39</v>
      </c>
      <c r="D245" s="120" t="s">
        <v>56</v>
      </c>
      <c r="E245" s="121" t="s">
        <v>774</v>
      </c>
      <c r="F245" s="121" t="s">
        <v>775</v>
      </c>
      <c r="G245" s="121"/>
      <c r="H245" s="122" t="s">
        <v>776</v>
      </c>
      <c r="I245" s="120">
        <v>4</v>
      </c>
      <c r="J245" s="123">
        <v>4</v>
      </c>
      <c r="K245" s="120">
        <v>0</v>
      </c>
      <c r="L245" s="120">
        <v>3</v>
      </c>
      <c r="M245" s="120">
        <v>0</v>
      </c>
      <c r="N245" s="120">
        <v>0</v>
      </c>
      <c r="O245" s="124">
        <v>2000000</v>
      </c>
      <c r="P245" s="124">
        <v>16063888</v>
      </c>
      <c r="Q245" s="124">
        <v>0</v>
      </c>
      <c r="R245" s="125">
        <f t="shared" si="3"/>
        <v>18063888</v>
      </c>
      <c r="S245" s="132" t="s">
        <v>777</v>
      </c>
      <c r="T245" s="127" t="s">
        <v>778</v>
      </c>
      <c r="U245" s="128"/>
      <c r="V245" s="89"/>
      <c r="W245" s="90" t="s">
        <v>779</v>
      </c>
      <c r="X245" s="81"/>
      <c r="Y245" s="81"/>
      <c r="Z245" s="81"/>
      <c r="AA245" s="81"/>
      <c r="AB245" s="81"/>
      <c r="AC245" s="81"/>
      <c r="AD245" s="81"/>
      <c r="AE245" s="81"/>
    </row>
    <row r="246" spans="1:31" s="1" customFormat="1" ht="27">
      <c r="A246" s="118">
        <v>245</v>
      </c>
      <c r="B246" s="119">
        <v>108</v>
      </c>
      <c r="C246" s="120" t="s">
        <v>39</v>
      </c>
      <c r="D246" s="120" t="s">
        <v>56</v>
      </c>
      <c r="E246" s="121" t="s">
        <v>780</v>
      </c>
      <c r="F246" s="121" t="s">
        <v>781</v>
      </c>
      <c r="G246" s="121" t="s">
        <v>782</v>
      </c>
      <c r="H246" s="122">
        <v>60</v>
      </c>
      <c r="I246" s="120" t="s">
        <v>42</v>
      </c>
      <c r="J246" s="123">
        <v>15</v>
      </c>
      <c r="K246" s="120">
        <v>4</v>
      </c>
      <c r="L246" s="120">
        <v>0</v>
      </c>
      <c r="M246" s="120">
        <v>1</v>
      </c>
      <c r="N246" s="120">
        <v>2</v>
      </c>
      <c r="O246" s="124">
        <v>3600000</v>
      </c>
      <c r="P246" s="124">
        <v>0</v>
      </c>
      <c r="Q246" s="124">
        <v>2850139</v>
      </c>
      <c r="R246" s="125">
        <f t="shared" si="3"/>
        <v>6450139</v>
      </c>
      <c r="S246" s="132" t="s">
        <v>783</v>
      </c>
      <c r="T246" s="127" t="s">
        <v>784</v>
      </c>
      <c r="U246" s="128" t="s">
        <v>785</v>
      </c>
      <c r="V246" s="89"/>
      <c r="W246" s="90" t="s">
        <v>786</v>
      </c>
      <c r="X246" s="81"/>
      <c r="Y246" s="81"/>
      <c r="Z246" s="81"/>
      <c r="AA246" s="81"/>
      <c r="AB246" s="81"/>
      <c r="AC246" s="81"/>
      <c r="AD246" s="81"/>
      <c r="AE246" s="81"/>
    </row>
    <row r="247" spans="1:31" s="1" customFormat="1" ht="27">
      <c r="A247" s="118">
        <v>246</v>
      </c>
      <c r="B247" s="119">
        <v>108</v>
      </c>
      <c r="C247" s="120" t="s">
        <v>39</v>
      </c>
      <c r="D247" s="120" t="s">
        <v>56</v>
      </c>
      <c r="E247" s="121" t="s">
        <v>787</v>
      </c>
      <c r="F247" s="121" t="s">
        <v>788</v>
      </c>
      <c r="G247" s="121"/>
      <c r="H247" s="122">
        <v>181</v>
      </c>
      <c r="I247" s="120">
        <v>5</v>
      </c>
      <c r="J247" s="123" t="s">
        <v>789</v>
      </c>
      <c r="K247" s="120">
        <v>0</v>
      </c>
      <c r="L247" s="120">
        <v>1</v>
      </c>
      <c r="M247" s="120" t="s">
        <v>606</v>
      </c>
      <c r="N247" s="120">
        <v>0</v>
      </c>
      <c r="O247" s="124">
        <v>11584000</v>
      </c>
      <c r="P247" s="124">
        <v>18766080</v>
      </c>
      <c r="Q247" s="124">
        <v>0</v>
      </c>
      <c r="R247" s="125">
        <f t="shared" si="3"/>
        <v>30350080</v>
      </c>
      <c r="S247" s="133" t="s">
        <v>790</v>
      </c>
      <c r="T247" s="127" t="s">
        <v>791</v>
      </c>
      <c r="U247" s="128"/>
      <c r="V247" s="89"/>
      <c r="W247" s="90"/>
      <c r="X247" s="81"/>
      <c r="Y247" s="81"/>
      <c r="Z247" s="81"/>
      <c r="AA247" s="81"/>
      <c r="AB247" s="81"/>
      <c r="AC247" s="81"/>
      <c r="AD247" s="81"/>
      <c r="AE247" s="81"/>
    </row>
    <row r="248" spans="1:31" s="1" customFormat="1" ht="54">
      <c r="A248" s="118">
        <v>247</v>
      </c>
      <c r="B248" s="119">
        <v>108</v>
      </c>
      <c r="C248" s="120" t="s">
        <v>39</v>
      </c>
      <c r="D248" s="120" t="s">
        <v>83</v>
      </c>
      <c r="E248" s="121" t="s">
        <v>792</v>
      </c>
      <c r="F248" s="121" t="s">
        <v>793</v>
      </c>
      <c r="G248" s="121"/>
      <c r="H248" s="134">
        <v>43</v>
      </c>
      <c r="I248" s="126" t="s">
        <v>728</v>
      </c>
      <c r="J248" s="135">
        <v>8</v>
      </c>
      <c r="K248" s="126">
        <v>8</v>
      </c>
      <c r="L248" s="126">
        <v>2</v>
      </c>
      <c r="M248" s="126">
        <v>9</v>
      </c>
      <c r="N248" s="126">
        <v>0</v>
      </c>
      <c r="O248" s="136">
        <v>1032000</v>
      </c>
      <c r="P248" s="137">
        <v>2181902</v>
      </c>
      <c r="Q248" s="137">
        <v>14948000</v>
      </c>
      <c r="R248" s="125">
        <f t="shared" si="3"/>
        <v>18161902</v>
      </c>
      <c r="S248" s="126" t="s">
        <v>718</v>
      </c>
      <c r="T248" s="127" t="s">
        <v>794</v>
      </c>
      <c r="U248" s="128"/>
      <c r="V248" s="89"/>
      <c r="W248" s="90" t="s">
        <v>795</v>
      </c>
      <c r="X248" s="81"/>
      <c r="Y248" s="81"/>
      <c r="Z248" s="81"/>
      <c r="AA248" s="81"/>
      <c r="AB248" s="81"/>
      <c r="AC248" s="81"/>
      <c r="AD248" s="81"/>
      <c r="AE248" s="81"/>
    </row>
    <row r="249" spans="1:31" s="1" customFormat="1" ht="67.5">
      <c r="A249" s="118">
        <v>248</v>
      </c>
      <c r="B249" s="119">
        <v>108</v>
      </c>
      <c r="C249" s="120" t="s">
        <v>39</v>
      </c>
      <c r="D249" s="120" t="s">
        <v>83</v>
      </c>
      <c r="E249" s="121" t="s">
        <v>796</v>
      </c>
      <c r="F249" s="121" t="s">
        <v>797</v>
      </c>
      <c r="G249" s="121" t="s">
        <v>798</v>
      </c>
      <c r="H249" s="122">
        <v>30</v>
      </c>
      <c r="I249" s="120" t="s">
        <v>42</v>
      </c>
      <c r="J249" s="123">
        <v>8</v>
      </c>
      <c r="K249" s="120">
        <v>11</v>
      </c>
      <c r="L249" s="120">
        <v>1</v>
      </c>
      <c r="M249" s="120">
        <v>1</v>
      </c>
      <c r="N249" s="120">
        <v>0</v>
      </c>
      <c r="O249" s="124">
        <v>960000</v>
      </c>
      <c r="P249" s="124">
        <v>9493152</v>
      </c>
      <c r="Q249" s="124">
        <v>3038160</v>
      </c>
      <c r="R249" s="125">
        <f t="shared" si="3"/>
        <v>13491312</v>
      </c>
      <c r="S249" s="126" t="s">
        <v>689</v>
      </c>
      <c r="T249" s="127" t="s">
        <v>799</v>
      </c>
      <c r="U249" s="138" t="s">
        <v>800</v>
      </c>
      <c r="V249" s="89"/>
      <c r="W249" s="90" t="s">
        <v>801</v>
      </c>
      <c r="X249" s="81"/>
      <c r="Y249" s="81"/>
      <c r="Z249" s="81"/>
      <c r="AA249" s="81"/>
      <c r="AB249" s="81"/>
      <c r="AC249" s="81"/>
      <c r="AD249" s="81"/>
      <c r="AE249" s="81"/>
    </row>
    <row r="250" spans="1:31" s="1" customFormat="1" ht="54">
      <c r="A250" s="118">
        <v>249</v>
      </c>
      <c r="B250" s="119">
        <v>108</v>
      </c>
      <c r="C250" s="120" t="s">
        <v>39</v>
      </c>
      <c r="D250" s="120" t="s">
        <v>83</v>
      </c>
      <c r="E250" s="121" t="s">
        <v>802</v>
      </c>
      <c r="F250" s="121" t="s">
        <v>803</v>
      </c>
      <c r="G250" s="121" t="s">
        <v>804</v>
      </c>
      <c r="H250" s="122">
        <v>35</v>
      </c>
      <c r="I250" s="120" t="s">
        <v>42</v>
      </c>
      <c r="J250" s="123">
        <v>10</v>
      </c>
      <c r="K250" s="120">
        <v>0</v>
      </c>
      <c r="L250" s="120">
        <v>6</v>
      </c>
      <c r="M250" s="120">
        <v>0</v>
      </c>
      <c r="N250" s="120">
        <v>1</v>
      </c>
      <c r="O250" s="124">
        <v>1400000</v>
      </c>
      <c r="P250" s="124">
        <v>14836666</v>
      </c>
      <c r="Q250" s="124">
        <v>1195274</v>
      </c>
      <c r="R250" s="125">
        <f t="shared" si="3"/>
        <v>17431940</v>
      </c>
      <c r="S250" s="132" t="s">
        <v>805</v>
      </c>
      <c r="T250" s="127" t="s">
        <v>806</v>
      </c>
      <c r="U250" s="128"/>
      <c r="V250" s="89"/>
      <c r="W250" s="90" t="s">
        <v>807</v>
      </c>
      <c r="X250" s="81"/>
      <c r="Y250" s="81"/>
      <c r="Z250" s="81"/>
      <c r="AA250" s="81"/>
      <c r="AB250" s="81"/>
      <c r="AC250" s="81"/>
      <c r="AD250" s="81"/>
      <c r="AE250" s="81"/>
    </row>
    <row r="251" spans="1:31" s="1" customFormat="1" ht="27">
      <c r="A251" s="118">
        <v>250</v>
      </c>
      <c r="B251" s="119">
        <v>108</v>
      </c>
      <c r="C251" s="120" t="s">
        <v>39</v>
      </c>
      <c r="D251" s="120" t="s">
        <v>108</v>
      </c>
      <c r="E251" s="121" t="s">
        <v>808</v>
      </c>
      <c r="F251" s="121" t="s">
        <v>809</v>
      </c>
      <c r="G251" s="121" t="s">
        <v>810</v>
      </c>
      <c r="H251" s="122">
        <v>30</v>
      </c>
      <c r="I251" s="126" t="s">
        <v>42</v>
      </c>
      <c r="J251" s="123">
        <v>8</v>
      </c>
      <c r="K251" s="120">
        <v>4</v>
      </c>
      <c r="L251" s="120">
        <v>0</v>
      </c>
      <c r="M251" s="120">
        <v>0</v>
      </c>
      <c r="N251" s="120">
        <v>0</v>
      </c>
      <c r="O251" s="124">
        <v>960000</v>
      </c>
      <c r="P251" s="124">
        <v>0</v>
      </c>
      <c r="Q251" s="124">
        <v>0</v>
      </c>
      <c r="R251" s="125">
        <f t="shared" si="3"/>
        <v>960000</v>
      </c>
      <c r="S251" s="126" t="s">
        <v>683</v>
      </c>
      <c r="T251" s="127" t="s">
        <v>811</v>
      </c>
      <c r="U251" s="128" t="s">
        <v>812</v>
      </c>
      <c r="V251" s="89"/>
      <c r="W251" s="90" t="s">
        <v>813</v>
      </c>
      <c r="X251" s="81"/>
      <c r="Y251" s="81"/>
      <c r="Z251" s="81"/>
      <c r="AA251" s="81"/>
      <c r="AB251" s="81"/>
      <c r="AC251" s="81"/>
      <c r="AD251" s="81"/>
      <c r="AE251" s="81"/>
    </row>
    <row r="252" spans="1:31" s="1" customFormat="1" ht="15.75">
      <c r="A252" s="118">
        <v>251</v>
      </c>
      <c r="B252" s="119">
        <v>108</v>
      </c>
      <c r="C252" s="120" t="s">
        <v>39</v>
      </c>
      <c r="D252" s="120" t="s">
        <v>108</v>
      </c>
      <c r="E252" s="121" t="s">
        <v>814</v>
      </c>
      <c r="F252" s="121" t="s">
        <v>815</v>
      </c>
      <c r="G252" s="121" t="s">
        <v>816</v>
      </c>
      <c r="H252" s="122">
        <v>10</v>
      </c>
      <c r="I252" s="126">
        <v>4</v>
      </c>
      <c r="J252" s="123">
        <v>6</v>
      </c>
      <c r="K252" s="120">
        <v>0</v>
      </c>
      <c r="L252" s="120">
        <v>2</v>
      </c>
      <c r="M252" s="120">
        <v>1</v>
      </c>
      <c r="N252" s="120" t="s">
        <v>817</v>
      </c>
      <c r="O252" s="124">
        <v>240000</v>
      </c>
      <c r="P252" s="124">
        <v>620450</v>
      </c>
      <c r="Q252" s="124">
        <v>1473000</v>
      </c>
      <c r="R252" s="125">
        <f t="shared" si="3"/>
        <v>2333450</v>
      </c>
      <c r="S252" s="126"/>
      <c r="T252" s="127" t="s">
        <v>818</v>
      </c>
      <c r="U252" s="128"/>
      <c r="V252" s="89"/>
      <c r="W252" s="90" t="s">
        <v>819</v>
      </c>
      <c r="X252" s="81"/>
      <c r="Y252" s="81"/>
      <c r="Z252" s="81"/>
      <c r="AA252" s="81"/>
      <c r="AB252" s="81"/>
      <c r="AC252" s="81"/>
      <c r="AD252" s="81"/>
      <c r="AE252" s="81"/>
    </row>
    <row r="253" spans="1:31" s="1" customFormat="1" ht="40.5">
      <c r="A253" s="118">
        <v>252</v>
      </c>
      <c r="B253" s="119">
        <v>108</v>
      </c>
      <c r="C253" s="120" t="s">
        <v>39</v>
      </c>
      <c r="D253" s="120" t="s">
        <v>108</v>
      </c>
      <c r="E253" s="121" t="s">
        <v>820</v>
      </c>
      <c r="F253" s="121" t="s">
        <v>821</v>
      </c>
      <c r="G253" s="121" t="s">
        <v>822</v>
      </c>
      <c r="H253" s="122">
        <v>114</v>
      </c>
      <c r="I253" s="126">
        <v>4</v>
      </c>
      <c r="J253" s="123">
        <v>6</v>
      </c>
      <c r="K253" s="120">
        <v>0</v>
      </c>
      <c r="L253" s="120">
        <v>12</v>
      </c>
      <c r="M253" s="120" t="s">
        <v>606</v>
      </c>
      <c r="N253" s="120" t="s">
        <v>817</v>
      </c>
      <c r="O253" s="124">
        <v>2736000</v>
      </c>
      <c r="P253" s="124">
        <v>5171040</v>
      </c>
      <c r="Q253" s="124">
        <v>500000</v>
      </c>
      <c r="R253" s="125">
        <f t="shared" si="3"/>
        <v>8407040</v>
      </c>
      <c r="S253" s="126" t="s">
        <v>683</v>
      </c>
      <c r="T253" s="127" t="s">
        <v>823</v>
      </c>
      <c r="U253" s="128"/>
      <c r="V253" s="89"/>
      <c r="W253" s="90" t="s">
        <v>819</v>
      </c>
      <c r="X253" s="81"/>
      <c r="Y253" s="81"/>
      <c r="Z253" s="81"/>
      <c r="AA253" s="81"/>
      <c r="AB253" s="81"/>
      <c r="AC253" s="81"/>
      <c r="AD253" s="81"/>
      <c r="AE253" s="81"/>
    </row>
    <row r="254" spans="1:31" s="1" customFormat="1" ht="40.5">
      <c r="A254" s="118">
        <v>253</v>
      </c>
      <c r="B254" s="119">
        <v>108</v>
      </c>
      <c r="C254" s="120" t="s">
        <v>39</v>
      </c>
      <c r="D254" s="120" t="s">
        <v>117</v>
      </c>
      <c r="E254" s="121" t="s">
        <v>824</v>
      </c>
      <c r="F254" s="121" t="s">
        <v>825</v>
      </c>
      <c r="G254" s="121" t="s">
        <v>826</v>
      </c>
      <c r="H254" s="122">
        <v>30</v>
      </c>
      <c r="I254" s="126" t="s">
        <v>42</v>
      </c>
      <c r="J254" s="123">
        <v>6</v>
      </c>
      <c r="K254" s="120">
        <v>5</v>
      </c>
      <c r="L254" s="120">
        <v>1</v>
      </c>
      <c r="M254" s="120">
        <v>0</v>
      </c>
      <c r="N254" s="120">
        <v>0</v>
      </c>
      <c r="O254" s="124" t="s">
        <v>827</v>
      </c>
      <c r="P254" s="124">
        <v>691200</v>
      </c>
      <c r="Q254" s="124">
        <v>0</v>
      </c>
      <c r="R254" s="125">
        <f t="shared" si="3"/>
        <v>691200</v>
      </c>
      <c r="S254" s="126" t="s">
        <v>783</v>
      </c>
      <c r="T254" s="127" t="s">
        <v>828</v>
      </c>
      <c r="U254" s="128" t="s">
        <v>829</v>
      </c>
      <c r="V254" s="89"/>
      <c r="W254" s="90" t="s">
        <v>120</v>
      </c>
      <c r="X254" s="81"/>
      <c r="Y254" s="81"/>
      <c r="Z254" s="81"/>
      <c r="AA254" s="81"/>
      <c r="AB254" s="81"/>
      <c r="AC254" s="81"/>
      <c r="AD254" s="81"/>
      <c r="AE254" s="81"/>
    </row>
    <row r="255" spans="1:31" s="1" customFormat="1" ht="15.75">
      <c r="A255" s="118">
        <v>254</v>
      </c>
      <c r="B255" s="119">
        <v>108</v>
      </c>
      <c r="C255" s="120" t="s">
        <v>39</v>
      </c>
      <c r="D255" s="120" t="s">
        <v>117</v>
      </c>
      <c r="E255" s="121" t="s">
        <v>830</v>
      </c>
      <c r="F255" s="121" t="s">
        <v>831</v>
      </c>
      <c r="G255" s="121" t="s">
        <v>832</v>
      </c>
      <c r="H255" s="122">
        <v>50</v>
      </c>
      <c r="I255" s="126" t="s">
        <v>42</v>
      </c>
      <c r="J255" s="123">
        <v>12</v>
      </c>
      <c r="K255" s="120">
        <v>1</v>
      </c>
      <c r="L255" s="120">
        <v>7</v>
      </c>
      <c r="M255" s="120">
        <v>0</v>
      </c>
      <c r="N255" s="120">
        <v>0</v>
      </c>
      <c r="O255" s="124">
        <v>2400000</v>
      </c>
      <c r="P255" s="124">
        <v>8568000</v>
      </c>
      <c r="Q255" s="124">
        <v>0</v>
      </c>
      <c r="R255" s="125">
        <f t="shared" si="3"/>
        <v>10968000</v>
      </c>
      <c r="S255" s="126"/>
      <c r="T255" s="127" t="s">
        <v>833</v>
      </c>
      <c r="U255" s="128"/>
      <c r="V255" s="89"/>
      <c r="W255" s="90" t="s">
        <v>834</v>
      </c>
      <c r="X255" s="81"/>
      <c r="Y255" s="81"/>
      <c r="Z255" s="81"/>
      <c r="AA255" s="81"/>
      <c r="AB255" s="81"/>
      <c r="AC255" s="81"/>
      <c r="AD255" s="81"/>
      <c r="AE255" s="81"/>
    </row>
    <row r="256" spans="1:31" s="1" customFormat="1" ht="27">
      <c r="A256" s="118">
        <v>255</v>
      </c>
      <c r="B256" s="119">
        <v>108</v>
      </c>
      <c r="C256" s="120" t="s">
        <v>39</v>
      </c>
      <c r="D256" s="120" t="s">
        <v>117</v>
      </c>
      <c r="E256" s="121" t="s">
        <v>835</v>
      </c>
      <c r="F256" s="121" t="s">
        <v>836</v>
      </c>
      <c r="G256" s="121" t="s">
        <v>837</v>
      </c>
      <c r="H256" s="122">
        <v>173</v>
      </c>
      <c r="I256" s="120" t="s">
        <v>838</v>
      </c>
      <c r="J256" s="123">
        <v>12</v>
      </c>
      <c r="K256" s="120">
        <v>1</v>
      </c>
      <c r="L256" s="120">
        <v>13</v>
      </c>
      <c r="M256" s="120">
        <v>1</v>
      </c>
      <c r="N256" s="120">
        <v>0</v>
      </c>
      <c r="O256" s="124">
        <v>8304000</v>
      </c>
      <c r="P256" s="124">
        <v>51069600</v>
      </c>
      <c r="Q256" s="124">
        <v>6387240</v>
      </c>
      <c r="R256" s="125">
        <f t="shared" si="3"/>
        <v>65760840</v>
      </c>
      <c r="S256" s="132" t="s">
        <v>783</v>
      </c>
      <c r="T256" s="127" t="s">
        <v>839</v>
      </c>
      <c r="U256" s="128"/>
      <c r="V256" s="89"/>
      <c r="W256" s="90" t="s">
        <v>834</v>
      </c>
      <c r="X256" s="81"/>
      <c r="Y256" s="81"/>
      <c r="Z256" s="81"/>
      <c r="AA256" s="81"/>
      <c r="AB256" s="81"/>
      <c r="AC256" s="81"/>
      <c r="AD256" s="81"/>
      <c r="AE256" s="81"/>
    </row>
    <row r="257" spans="1:31" s="1" customFormat="1" ht="54">
      <c r="A257" s="118">
        <v>256</v>
      </c>
      <c r="B257" s="119">
        <v>108</v>
      </c>
      <c r="C257" s="120" t="s">
        <v>39</v>
      </c>
      <c r="D257" s="120" t="s">
        <v>117</v>
      </c>
      <c r="E257" s="121" t="s">
        <v>840</v>
      </c>
      <c r="F257" s="121" t="s">
        <v>841</v>
      </c>
      <c r="G257" s="121" t="s">
        <v>842</v>
      </c>
      <c r="H257" s="122">
        <v>20</v>
      </c>
      <c r="I257" s="120" t="s">
        <v>42</v>
      </c>
      <c r="J257" s="123">
        <v>5</v>
      </c>
      <c r="K257" s="120">
        <v>2</v>
      </c>
      <c r="L257" s="120">
        <v>0</v>
      </c>
      <c r="M257" s="120">
        <v>1</v>
      </c>
      <c r="N257" s="120">
        <v>0</v>
      </c>
      <c r="O257" s="124">
        <v>400000</v>
      </c>
      <c r="P257" s="124">
        <v>0</v>
      </c>
      <c r="Q257" s="124">
        <v>1878802</v>
      </c>
      <c r="R257" s="125">
        <f t="shared" si="3"/>
        <v>2278802</v>
      </c>
      <c r="S257" s="132" t="s">
        <v>783</v>
      </c>
      <c r="T257" s="127" t="s">
        <v>843</v>
      </c>
      <c r="U257" s="128"/>
      <c r="V257" s="89"/>
      <c r="W257" s="90" t="s">
        <v>834</v>
      </c>
      <c r="X257" s="81"/>
      <c r="Y257" s="81"/>
      <c r="Z257" s="81"/>
      <c r="AA257" s="81"/>
      <c r="AB257" s="81"/>
      <c r="AC257" s="81"/>
      <c r="AD257" s="81"/>
      <c r="AE257" s="81"/>
    </row>
    <row r="258" spans="1:31" s="1" customFormat="1" ht="27">
      <c r="A258" s="118">
        <v>257</v>
      </c>
      <c r="B258" s="119">
        <v>108</v>
      </c>
      <c r="C258" s="120" t="s">
        <v>39</v>
      </c>
      <c r="D258" s="120" t="s">
        <v>117</v>
      </c>
      <c r="E258" s="121" t="s">
        <v>844</v>
      </c>
      <c r="F258" s="121" t="s">
        <v>845</v>
      </c>
      <c r="G258" s="121"/>
      <c r="H258" s="122">
        <v>19</v>
      </c>
      <c r="I258" s="120">
        <v>4.8</v>
      </c>
      <c r="J258" s="123">
        <v>6</v>
      </c>
      <c r="K258" s="120">
        <v>2</v>
      </c>
      <c r="L258" s="120">
        <v>0</v>
      </c>
      <c r="M258" s="120">
        <v>0</v>
      </c>
      <c r="N258" s="120">
        <v>0</v>
      </c>
      <c r="O258" s="124">
        <v>1170000</v>
      </c>
      <c r="P258" s="124">
        <v>0</v>
      </c>
      <c r="Q258" s="124">
        <v>0</v>
      </c>
      <c r="R258" s="125">
        <f t="shared" si="3"/>
        <v>1170000</v>
      </c>
      <c r="S258" s="132" t="s">
        <v>783</v>
      </c>
      <c r="T258" s="127" t="s">
        <v>846</v>
      </c>
      <c r="U258" s="128" t="s">
        <v>847</v>
      </c>
      <c r="V258" s="89"/>
      <c r="W258" s="90" t="s">
        <v>834</v>
      </c>
      <c r="X258" s="81"/>
      <c r="Y258" s="81"/>
      <c r="Z258" s="81"/>
      <c r="AA258" s="81"/>
      <c r="AB258" s="81"/>
      <c r="AC258" s="81"/>
      <c r="AD258" s="81"/>
      <c r="AE258" s="81"/>
    </row>
    <row r="259" spans="1:31" s="1" customFormat="1" ht="40.5">
      <c r="A259" s="118">
        <v>258</v>
      </c>
      <c r="B259" s="119">
        <v>108</v>
      </c>
      <c r="C259" s="120" t="s">
        <v>39</v>
      </c>
      <c r="D259" s="120" t="s">
        <v>117</v>
      </c>
      <c r="E259" s="121" t="s">
        <v>848</v>
      </c>
      <c r="F259" s="121" t="s">
        <v>849</v>
      </c>
      <c r="G259" s="121" t="s">
        <v>850</v>
      </c>
      <c r="H259" s="122">
        <v>15</v>
      </c>
      <c r="I259" s="120">
        <v>5</v>
      </c>
      <c r="J259" s="123">
        <v>8</v>
      </c>
      <c r="K259" s="120">
        <v>9</v>
      </c>
      <c r="L259" s="120">
        <v>3</v>
      </c>
      <c r="M259" s="120">
        <v>0</v>
      </c>
      <c r="N259" s="120">
        <v>0</v>
      </c>
      <c r="O259" s="124">
        <v>1875000</v>
      </c>
      <c r="P259" s="124">
        <v>0</v>
      </c>
      <c r="Q259" s="124">
        <v>0</v>
      </c>
      <c r="R259" s="125">
        <f t="shared" si="3"/>
        <v>1875000</v>
      </c>
      <c r="S259" s="132" t="s">
        <v>783</v>
      </c>
      <c r="T259" s="127" t="s">
        <v>851</v>
      </c>
      <c r="U259" s="128" t="s">
        <v>852</v>
      </c>
      <c r="V259" s="89"/>
      <c r="W259" s="90" t="s">
        <v>853</v>
      </c>
      <c r="X259" s="81"/>
      <c r="Y259" s="81"/>
      <c r="Z259" s="81"/>
      <c r="AA259" s="81"/>
      <c r="AB259" s="81"/>
      <c r="AC259" s="81"/>
      <c r="AD259" s="81"/>
      <c r="AE259" s="81"/>
    </row>
    <row r="260" spans="1:31" s="1" customFormat="1" ht="27">
      <c r="A260" s="118">
        <v>259</v>
      </c>
      <c r="B260" s="119">
        <v>108</v>
      </c>
      <c r="C260" s="120" t="s">
        <v>39</v>
      </c>
      <c r="D260" s="120" t="s">
        <v>117</v>
      </c>
      <c r="E260" s="121" t="s">
        <v>854</v>
      </c>
      <c r="F260" s="121" t="s">
        <v>855</v>
      </c>
      <c r="G260" s="121" t="s">
        <v>856</v>
      </c>
      <c r="H260" s="122">
        <v>50</v>
      </c>
      <c r="I260" s="120" t="s">
        <v>857</v>
      </c>
      <c r="J260" s="123">
        <v>6</v>
      </c>
      <c r="K260" s="120">
        <v>0</v>
      </c>
      <c r="L260" s="120">
        <v>2</v>
      </c>
      <c r="M260" s="120">
        <v>0</v>
      </c>
      <c r="N260" s="120">
        <v>0</v>
      </c>
      <c r="O260" s="124">
        <v>1202587</v>
      </c>
      <c r="P260" s="124">
        <v>139200</v>
      </c>
      <c r="Q260" s="124">
        <v>0</v>
      </c>
      <c r="R260" s="125">
        <f t="shared" si="3"/>
        <v>1341787</v>
      </c>
      <c r="S260" s="133" t="s">
        <v>858</v>
      </c>
      <c r="T260" s="127" t="s">
        <v>859</v>
      </c>
      <c r="U260" s="128" t="s">
        <v>860</v>
      </c>
      <c r="V260" s="89"/>
      <c r="W260" s="90"/>
      <c r="X260" s="81"/>
      <c r="Y260" s="81"/>
      <c r="Z260" s="81"/>
      <c r="AA260" s="81"/>
      <c r="AB260" s="81"/>
      <c r="AC260" s="81"/>
      <c r="AD260" s="81"/>
      <c r="AE260" s="81"/>
    </row>
    <row r="261" spans="1:31" s="1" customFormat="1" ht="27">
      <c r="A261" s="118">
        <v>260</v>
      </c>
      <c r="B261" s="119">
        <v>108</v>
      </c>
      <c r="C261" s="120" t="s">
        <v>39</v>
      </c>
      <c r="D261" s="120" t="s">
        <v>121</v>
      </c>
      <c r="E261" s="121" t="s">
        <v>861</v>
      </c>
      <c r="F261" s="121" t="s">
        <v>862</v>
      </c>
      <c r="G261" s="121" t="s">
        <v>863</v>
      </c>
      <c r="H261" s="122">
        <v>20</v>
      </c>
      <c r="I261" s="120">
        <v>8</v>
      </c>
      <c r="J261" s="123">
        <v>20</v>
      </c>
      <c r="K261" s="120">
        <v>0</v>
      </c>
      <c r="L261" s="120">
        <v>0</v>
      </c>
      <c r="M261" s="120">
        <v>0</v>
      </c>
      <c r="N261" s="120">
        <v>0</v>
      </c>
      <c r="O261" s="124">
        <v>1600000</v>
      </c>
      <c r="P261" s="124">
        <v>5302080</v>
      </c>
      <c r="Q261" s="124">
        <v>0</v>
      </c>
      <c r="R261" s="125">
        <f t="shared" si="3"/>
        <v>6902080</v>
      </c>
      <c r="S261" s="132" t="s">
        <v>783</v>
      </c>
      <c r="T261" s="127" t="s">
        <v>864</v>
      </c>
      <c r="U261" s="128" t="s">
        <v>865</v>
      </c>
      <c r="V261" s="89"/>
      <c r="W261" s="90" t="s">
        <v>866</v>
      </c>
      <c r="X261" s="81"/>
      <c r="Y261" s="81"/>
      <c r="Z261" s="81"/>
      <c r="AA261" s="81"/>
      <c r="AB261" s="81"/>
      <c r="AC261" s="81"/>
      <c r="AD261" s="81"/>
      <c r="AE261" s="81"/>
    </row>
    <row r="262" spans="1:31" s="1" customFormat="1" ht="67.5">
      <c r="A262" s="118">
        <v>261</v>
      </c>
      <c r="B262" s="119">
        <v>108</v>
      </c>
      <c r="C262" s="120" t="s">
        <v>39</v>
      </c>
      <c r="D262" s="120" t="s">
        <v>137</v>
      </c>
      <c r="E262" s="121" t="s">
        <v>867</v>
      </c>
      <c r="F262" s="121" t="s">
        <v>868</v>
      </c>
      <c r="G262" s="121"/>
      <c r="H262" s="122">
        <v>25</v>
      </c>
      <c r="I262" s="120" t="s">
        <v>42</v>
      </c>
      <c r="J262" s="123">
        <v>10</v>
      </c>
      <c r="K262" s="120">
        <v>0</v>
      </c>
      <c r="L262" s="120">
        <v>4</v>
      </c>
      <c r="M262" s="120">
        <v>0</v>
      </c>
      <c r="N262" s="120">
        <v>0</v>
      </c>
      <c r="O262" s="124">
        <v>1000000</v>
      </c>
      <c r="P262" s="124">
        <v>5383723</v>
      </c>
      <c r="Q262" s="124">
        <v>0</v>
      </c>
      <c r="R262" s="125">
        <f t="shared" si="3"/>
        <v>6383723</v>
      </c>
      <c r="S262" s="132" t="s">
        <v>783</v>
      </c>
      <c r="T262" s="127" t="s">
        <v>869</v>
      </c>
      <c r="U262" s="128" t="s">
        <v>870</v>
      </c>
      <c r="V262" s="89"/>
      <c r="W262" s="90" t="s">
        <v>871</v>
      </c>
      <c r="X262" s="81"/>
      <c r="Y262" s="81"/>
      <c r="Z262" s="81"/>
      <c r="AA262" s="81"/>
      <c r="AB262" s="81"/>
      <c r="AC262" s="81"/>
      <c r="AD262" s="81"/>
      <c r="AE262" s="81"/>
    </row>
    <row r="263" spans="1:31" s="1" customFormat="1" ht="27">
      <c r="A263" s="118">
        <v>262</v>
      </c>
      <c r="B263" s="119">
        <v>108</v>
      </c>
      <c r="C263" s="120" t="s">
        <v>39</v>
      </c>
      <c r="D263" s="120" t="s">
        <v>137</v>
      </c>
      <c r="E263" s="121" t="s">
        <v>872</v>
      </c>
      <c r="F263" s="121" t="s">
        <v>873</v>
      </c>
      <c r="G263" s="121" t="s">
        <v>874</v>
      </c>
      <c r="H263" s="122">
        <v>50</v>
      </c>
      <c r="I263" s="120" t="s">
        <v>164</v>
      </c>
      <c r="J263" s="123">
        <v>8</v>
      </c>
      <c r="K263" s="120">
        <v>0</v>
      </c>
      <c r="L263" s="120">
        <v>1</v>
      </c>
      <c r="M263" s="120">
        <v>1</v>
      </c>
      <c r="N263" s="120">
        <v>0</v>
      </c>
      <c r="O263" s="124">
        <v>2000000</v>
      </c>
      <c r="P263" s="124">
        <v>3082250</v>
      </c>
      <c r="Q263" s="124">
        <v>4526820</v>
      </c>
      <c r="R263" s="124">
        <f t="shared" si="3"/>
        <v>9609070</v>
      </c>
      <c r="S263" s="126" t="s">
        <v>683</v>
      </c>
      <c r="T263" s="127" t="s">
        <v>875</v>
      </c>
      <c r="U263" s="128"/>
      <c r="V263" s="89"/>
      <c r="W263" s="90" t="s">
        <v>143</v>
      </c>
      <c r="X263" s="81"/>
      <c r="Y263" s="81"/>
      <c r="Z263" s="81"/>
      <c r="AA263" s="81"/>
      <c r="AB263" s="81"/>
      <c r="AC263" s="81"/>
      <c r="AD263" s="81"/>
      <c r="AE263" s="81"/>
    </row>
    <row r="264" spans="1:31" s="1" customFormat="1" ht="40.5">
      <c r="A264" s="118">
        <v>263</v>
      </c>
      <c r="B264" s="119">
        <v>108</v>
      </c>
      <c r="C264" s="120" t="s">
        <v>39</v>
      </c>
      <c r="D264" s="120" t="s">
        <v>137</v>
      </c>
      <c r="E264" s="121" t="s">
        <v>876</v>
      </c>
      <c r="F264" s="121" t="s">
        <v>877</v>
      </c>
      <c r="G264" s="121" t="s">
        <v>874</v>
      </c>
      <c r="H264" s="122">
        <v>33</v>
      </c>
      <c r="I264" s="120">
        <v>4</v>
      </c>
      <c r="J264" s="123">
        <v>8</v>
      </c>
      <c r="K264" s="120">
        <v>1</v>
      </c>
      <c r="L264" s="120">
        <v>2</v>
      </c>
      <c r="M264" s="120">
        <v>0</v>
      </c>
      <c r="N264" s="120">
        <v>1</v>
      </c>
      <c r="O264" s="124">
        <v>1056000</v>
      </c>
      <c r="P264" s="124">
        <v>3764904</v>
      </c>
      <c r="Q264" s="124">
        <v>1281993</v>
      </c>
      <c r="R264" s="124">
        <f t="shared" si="3"/>
        <v>6102897</v>
      </c>
      <c r="S264" s="132" t="s">
        <v>783</v>
      </c>
      <c r="T264" s="127" t="s">
        <v>878</v>
      </c>
      <c r="U264" s="128"/>
      <c r="V264" s="89"/>
      <c r="W264" s="90" t="s">
        <v>879</v>
      </c>
      <c r="X264" s="81"/>
      <c r="Y264" s="81"/>
      <c r="Z264" s="81"/>
      <c r="AA264" s="81"/>
      <c r="AB264" s="81"/>
      <c r="AC264" s="81"/>
      <c r="AD264" s="81"/>
      <c r="AE264" s="81"/>
    </row>
    <row r="265" spans="1:31" s="1" customFormat="1" ht="54">
      <c r="A265" s="118">
        <v>264</v>
      </c>
      <c r="B265" s="119">
        <v>108</v>
      </c>
      <c r="C265" s="120" t="s">
        <v>39</v>
      </c>
      <c r="D265" s="120" t="s">
        <v>147</v>
      </c>
      <c r="E265" s="121" t="s">
        <v>880</v>
      </c>
      <c r="F265" s="121" t="s">
        <v>881</v>
      </c>
      <c r="G265" s="121" t="s">
        <v>882</v>
      </c>
      <c r="H265" s="122">
        <v>45</v>
      </c>
      <c r="I265" s="120" t="s">
        <v>42</v>
      </c>
      <c r="J265" s="123">
        <v>8</v>
      </c>
      <c r="K265" s="120">
        <v>5</v>
      </c>
      <c r="L265" s="120">
        <v>7</v>
      </c>
      <c r="M265" s="120">
        <v>1</v>
      </c>
      <c r="N265" s="120">
        <v>1</v>
      </c>
      <c r="O265" s="124">
        <v>1908000</v>
      </c>
      <c r="P265" s="124">
        <v>13886000</v>
      </c>
      <c r="Q265" s="124">
        <v>1815909</v>
      </c>
      <c r="R265" s="125">
        <f t="shared" si="3"/>
        <v>17609909</v>
      </c>
      <c r="S265" s="126" t="s">
        <v>689</v>
      </c>
      <c r="T265" s="127" t="s">
        <v>883</v>
      </c>
      <c r="U265" s="128"/>
      <c r="V265" s="89"/>
      <c r="W265" s="90" t="s">
        <v>884</v>
      </c>
      <c r="X265" s="81"/>
      <c r="Y265" s="81"/>
      <c r="Z265" s="81"/>
      <c r="AA265" s="81"/>
      <c r="AB265" s="81"/>
      <c r="AC265" s="81"/>
      <c r="AD265" s="81"/>
      <c r="AE265" s="81"/>
    </row>
    <row r="266" spans="1:31" s="1" customFormat="1" ht="27">
      <c r="A266" s="118">
        <v>265</v>
      </c>
      <c r="B266" s="119">
        <v>108</v>
      </c>
      <c r="C266" s="120" t="s">
        <v>39</v>
      </c>
      <c r="D266" s="120" t="s">
        <v>147</v>
      </c>
      <c r="E266" s="121" t="s">
        <v>885</v>
      </c>
      <c r="F266" s="121" t="s">
        <v>886</v>
      </c>
      <c r="G266" s="121" t="s">
        <v>887</v>
      </c>
      <c r="H266" s="120">
        <v>25</v>
      </c>
      <c r="I266" s="120">
        <v>6</v>
      </c>
      <c r="J266" s="123">
        <v>8</v>
      </c>
      <c r="K266" s="120">
        <v>1</v>
      </c>
      <c r="L266" s="120">
        <v>0</v>
      </c>
      <c r="M266" s="120">
        <v>0</v>
      </c>
      <c r="N266" s="120">
        <v>0</v>
      </c>
      <c r="O266" s="139">
        <v>1100000</v>
      </c>
      <c r="P266" s="139">
        <v>0</v>
      </c>
      <c r="Q266" s="139">
        <v>0</v>
      </c>
      <c r="R266" s="125">
        <f t="shared" si="3"/>
        <v>1100000</v>
      </c>
      <c r="S266" s="126" t="s">
        <v>683</v>
      </c>
      <c r="T266" s="127" t="s">
        <v>888</v>
      </c>
      <c r="U266" s="128"/>
      <c r="V266" s="89"/>
      <c r="W266" s="90" t="s">
        <v>889</v>
      </c>
      <c r="X266" s="81"/>
      <c r="Y266" s="81"/>
      <c r="Z266" s="81"/>
      <c r="AA266" s="81"/>
      <c r="AB266" s="81"/>
      <c r="AC266" s="81"/>
      <c r="AD266" s="81"/>
      <c r="AE266" s="81"/>
    </row>
    <row r="267" spans="1:31" s="1" customFormat="1" ht="27">
      <c r="A267" s="118">
        <v>266</v>
      </c>
      <c r="B267" s="119">
        <v>108</v>
      </c>
      <c r="C267" s="120" t="s">
        <v>39</v>
      </c>
      <c r="D267" s="120" t="s">
        <v>147</v>
      </c>
      <c r="E267" s="121" t="s">
        <v>890</v>
      </c>
      <c r="F267" s="121" t="s">
        <v>891</v>
      </c>
      <c r="G267" s="121" t="s">
        <v>892</v>
      </c>
      <c r="H267" s="122">
        <v>25</v>
      </c>
      <c r="I267" s="120" t="s">
        <v>893</v>
      </c>
      <c r="J267" s="123">
        <v>4</v>
      </c>
      <c r="K267" s="120">
        <v>1</v>
      </c>
      <c r="L267" s="120">
        <v>2</v>
      </c>
      <c r="M267" s="120">
        <v>0</v>
      </c>
      <c r="N267" s="120">
        <v>2</v>
      </c>
      <c r="O267" s="124">
        <v>400000</v>
      </c>
      <c r="P267" s="124">
        <v>10128000</v>
      </c>
      <c r="Q267" s="124">
        <v>1000000</v>
      </c>
      <c r="R267" s="125">
        <f t="shared" si="3"/>
        <v>11528000</v>
      </c>
      <c r="S267" s="132" t="s">
        <v>783</v>
      </c>
      <c r="T267" s="127" t="s">
        <v>894</v>
      </c>
      <c r="U267" s="128" t="s">
        <v>895</v>
      </c>
      <c r="V267" s="89"/>
      <c r="W267" s="90" t="s">
        <v>896</v>
      </c>
      <c r="X267" s="81"/>
      <c r="Y267" s="81"/>
      <c r="Z267" s="81"/>
      <c r="AA267" s="81"/>
      <c r="AB267" s="81"/>
      <c r="AC267" s="81"/>
      <c r="AD267" s="81"/>
      <c r="AE267" s="81"/>
    </row>
    <row r="268" spans="1:31" s="1" customFormat="1" ht="40.5">
      <c r="A268" s="118">
        <v>267</v>
      </c>
      <c r="B268" s="119">
        <v>108</v>
      </c>
      <c r="C268" s="120" t="s">
        <v>39</v>
      </c>
      <c r="D268" s="126" t="s">
        <v>160</v>
      </c>
      <c r="E268" s="121" t="s">
        <v>897</v>
      </c>
      <c r="F268" s="121" t="s">
        <v>898</v>
      </c>
      <c r="G268" s="121"/>
      <c r="H268" s="134">
        <v>30</v>
      </c>
      <c r="I268" s="126">
        <v>8</v>
      </c>
      <c r="J268" s="135">
        <v>8</v>
      </c>
      <c r="K268" s="126">
        <v>0</v>
      </c>
      <c r="L268" s="126">
        <v>3</v>
      </c>
      <c r="M268" s="126">
        <v>0</v>
      </c>
      <c r="N268" s="126">
        <v>0</v>
      </c>
      <c r="O268" s="136">
        <v>523740</v>
      </c>
      <c r="P268" s="137">
        <v>7590000</v>
      </c>
      <c r="Q268" s="137">
        <v>0</v>
      </c>
      <c r="R268" s="125">
        <f t="shared" si="3"/>
        <v>8113740</v>
      </c>
      <c r="S268" s="126" t="s">
        <v>718</v>
      </c>
      <c r="T268" s="127" t="s">
        <v>899</v>
      </c>
      <c r="U268" s="128"/>
      <c r="V268" s="89"/>
      <c r="W268" s="90" t="s">
        <v>900</v>
      </c>
      <c r="X268" s="81"/>
      <c r="Y268" s="81"/>
      <c r="Z268" s="81"/>
      <c r="AA268" s="81"/>
      <c r="AB268" s="81"/>
      <c r="AC268" s="81"/>
      <c r="AD268" s="81"/>
      <c r="AE268" s="81"/>
    </row>
    <row r="269" spans="1:31" s="1" customFormat="1" ht="54">
      <c r="A269" s="118">
        <v>268</v>
      </c>
      <c r="B269" s="119">
        <v>108</v>
      </c>
      <c r="C269" s="120" t="s">
        <v>39</v>
      </c>
      <c r="D269" s="120" t="s">
        <v>160</v>
      </c>
      <c r="E269" s="140" t="s">
        <v>901</v>
      </c>
      <c r="F269" s="140" t="s">
        <v>902</v>
      </c>
      <c r="G269" s="140"/>
      <c r="H269" s="122">
        <v>50</v>
      </c>
      <c r="I269" s="120">
        <v>4</v>
      </c>
      <c r="J269" s="123">
        <v>6</v>
      </c>
      <c r="K269" s="120">
        <v>4</v>
      </c>
      <c r="L269" s="120">
        <v>1</v>
      </c>
      <c r="M269" s="120">
        <v>10</v>
      </c>
      <c r="N269" s="120">
        <v>1</v>
      </c>
      <c r="O269" s="124">
        <v>816192</v>
      </c>
      <c r="P269" s="124">
        <v>0</v>
      </c>
      <c r="Q269" s="124">
        <v>32253370</v>
      </c>
      <c r="R269" s="125">
        <f t="shared" si="3"/>
        <v>33069562</v>
      </c>
      <c r="S269" s="126" t="s">
        <v>689</v>
      </c>
      <c r="T269" s="127" t="s">
        <v>903</v>
      </c>
      <c r="U269" s="138" t="s">
        <v>904</v>
      </c>
      <c r="V269" s="89"/>
      <c r="W269" s="90" t="s">
        <v>905</v>
      </c>
      <c r="X269" s="81"/>
      <c r="Y269" s="81"/>
      <c r="Z269" s="81"/>
      <c r="AA269" s="81"/>
      <c r="AB269" s="81"/>
      <c r="AC269" s="81"/>
      <c r="AD269" s="81"/>
      <c r="AE269" s="81"/>
    </row>
    <row r="270" spans="1:31" s="1" customFormat="1" ht="27">
      <c r="A270" s="118">
        <v>269</v>
      </c>
      <c r="B270" s="119">
        <v>108</v>
      </c>
      <c r="C270" s="120" t="s">
        <v>39</v>
      </c>
      <c r="D270" s="120" t="s">
        <v>160</v>
      </c>
      <c r="E270" s="140" t="s">
        <v>906</v>
      </c>
      <c r="F270" s="140" t="s">
        <v>907</v>
      </c>
      <c r="G270" s="140" t="s">
        <v>908</v>
      </c>
      <c r="H270" s="122" t="s">
        <v>909</v>
      </c>
      <c r="I270" s="120" t="s">
        <v>910</v>
      </c>
      <c r="J270" s="123" t="s">
        <v>911</v>
      </c>
      <c r="K270" s="120">
        <v>1</v>
      </c>
      <c r="L270" s="120">
        <v>1</v>
      </c>
      <c r="M270" s="120">
        <v>1</v>
      </c>
      <c r="N270" s="120">
        <v>1</v>
      </c>
      <c r="O270" s="124">
        <v>1362000</v>
      </c>
      <c r="P270" s="124">
        <v>1513920</v>
      </c>
      <c r="Q270" s="124">
        <v>2581770</v>
      </c>
      <c r="R270" s="125">
        <f t="shared" si="3"/>
        <v>5457690</v>
      </c>
      <c r="S270" s="132" t="s">
        <v>783</v>
      </c>
      <c r="T270" s="127" t="s">
        <v>912</v>
      </c>
      <c r="U270" s="128" t="s">
        <v>913</v>
      </c>
      <c r="V270" s="89"/>
      <c r="W270" s="90" t="s">
        <v>900</v>
      </c>
      <c r="X270" s="81"/>
      <c r="Y270" s="81"/>
      <c r="Z270" s="81"/>
      <c r="AA270" s="81"/>
      <c r="AB270" s="81"/>
      <c r="AC270" s="81"/>
      <c r="AD270" s="81"/>
      <c r="AE270" s="81"/>
    </row>
    <row r="271" spans="1:31" s="1" customFormat="1" ht="40.5">
      <c r="A271" s="118">
        <v>270</v>
      </c>
      <c r="B271" s="119">
        <v>108</v>
      </c>
      <c r="C271" s="120" t="s">
        <v>39</v>
      </c>
      <c r="D271" s="120" t="s">
        <v>160</v>
      </c>
      <c r="E271" s="140" t="s">
        <v>914</v>
      </c>
      <c r="F271" s="140" t="s">
        <v>915</v>
      </c>
      <c r="G271" s="140" t="s">
        <v>916</v>
      </c>
      <c r="H271" s="122">
        <v>30</v>
      </c>
      <c r="I271" s="120">
        <v>5.3</v>
      </c>
      <c r="J271" s="123">
        <v>8</v>
      </c>
      <c r="K271" s="120">
        <v>4</v>
      </c>
      <c r="L271" s="120">
        <v>3</v>
      </c>
      <c r="M271" s="120">
        <v>0</v>
      </c>
      <c r="N271" s="120">
        <v>0</v>
      </c>
      <c r="O271" s="124">
        <v>257312</v>
      </c>
      <c r="P271" s="124">
        <v>1567907</v>
      </c>
      <c r="Q271" s="124">
        <v>0</v>
      </c>
      <c r="R271" s="125">
        <f t="shared" si="3"/>
        <v>1825219</v>
      </c>
      <c r="S271" s="132" t="s">
        <v>783</v>
      </c>
      <c r="T271" s="127" t="s">
        <v>917</v>
      </c>
      <c r="U271" s="128" t="s">
        <v>847</v>
      </c>
      <c r="V271" s="89"/>
      <c r="W271" s="90" t="s">
        <v>918</v>
      </c>
      <c r="X271" s="81"/>
      <c r="Y271" s="81"/>
      <c r="Z271" s="81"/>
      <c r="AA271" s="81"/>
      <c r="AB271" s="81"/>
      <c r="AC271" s="81"/>
      <c r="AD271" s="81"/>
      <c r="AE271" s="81"/>
    </row>
    <row r="272" spans="1:31" s="1" customFormat="1" ht="27">
      <c r="A272" s="118">
        <v>271</v>
      </c>
      <c r="B272" s="119">
        <v>108</v>
      </c>
      <c r="C272" s="120" t="s">
        <v>39</v>
      </c>
      <c r="D272" s="120" t="s">
        <v>160</v>
      </c>
      <c r="E272" s="140" t="s">
        <v>919</v>
      </c>
      <c r="F272" s="140" t="s">
        <v>920</v>
      </c>
      <c r="G272" s="140" t="s">
        <v>798</v>
      </c>
      <c r="H272" s="122">
        <v>35</v>
      </c>
      <c r="I272" s="120" t="s">
        <v>42</v>
      </c>
      <c r="J272" s="123">
        <v>4</v>
      </c>
      <c r="K272" s="120">
        <v>2</v>
      </c>
      <c r="L272" s="120">
        <v>2</v>
      </c>
      <c r="M272" s="120">
        <v>0</v>
      </c>
      <c r="N272" s="120">
        <v>0</v>
      </c>
      <c r="O272" s="124">
        <v>4500000</v>
      </c>
      <c r="P272" s="124">
        <v>1540000</v>
      </c>
      <c r="Q272" s="124">
        <v>0</v>
      </c>
      <c r="R272" s="125">
        <f t="shared" si="3"/>
        <v>6040000</v>
      </c>
      <c r="S272" s="133" t="s">
        <v>790</v>
      </c>
      <c r="T272" s="127" t="s">
        <v>921</v>
      </c>
      <c r="U272" s="128"/>
      <c r="V272" s="89"/>
      <c r="W272" s="90"/>
      <c r="X272" s="81"/>
      <c r="Y272" s="81"/>
      <c r="Z272" s="81"/>
      <c r="AA272" s="81"/>
      <c r="AB272" s="81"/>
      <c r="AC272" s="81"/>
      <c r="AD272" s="81"/>
      <c r="AE272" s="81"/>
    </row>
    <row r="273" spans="1:31" s="1" customFormat="1" ht="40.5">
      <c r="A273" s="118">
        <v>272</v>
      </c>
      <c r="B273" s="119">
        <v>108</v>
      </c>
      <c r="C273" s="120" t="s">
        <v>39</v>
      </c>
      <c r="D273" s="120" t="s">
        <v>171</v>
      </c>
      <c r="E273" s="121" t="s">
        <v>922</v>
      </c>
      <c r="F273" s="121" t="s">
        <v>923</v>
      </c>
      <c r="G273" s="121" t="s">
        <v>444</v>
      </c>
      <c r="H273" s="122">
        <v>48</v>
      </c>
      <c r="I273" s="120">
        <v>3.5</v>
      </c>
      <c r="J273" s="123">
        <v>6</v>
      </c>
      <c r="K273" s="120">
        <v>1</v>
      </c>
      <c r="L273" s="120">
        <v>11</v>
      </c>
      <c r="M273" s="120">
        <v>2</v>
      </c>
      <c r="N273" s="120">
        <v>3</v>
      </c>
      <c r="O273" s="124">
        <v>1152000</v>
      </c>
      <c r="P273" s="124">
        <v>13853573</v>
      </c>
      <c r="Q273" s="124">
        <v>5331224</v>
      </c>
      <c r="R273" s="125">
        <f t="shared" si="3"/>
        <v>20336797</v>
      </c>
      <c r="S273" s="133" t="s">
        <v>924</v>
      </c>
      <c r="T273" s="127" t="s">
        <v>925</v>
      </c>
      <c r="U273" s="128"/>
      <c r="V273" s="89"/>
      <c r="W273" s="90" t="s">
        <v>926</v>
      </c>
      <c r="X273" s="81"/>
      <c r="Y273" s="81"/>
      <c r="Z273" s="81"/>
      <c r="AA273" s="81"/>
      <c r="AB273" s="81"/>
      <c r="AC273" s="81"/>
      <c r="AD273" s="81"/>
      <c r="AE273" s="81"/>
    </row>
    <row r="274" spans="1:31" s="1" customFormat="1" ht="40.5">
      <c r="A274" s="118">
        <v>273</v>
      </c>
      <c r="B274" s="119">
        <v>108</v>
      </c>
      <c r="C274" s="120" t="s">
        <v>178</v>
      </c>
      <c r="D274" s="120" t="s">
        <v>40</v>
      </c>
      <c r="E274" s="140" t="s">
        <v>927</v>
      </c>
      <c r="F274" s="140" t="s">
        <v>928</v>
      </c>
      <c r="G274" s="140" t="s">
        <v>929</v>
      </c>
      <c r="H274" s="122">
        <v>270</v>
      </c>
      <c r="I274" s="120" t="s">
        <v>42</v>
      </c>
      <c r="J274" s="123">
        <v>8</v>
      </c>
      <c r="K274" s="120">
        <v>4</v>
      </c>
      <c r="L274" s="120">
        <v>15</v>
      </c>
      <c r="M274" s="120">
        <v>0</v>
      </c>
      <c r="N274" s="120">
        <v>0</v>
      </c>
      <c r="O274" s="124">
        <v>8640000</v>
      </c>
      <c r="P274" s="124">
        <v>284880492</v>
      </c>
      <c r="Q274" s="124">
        <v>0</v>
      </c>
      <c r="R274" s="124">
        <f t="shared" ref="R274:R337" si="4">SUM(O274:Q274)</f>
        <v>293520492</v>
      </c>
      <c r="S274" s="141" t="s">
        <v>930</v>
      </c>
      <c r="T274" s="142" t="s">
        <v>931</v>
      </c>
      <c r="U274" s="143"/>
      <c r="V274" s="89"/>
      <c r="W274" s="90" t="s">
        <v>710</v>
      </c>
      <c r="X274" s="81"/>
      <c r="Y274" s="81"/>
      <c r="Z274" s="81"/>
      <c r="AA274" s="81"/>
      <c r="AB274" s="81"/>
      <c r="AC274" s="81"/>
      <c r="AD274" s="81"/>
      <c r="AE274" s="81"/>
    </row>
    <row r="275" spans="1:31" s="1" customFormat="1" ht="40.5">
      <c r="A275" s="118">
        <v>274</v>
      </c>
      <c r="B275" s="119">
        <v>108</v>
      </c>
      <c r="C275" s="120" t="s">
        <v>178</v>
      </c>
      <c r="D275" s="120" t="s">
        <v>40</v>
      </c>
      <c r="E275" s="140" t="s">
        <v>932</v>
      </c>
      <c r="F275" s="140" t="s">
        <v>738</v>
      </c>
      <c r="G275" s="140" t="s">
        <v>693</v>
      </c>
      <c r="H275" s="122">
        <v>165</v>
      </c>
      <c r="I275" s="120" t="s">
        <v>42</v>
      </c>
      <c r="J275" s="123">
        <v>8</v>
      </c>
      <c r="K275" s="120">
        <v>4</v>
      </c>
      <c r="L275" s="120">
        <v>0</v>
      </c>
      <c r="M275" s="120">
        <v>0</v>
      </c>
      <c r="N275" s="120">
        <v>0</v>
      </c>
      <c r="O275" s="124">
        <v>5280000</v>
      </c>
      <c r="P275" s="124">
        <v>3827126</v>
      </c>
      <c r="Q275" s="124">
        <v>0</v>
      </c>
      <c r="R275" s="124">
        <f t="shared" si="4"/>
        <v>9107126</v>
      </c>
      <c r="S275" s="141" t="s">
        <v>933</v>
      </c>
      <c r="T275" s="142" t="s">
        <v>934</v>
      </c>
      <c r="U275" s="143"/>
      <c r="V275" s="89"/>
      <c r="W275" s="90" t="s">
        <v>710</v>
      </c>
      <c r="X275" s="81"/>
      <c r="Y275" s="81"/>
      <c r="Z275" s="81"/>
      <c r="AA275" s="81"/>
      <c r="AB275" s="81"/>
      <c r="AC275" s="81"/>
      <c r="AD275" s="81"/>
      <c r="AE275" s="81"/>
    </row>
    <row r="276" spans="1:31" s="1" customFormat="1" ht="40.5">
      <c r="A276" s="118">
        <v>275</v>
      </c>
      <c r="B276" s="119">
        <v>108</v>
      </c>
      <c r="C276" s="120" t="s">
        <v>178</v>
      </c>
      <c r="D276" s="120" t="s">
        <v>40</v>
      </c>
      <c r="E276" s="140" t="s">
        <v>935</v>
      </c>
      <c r="F276" s="140" t="s">
        <v>936</v>
      </c>
      <c r="G276" s="140" t="s">
        <v>444</v>
      </c>
      <c r="H276" s="122">
        <v>62</v>
      </c>
      <c r="I276" s="120">
        <v>6</v>
      </c>
      <c r="J276" s="123">
        <v>8</v>
      </c>
      <c r="K276" s="120">
        <v>2</v>
      </c>
      <c r="L276" s="120">
        <v>36</v>
      </c>
      <c r="M276" s="120">
        <v>0</v>
      </c>
      <c r="N276" s="120">
        <v>0</v>
      </c>
      <c r="O276" s="124">
        <v>1984000</v>
      </c>
      <c r="P276" s="124">
        <v>83777758</v>
      </c>
      <c r="Q276" s="124">
        <v>0</v>
      </c>
      <c r="R276" s="124">
        <f t="shared" si="4"/>
        <v>85761758</v>
      </c>
      <c r="S276" s="141" t="s">
        <v>930</v>
      </c>
      <c r="T276" s="142" t="s">
        <v>937</v>
      </c>
      <c r="U276" s="143"/>
      <c r="V276" s="89"/>
      <c r="W276" s="90" t="s">
        <v>938</v>
      </c>
      <c r="X276" s="81"/>
      <c r="Y276" s="81"/>
      <c r="Z276" s="81"/>
      <c r="AA276" s="81"/>
      <c r="AB276" s="81"/>
      <c r="AC276" s="81"/>
      <c r="AD276" s="81"/>
      <c r="AE276" s="81"/>
    </row>
    <row r="277" spans="1:31" s="1" customFormat="1" ht="40.5">
      <c r="A277" s="118">
        <v>276</v>
      </c>
      <c r="B277" s="119">
        <v>108</v>
      </c>
      <c r="C277" s="120" t="s">
        <v>178</v>
      </c>
      <c r="D277" s="120" t="s">
        <v>40</v>
      </c>
      <c r="E277" s="140" t="s">
        <v>939</v>
      </c>
      <c r="F277" s="140" t="s">
        <v>940</v>
      </c>
      <c r="G277" s="140" t="s">
        <v>941</v>
      </c>
      <c r="H277" s="122">
        <v>330</v>
      </c>
      <c r="I277" s="120" t="s">
        <v>42</v>
      </c>
      <c r="J277" s="123">
        <v>12</v>
      </c>
      <c r="K277" s="120">
        <v>3</v>
      </c>
      <c r="L277" s="120">
        <v>10</v>
      </c>
      <c r="M277" s="120">
        <v>0</v>
      </c>
      <c r="N277" s="120">
        <v>0</v>
      </c>
      <c r="O277" s="124">
        <v>15840000</v>
      </c>
      <c r="P277" s="124">
        <v>379420200</v>
      </c>
      <c r="Q277" s="124">
        <v>0</v>
      </c>
      <c r="R277" s="124">
        <f t="shared" si="4"/>
        <v>395260200</v>
      </c>
      <c r="S277" s="141" t="s">
        <v>930</v>
      </c>
      <c r="T277" s="142" t="s">
        <v>942</v>
      </c>
      <c r="U277" s="143"/>
      <c r="V277" s="89"/>
      <c r="W277" s="90" t="s">
        <v>943</v>
      </c>
      <c r="X277" s="81"/>
      <c r="Y277" s="81"/>
      <c r="Z277" s="81"/>
      <c r="AA277" s="81"/>
      <c r="AB277" s="81"/>
      <c r="AC277" s="81"/>
      <c r="AD277" s="81"/>
      <c r="AE277" s="81"/>
    </row>
    <row r="278" spans="1:31" s="1" customFormat="1" ht="67.5">
      <c r="A278" s="118">
        <v>277</v>
      </c>
      <c r="B278" s="119">
        <v>108</v>
      </c>
      <c r="C278" s="120" t="s">
        <v>178</v>
      </c>
      <c r="D278" s="120" t="s">
        <v>40</v>
      </c>
      <c r="E278" s="140" t="s">
        <v>944</v>
      </c>
      <c r="F278" s="140" t="s">
        <v>945</v>
      </c>
      <c r="G278" s="140" t="s">
        <v>946</v>
      </c>
      <c r="H278" s="122">
        <v>885</v>
      </c>
      <c r="I278" s="120">
        <v>5</v>
      </c>
      <c r="J278" s="123">
        <v>8</v>
      </c>
      <c r="K278" s="120">
        <v>45</v>
      </c>
      <c r="L278" s="120">
        <v>0</v>
      </c>
      <c r="M278" s="120">
        <v>0</v>
      </c>
      <c r="N278" s="120">
        <v>0</v>
      </c>
      <c r="O278" s="124">
        <v>34200000</v>
      </c>
      <c r="P278" s="124">
        <v>0</v>
      </c>
      <c r="Q278" s="124">
        <v>0</v>
      </c>
      <c r="R278" s="124">
        <f t="shared" si="4"/>
        <v>34200000</v>
      </c>
      <c r="S278" s="141" t="s">
        <v>933</v>
      </c>
      <c r="T278" s="142" t="s">
        <v>947</v>
      </c>
      <c r="U278" s="143"/>
      <c r="V278" s="89"/>
      <c r="W278" s="90" t="s">
        <v>948</v>
      </c>
      <c r="X278" s="81"/>
      <c r="Y278" s="81"/>
      <c r="Z278" s="81"/>
      <c r="AA278" s="81"/>
      <c r="AB278" s="81"/>
      <c r="AC278" s="81"/>
      <c r="AD278" s="81"/>
      <c r="AE278" s="81"/>
    </row>
    <row r="279" spans="1:31" s="1" customFormat="1" ht="40.5">
      <c r="A279" s="118">
        <v>278</v>
      </c>
      <c r="B279" s="119">
        <v>108</v>
      </c>
      <c r="C279" s="120" t="s">
        <v>178</v>
      </c>
      <c r="D279" s="120" t="s">
        <v>40</v>
      </c>
      <c r="E279" s="140" t="s">
        <v>949</v>
      </c>
      <c r="F279" s="140" t="s">
        <v>950</v>
      </c>
      <c r="G279" s="140" t="s">
        <v>951</v>
      </c>
      <c r="H279" s="122">
        <v>110</v>
      </c>
      <c r="I279" s="120">
        <v>7</v>
      </c>
      <c r="J279" s="123">
        <v>8</v>
      </c>
      <c r="K279" s="120">
        <v>3</v>
      </c>
      <c r="L279" s="120">
        <v>2</v>
      </c>
      <c r="M279" s="120">
        <v>0</v>
      </c>
      <c r="N279" s="120">
        <v>0</v>
      </c>
      <c r="O279" s="124">
        <v>3520000</v>
      </c>
      <c r="P279" s="124">
        <v>60170124</v>
      </c>
      <c r="Q279" s="124">
        <v>0</v>
      </c>
      <c r="R279" s="124">
        <f t="shared" si="4"/>
        <v>63690124</v>
      </c>
      <c r="S279" s="141" t="s">
        <v>933</v>
      </c>
      <c r="T279" s="142" t="s">
        <v>952</v>
      </c>
      <c r="U279" s="143" t="s">
        <v>953</v>
      </c>
      <c r="V279" s="89"/>
      <c r="W279" s="90" t="s">
        <v>954</v>
      </c>
      <c r="X279" s="81"/>
      <c r="Y279" s="81"/>
      <c r="Z279" s="81"/>
      <c r="AA279" s="81"/>
      <c r="AB279" s="81"/>
      <c r="AC279" s="81"/>
      <c r="AD279" s="81"/>
      <c r="AE279" s="81"/>
    </row>
    <row r="280" spans="1:31" s="1" customFormat="1" ht="40.5">
      <c r="A280" s="118">
        <v>279</v>
      </c>
      <c r="B280" s="119">
        <v>108</v>
      </c>
      <c r="C280" s="120" t="s">
        <v>178</v>
      </c>
      <c r="D280" s="120" t="s">
        <v>40</v>
      </c>
      <c r="E280" s="140" t="s">
        <v>955</v>
      </c>
      <c r="F280" s="140" t="s">
        <v>956</v>
      </c>
      <c r="G280" s="140" t="s">
        <v>957</v>
      </c>
      <c r="H280" s="122">
        <v>228</v>
      </c>
      <c r="I280" s="120" t="s">
        <v>42</v>
      </c>
      <c r="J280" s="123">
        <v>8</v>
      </c>
      <c r="K280" s="120">
        <v>6</v>
      </c>
      <c r="L280" s="120">
        <v>8</v>
      </c>
      <c r="M280" s="120">
        <v>0</v>
      </c>
      <c r="N280" s="120">
        <v>0</v>
      </c>
      <c r="O280" s="124">
        <v>7296000</v>
      </c>
      <c r="P280" s="124">
        <v>119902464</v>
      </c>
      <c r="Q280" s="124">
        <v>0</v>
      </c>
      <c r="R280" s="124">
        <f t="shared" si="4"/>
        <v>127198464</v>
      </c>
      <c r="S280" s="141" t="s">
        <v>930</v>
      </c>
      <c r="T280" s="142" t="s">
        <v>958</v>
      </c>
      <c r="U280" s="143"/>
      <c r="V280" s="89"/>
      <c r="W280" s="90" t="s">
        <v>959</v>
      </c>
      <c r="X280" s="81"/>
      <c r="Y280" s="81"/>
      <c r="Z280" s="81"/>
      <c r="AA280" s="81"/>
      <c r="AB280" s="81"/>
      <c r="AC280" s="81"/>
      <c r="AD280" s="81"/>
      <c r="AE280" s="81"/>
    </row>
    <row r="281" spans="1:31" s="1" customFormat="1" ht="40.5">
      <c r="A281" s="118">
        <v>280</v>
      </c>
      <c r="B281" s="119">
        <v>108</v>
      </c>
      <c r="C281" s="120" t="s">
        <v>178</v>
      </c>
      <c r="D281" s="120" t="s">
        <v>40</v>
      </c>
      <c r="E281" s="140" t="s">
        <v>960</v>
      </c>
      <c r="F281" s="140" t="s">
        <v>961</v>
      </c>
      <c r="G281" s="140" t="s">
        <v>962</v>
      </c>
      <c r="H281" s="122">
        <v>335</v>
      </c>
      <c r="I281" s="120" t="s">
        <v>963</v>
      </c>
      <c r="J281" s="123">
        <v>20</v>
      </c>
      <c r="K281" s="120">
        <v>3</v>
      </c>
      <c r="L281" s="120">
        <v>20</v>
      </c>
      <c r="M281" s="120">
        <v>11</v>
      </c>
      <c r="N281" s="120">
        <v>6</v>
      </c>
      <c r="O281" s="124">
        <v>26800000</v>
      </c>
      <c r="P281" s="124">
        <v>276385050</v>
      </c>
      <c r="Q281" s="124">
        <v>75078754</v>
      </c>
      <c r="R281" s="124">
        <f t="shared" si="4"/>
        <v>378263804</v>
      </c>
      <c r="S281" s="141" t="s">
        <v>930</v>
      </c>
      <c r="T281" s="142" t="s">
        <v>964</v>
      </c>
      <c r="U281" s="143"/>
      <c r="V281" s="89"/>
      <c r="W281" s="90" t="s">
        <v>926</v>
      </c>
      <c r="X281" s="81"/>
      <c r="Y281" s="81"/>
      <c r="Z281" s="81"/>
      <c r="AA281" s="81"/>
      <c r="AB281" s="81"/>
      <c r="AC281" s="81"/>
      <c r="AD281" s="81"/>
      <c r="AE281" s="81"/>
    </row>
    <row r="282" spans="1:31" s="1" customFormat="1" ht="40.5">
      <c r="A282" s="118">
        <v>281</v>
      </c>
      <c r="B282" s="119">
        <v>108</v>
      </c>
      <c r="C282" s="120" t="s">
        <v>178</v>
      </c>
      <c r="D282" s="120" t="s">
        <v>40</v>
      </c>
      <c r="E282" s="140" t="s">
        <v>965</v>
      </c>
      <c r="F282" s="140" t="s">
        <v>966</v>
      </c>
      <c r="G282" s="140" t="s">
        <v>967</v>
      </c>
      <c r="H282" s="122">
        <v>122</v>
      </c>
      <c r="I282" s="120" t="s">
        <v>42</v>
      </c>
      <c r="J282" s="123">
        <v>8</v>
      </c>
      <c r="K282" s="120">
        <v>9</v>
      </c>
      <c r="L282" s="120">
        <v>15</v>
      </c>
      <c r="M282" s="120">
        <v>0</v>
      </c>
      <c r="N282" s="120" t="s">
        <v>968</v>
      </c>
      <c r="O282" s="124">
        <v>3904000</v>
      </c>
      <c r="P282" s="124">
        <v>115100938</v>
      </c>
      <c r="Q282" s="124">
        <v>161610</v>
      </c>
      <c r="R282" s="124">
        <f t="shared" si="4"/>
        <v>119166548</v>
      </c>
      <c r="S282" s="141" t="s">
        <v>930</v>
      </c>
      <c r="T282" s="142" t="s">
        <v>969</v>
      </c>
      <c r="U282" s="143"/>
      <c r="V282" s="89"/>
      <c r="W282" s="90" t="s">
        <v>970</v>
      </c>
      <c r="X282" s="81"/>
      <c r="Y282" s="81"/>
      <c r="Z282" s="81"/>
      <c r="AA282" s="81"/>
      <c r="AB282" s="81"/>
      <c r="AC282" s="81"/>
      <c r="AD282" s="81"/>
      <c r="AE282" s="81"/>
    </row>
    <row r="283" spans="1:31" s="1" customFormat="1" ht="40.5">
      <c r="A283" s="118">
        <v>282</v>
      </c>
      <c r="B283" s="119">
        <v>108</v>
      </c>
      <c r="C283" s="120" t="s">
        <v>178</v>
      </c>
      <c r="D283" s="120" t="s">
        <v>40</v>
      </c>
      <c r="E283" s="140" t="s">
        <v>971</v>
      </c>
      <c r="F283" s="140" t="s">
        <v>972</v>
      </c>
      <c r="G283" s="140" t="s">
        <v>973</v>
      </c>
      <c r="H283" s="122">
        <v>1308</v>
      </c>
      <c r="I283" s="120" t="s">
        <v>42</v>
      </c>
      <c r="J283" s="123">
        <v>20</v>
      </c>
      <c r="K283" s="120">
        <v>16</v>
      </c>
      <c r="L283" s="120">
        <v>46</v>
      </c>
      <c r="M283" s="120">
        <v>6</v>
      </c>
      <c r="N283" s="120">
        <v>7</v>
      </c>
      <c r="O283" s="124">
        <v>760074885</v>
      </c>
      <c r="P283" s="124">
        <v>809311114</v>
      </c>
      <c r="Q283" s="124">
        <v>77669055</v>
      </c>
      <c r="R283" s="124">
        <f t="shared" si="4"/>
        <v>1647055054</v>
      </c>
      <c r="S283" s="141" t="s">
        <v>974</v>
      </c>
      <c r="T283" s="142" t="s">
        <v>975</v>
      </c>
      <c r="U283" s="143"/>
      <c r="V283" s="89"/>
      <c r="W283" s="90" t="s">
        <v>976</v>
      </c>
      <c r="X283" s="81"/>
      <c r="Y283" s="81"/>
      <c r="Z283" s="81"/>
      <c r="AA283" s="81"/>
      <c r="AB283" s="81"/>
      <c r="AC283" s="81"/>
      <c r="AD283" s="81"/>
      <c r="AE283" s="81"/>
    </row>
    <row r="284" spans="1:31" s="1" customFormat="1" ht="40.5">
      <c r="A284" s="118">
        <v>283</v>
      </c>
      <c r="B284" s="119">
        <v>108</v>
      </c>
      <c r="C284" s="120" t="s">
        <v>178</v>
      </c>
      <c r="D284" s="120" t="s">
        <v>40</v>
      </c>
      <c r="E284" s="140" t="s">
        <v>977</v>
      </c>
      <c r="F284" s="140" t="s">
        <v>978</v>
      </c>
      <c r="G284" s="140" t="s">
        <v>973</v>
      </c>
      <c r="H284" s="122">
        <v>1192</v>
      </c>
      <c r="I284" s="120" t="s">
        <v>42</v>
      </c>
      <c r="J284" s="123">
        <v>20</v>
      </c>
      <c r="K284" s="120">
        <v>18</v>
      </c>
      <c r="L284" s="120">
        <v>59</v>
      </c>
      <c r="M284" s="120">
        <v>6</v>
      </c>
      <c r="N284" s="120">
        <v>3</v>
      </c>
      <c r="O284" s="124">
        <v>107360081</v>
      </c>
      <c r="P284" s="124">
        <v>716211914</v>
      </c>
      <c r="Q284" s="124">
        <v>79739480</v>
      </c>
      <c r="R284" s="124">
        <f t="shared" si="4"/>
        <v>903311475</v>
      </c>
      <c r="S284" s="141" t="s">
        <v>974</v>
      </c>
      <c r="T284" s="142" t="s">
        <v>975</v>
      </c>
      <c r="U284" s="143"/>
      <c r="V284" s="89"/>
      <c r="W284" s="90" t="s">
        <v>976</v>
      </c>
      <c r="X284" s="81"/>
      <c r="Y284" s="81"/>
      <c r="Z284" s="81"/>
      <c r="AA284" s="81"/>
      <c r="AB284" s="81"/>
      <c r="AC284" s="81"/>
      <c r="AD284" s="81"/>
      <c r="AE284" s="81"/>
    </row>
    <row r="285" spans="1:31" s="1" customFormat="1" ht="40.5">
      <c r="A285" s="118">
        <v>284</v>
      </c>
      <c r="B285" s="119">
        <v>108</v>
      </c>
      <c r="C285" s="120" t="s">
        <v>178</v>
      </c>
      <c r="D285" s="120" t="s">
        <v>40</v>
      </c>
      <c r="E285" s="140" t="s">
        <v>979</v>
      </c>
      <c r="F285" s="140" t="s">
        <v>978</v>
      </c>
      <c r="G285" s="140" t="s">
        <v>973</v>
      </c>
      <c r="H285" s="122">
        <v>1028</v>
      </c>
      <c r="I285" s="120" t="s">
        <v>42</v>
      </c>
      <c r="J285" s="123">
        <v>20</v>
      </c>
      <c r="K285" s="120">
        <v>7</v>
      </c>
      <c r="L285" s="120">
        <v>46</v>
      </c>
      <c r="M285" s="120">
        <v>0</v>
      </c>
      <c r="N285" s="120">
        <v>2</v>
      </c>
      <c r="O285" s="124">
        <v>89792123</v>
      </c>
      <c r="P285" s="124">
        <v>595886609</v>
      </c>
      <c r="Q285" s="124">
        <v>14471280</v>
      </c>
      <c r="R285" s="124">
        <f t="shared" si="4"/>
        <v>700150012</v>
      </c>
      <c r="S285" s="141" t="s">
        <v>974</v>
      </c>
      <c r="T285" s="142" t="s">
        <v>975</v>
      </c>
      <c r="U285" s="143"/>
      <c r="V285" s="89"/>
      <c r="W285" s="90" t="s">
        <v>976</v>
      </c>
      <c r="X285" s="81"/>
      <c r="Y285" s="81"/>
      <c r="Z285" s="81"/>
      <c r="AA285" s="81"/>
      <c r="AB285" s="81"/>
      <c r="AC285" s="81"/>
      <c r="AD285" s="81"/>
      <c r="AE285" s="81"/>
    </row>
    <row r="286" spans="1:31" s="1" customFormat="1" ht="40.5">
      <c r="A286" s="118">
        <v>285</v>
      </c>
      <c r="B286" s="119">
        <v>108</v>
      </c>
      <c r="C286" s="120" t="s">
        <v>178</v>
      </c>
      <c r="D286" s="120" t="s">
        <v>40</v>
      </c>
      <c r="E286" s="140" t="s">
        <v>980</v>
      </c>
      <c r="F286" s="140" t="s">
        <v>981</v>
      </c>
      <c r="G286" s="140" t="s">
        <v>982</v>
      </c>
      <c r="H286" s="122">
        <v>60</v>
      </c>
      <c r="I286" s="120" t="s">
        <v>42</v>
      </c>
      <c r="J286" s="123">
        <v>12</v>
      </c>
      <c r="K286" s="120">
        <v>1</v>
      </c>
      <c r="L286" s="120">
        <v>0</v>
      </c>
      <c r="M286" s="120">
        <v>0</v>
      </c>
      <c r="N286" s="120">
        <v>0</v>
      </c>
      <c r="O286" s="124">
        <v>5760000</v>
      </c>
      <c r="P286" s="124">
        <v>0</v>
      </c>
      <c r="Q286" s="124">
        <v>0</v>
      </c>
      <c r="R286" s="124">
        <f t="shared" si="4"/>
        <v>5760000</v>
      </c>
      <c r="S286" s="141" t="s">
        <v>983</v>
      </c>
      <c r="T286" s="142" t="s">
        <v>984</v>
      </c>
      <c r="U286" s="143" t="s">
        <v>985</v>
      </c>
      <c r="V286" s="89"/>
      <c r="W286" s="90" t="s">
        <v>986</v>
      </c>
      <c r="X286" s="81"/>
      <c r="Y286" s="81"/>
      <c r="Z286" s="81"/>
      <c r="AA286" s="81"/>
      <c r="AB286" s="81"/>
      <c r="AC286" s="81"/>
      <c r="AD286" s="81"/>
      <c r="AE286" s="81"/>
    </row>
    <row r="287" spans="1:31" s="1" customFormat="1" ht="40.5">
      <c r="A287" s="118">
        <v>286</v>
      </c>
      <c r="B287" s="119">
        <v>108</v>
      </c>
      <c r="C287" s="120" t="s">
        <v>178</v>
      </c>
      <c r="D287" s="120" t="s">
        <v>40</v>
      </c>
      <c r="E287" s="140" t="s">
        <v>987</v>
      </c>
      <c r="F287" s="140" t="s">
        <v>722</v>
      </c>
      <c r="G287" s="140" t="s">
        <v>988</v>
      </c>
      <c r="H287" s="122">
        <v>150</v>
      </c>
      <c r="I287" s="120" t="s">
        <v>42</v>
      </c>
      <c r="J287" s="123">
        <v>8</v>
      </c>
      <c r="K287" s="120">
        <v>3</v>
      </c>
      <c r="L287" s="120">
        <v>4</v>
      </c>
      <c r="M287" s="120">
        <v>0</v>
      </c>
      <c r="N287" s="120">
        <v>0</v>
      </c>
      <c r="O287" s="124">
        <v>5400000</v>
      </c>
      <c r="P287" s="124">
        <v>103670532</v>
      </c>
      <c r="Q287" s="124">
        <v>0</v>
      </c>
      <c r="R287" s="124">
        <f t="shared" si="4"/>
        <v>109070532</v>
      </c>
      <c r="S287" s="126" t="s">
        <v>718</v>
      </c>
      <c r="T287" s="142" t="s">
        <v>989</v>
      </c>
      <c r="U287" s="143" t="s">
        <v>990</v>
      </c>
      <c r="V287" s="89"/>
      <c r="W287" s="90" t="s">
        <v>991</v>
      </c>
      <c r="X287" s="81"/>
      <c r="Y287" s="81"/>
      <c r="Z287" s="81"/>
      <c r="AA287" s="81"/>
      <c r="AB287" s="81"/>
      <c r="AC287" s="81"/>
      <c r="AD287" s="81"/>
      <c r="AE287" s="81"/>
    </row>
    <row r="288" spans="1:31" s="1" customFormat="1" ht="27">
      <c r="A288" s="118">
        <v>287</v>
      </c>
      <c r="B288" s="119">
        <v>108</v>
      </c>
      <c r="C288" s="120" t="s">
        <v>178</v>
      </c>
      <c r="D288" s="120" t="s">
        <v>40</v>
      </c>
      <c r="E288" s="140" t="s">
        <v>992</v>
      </c>
      <c r="F288" s="140" t="s">
        <v>993</v>
      </c>
      <c r="G288" s="140"/>
      <c r="H288" s="122">
        <v>170</v>
      </c>
      <c r="I288" s="120" t="s">
        <v>42</v>
      </c>
      <c r="J288" s="123">
        <v>10</v>
      </c>
      <c r="K288" s="120">
        <v>7</v>
      </c>
      <c r="L288" s="120">
        <v>1</v>
      </c>
      <c r="M288" s="120">
        <v>0</v>
      </c>
      <c r="N288" s="120">
        <v>0</v>
      </c>
      <c r="O288" s="124">
        <v>14000000</v>
      </c>
      <c r="P288" s="124">
        <v>20020000</v>
      </c>
      <c r="Q288" s="124">
        <v>0</v>
      </c>
      <c r="R288" s="124">
        <f t="shared" si="4"/>
        <v>34020000</v>
      </c>
      <c r="S288" s="133" t="s">
        <v>858</v>
      </c>
      <c r="T288" s="142" t="s">
        <v>994</v>
      </c>
      <c r="U288" s="143" t="s">
        <v>995</v>
      </c>
      <c r="V288" s="89"/>
      <c r="W288" s="90"/>
      <c r="X288" s="81"/>
      <c r="Y288" s="81"/>
      <c r="Z288" s="81"/>
      <c r="AA288" s="81"/>
      <c r="AB288" s="81"/>
      <c r="AC288" s="81"/>
      <c r="AD288" s="81"/>
      <c r="AE288" s="81"/>
    </row>
    <row r="289" spans="1:31" s="1" customFormat="1" ht="15.75">
      <c r="A289" s="118">
        <v>288</v>
      </c>
      <c r="B289" s="119">
        <v>108</v>
      </c>
      <c r="C289" s="120" t="s">
        <v>178</v>
      </c>
      <c r="D289" s="120" t="s">
        <v>40</v>
      </c>
      <c r="E289" s="140" t="s">
        <v>996</v>
      </c>
      <c r="F289" s="140" t="s">
        <v>997</v>
      </c>
      <c r="G289" s="140"/>
      <c r="H289" s="122">
        <v>380</v>
      </c>
      <c r="I289" s="120" t="s">
        <v>42</v>
      </c>
      <c r="J289" s="123">
        <v>10</v>
      </c>
      <c r="K289" s="120">
        <v>8</v>
      </c>
      <c r="L289" s="120">
        <v>18</v>
      </c>
      <c r="M289" s="120">
        <v>0</v>
      </c>
      <c r="N289" s="120">
        <v>0</v>
      </c>
      <c r="O289" s="124">
        <v>30000000</v>
      </c>
      <c r="P289" s="124">
        <v>297000000</v>
      </c>
      <c r="Q289" s="124">
        <v>0</v>
      </c>
      <c r="R289" s="124">
        <f t="shared" si="4"/>
        <v>327000000</v>
      </c>
      <c r="S289" s="133"/>
      <c r="T289" s="142" t="s">
        <v>998</v>
      </c>
      <c r="U289" s="143"/>
      <c r="V289" s="89"/>
      <c r="W289" s="90" t="s">
        <v>999</v>
      </c>
      <c r="X289" s="81"/>
      <c r="Y289" s="81"/>
      <c r="Z289" s="81"/>
      <c r="AA289" s="81"/>
      <c r="AB289" s="81"/>
      <c r="AC289" s="81"/>
      <c r="AD289" s="81"/>
      <c r="AE289" s="81"/>
    </row>
    <row r="290" spans="1:31" s="1" customFormat="1" ht="27">
      <c r="A290" s="118">
        <v>289</v>
      </c>
      <c r="B290" s="119">
        <v>108</v>
      </c>
      <c r="C290" s="120" t="s">
        <v>178</v>
      </c>
      <c r="D290" s="120" t="s">
        <v>56</v>
      </c>
      <c r="E290" s="121" t="s">
        <v>1000</v>
      </c>
      <c r="F290" s="121" t="s">
        <v>245</v>
      </c>
      <c r="G290" s="121" t="s">
        <v>1001</v>
      </c>
      <c r="H290" s="122">
        <v>133</v>
      </c>
      <c r="I290" s="120" t="s">
        <v>42</v>
      </c>
      <c r="J290" s="123">
        <v>10</v>
      </c>
      <c r="K290" s="120">
        <v>2</v>
      </c>
      <c r="L290" s="120">
        <v>2</v>
      </c>
      <c r="M290" s="120">
        <v>0</v>
      </c>
      <c r="N290" s="120">
        <v>0</v>
      </c>
      <c r="O290" s="124">
        <v>5320000</v>
      </c>
      <c r="P290" s="124">
        <v>1210924</v>
      </c>
      <c r="Q290" s="124">
        <v>0</v>
      </c>
      <c r="R290" s="124">
        <f t="shared" si="4"/>
        <v>6530924</v>
      </c>
      <c r="S290" s="141" t="s">
        <v>983</v>
      </c>
      <c r="T290" s="127" t="s">
        <v>1002</v>
      </c>
      <c r="U290" s="128"/>
      <c r="V290" s="89"/>
      <c r="W290" s="90" t="s">
        <v>70</v>
      </c>
      <c r="X290" s="81"/>
      <c r="Y290" s="81"/>
      <c r="Z290" s="81"/>
      <c r="AA290" s="81"/>
      <c r="AB290" s="81"/>
      <c r="AC290" s="81"/>
      <c r="AD290" s="81"/>
      <c r="AE290" s="81"/>
    </row>
    <row r="291" spans="1:31" s="1" customFormat="1" ht="40.5">
      <c r="A291" s="118">
        <v>290</v>
      </c>
      <c r="B291" s="119">
        <v>108</v>
      </c>
      <c r="C291" s="120" t="s">
        <v>178</v>
      </c>
      <c r="D291" s="120" t="s">
        <v>56</v>
      </c>
      <c r="E291" s="140" t="s">
        <v>1003</v>
      </c>
      <c r="F291" s="140" t="s">
        <v>1004</v>
      </c>
      <c r="G291" s="140" t="s">
        <v>1005</v>
      </c>
      <c r="H291" s="122">
        <v>158</v>
      </c>
      <c r="I291" s="120">
        <v>4</v>
      </c>
      <c r="J291" s="123">
        <v>8</v>
      </c>
      <c r="K291" s="120">
        <v>0</v>
      </c>
      <c r="L291" s="120">
        <v>4</v>
      </c>
      <c r="M291" s="120">
        <v>0</v>
      </c>
      <c r="N291" s="120">
        <v>0</v>
      </c>
      <c r="O291" s="124">
        <v>5056000</v>
      </c>
      <c r="P291" s="125">
        <v>181004800</v>
      </c>
      <c r="Q291" s="125">
        <v>0</v>
      </c>
      <c r="R291" s="124">
        <f t="shared" si="4"/>
        <v>186060800</v>
      </c>
      <c r="S291" s="141" t="s">
        <v>930</v>
      </c>
      <c r="T291" s="127" t="s">
        <v>1006</v>
      </c>
      <c r="U291" s="128"/>
      <c r="V291" s="89"/>
      <c r="W291" s="90" t="s">
        <v>1007</v>
      </c>
      <c r="X291" s="81"/>
      <c r="Y291" s="81"/>
      <c r="Z291" s="81"/>
      <c r="AA291" s="81"/>
      <c r="AB291" s="81"/>
      <c r="AC291" s="81"/>
      <c r="AD291" s="81"/>
      <c r="AE291" s="81"/>
    </row>
    <row r="292" spans="1:31" s="1" customFormat="1" ht="27">
      <c r="A292" s="118">
        <v>291</v>
      </c>
      <c r="B292" s="119">
        <v>108</v>
      </c>
      <c r="C292" s="120" t="s">
        <v>178</v>
      </c>
      <c r="D292" s="120" t="s">
        <v>56</v>
      </c>
      <c r="E292" s="121" t="s">
        <v>1008</v>
      </c>
      <c r="F292" s="121" t="s">
        <v>1009</v>
      </c>
      <c r="G292" s="121" t="s">
        <v>1010</v>
      </c>
      <c r="H292" s="122">
        <v>665</v>
      </c>
      <c r="I292" s="120">
        <v>8</v>
      </c>
      <c r="J292" s="135">
        <v>15</v>
      </c>
      <c r="K292" s="120">
        <v>11</v>
      </c>
      <c r="L292" s="120">
        <v>7</v>
      </c>
      <c r="M292" s="120">
        <v>0</v>
      </c>
      <c r="N292" s="120">
        <v>0</v>
      </c>
      <c r="O292" s="124">
        <v>59850000</v>
      </c>
      <c r="P292" s="125">
        <v>3929648</v>
      </c>
      <c r="Q292" s="125">
        <v>0</v>
      </c>
      <c r="R292" s="124">
        <f t="shared" si="4"/>
        <v>63779648</v>
      </c>
      <c r="S292" s="126" t="s">
        <v>1011</v>
      </c>
      <c r="T292" s="127" t="s">
        <v>1012</v>
      </c>
      <c r="U292" s="128"/>
      <c r="V292" s="89"/>
      <c r="W292" s="90"/>
      <c r="X292" s="81"/>
      <c r="Y292" s="81"/>
      <c r="Z292" s="81"/>
      <c r="AA292" s="81"/>
      <c r="AB292" s="81"/>
      <c r="AC292" s="81"/>
      <c r="AD292" s="81"/>
      <c r="AE292" s="81"/>
    </row>
    <row r="293" spans="1:31" s="1" customFormat="1" ht="27">
      <c r="A293" s="118">
        <v>292</v>
      </c>
      <c r="B293" s="119">
        <v>108</v>
      </c>
      <c r="C293" s="120" t="s">
        <v>178</v>
      </c>
      <c r="D293" s="120" t="s">
        <v>56</v>
      </c>
      <c r="E293" s="121" t="s">
        <v>1013</v>
      </c>
      <c r="F293" s="121" t="s">
        <v>1014</v>
      </c>
      <c r="G293" s="121"/>
      <c r="H293" s="122">
        <v>405</v>
      </c>
      <c r="I293" s="120" t="s">
        <v>1015</v>
      </c>
      <c r="J293" s="135" t="s">
        <v>1016</v>
      </c>
      <c r="K293" s="120">
        <v>5</v>
      </c>
      <c r="L293" s="120">
        <v>1</v>
      </c>
      <c r="M293" s="120">
        <v>0</v>
      </c>
      <c r="N293" s="120">
        <v>0</v>
      </c>
      <c r="O293" s="124">
        <v>9000000</v>
      </c>
      <c r="P293" s="125">
        <v>0</v>
      </c>
      <c r="Q293" s="125">
        <v>0</v>
      </c>
      <c r="R293" s="124">
        <f t="shared" si="4"/>
        <v>9000000</v>
      </c>
      <c r="S293" s="133" t="s">
        <v>783</v>
      </c>
      <c r="T293" s="127" t="s">
        <v>1017</v>
      </c>
      <c r="U293" s="128" t="s">
        <v>1018</v>
      </c>
      <c r="V293" s="89"/>
      <c r="W293" s="90" t="s">
        <v>1019</v>
      </c>
      <c r="X293" s="81"/>
      <c r="Y293" s="81"/>
      <c r="Z293" s="81"/>
      <c r="AA293" s="81"/>
      <c r="AB293" s="81"/>
      <c r="AC293" s="81"/>
      <c r="AD293" s="81"/>
      <c r="AE293" s="81"/>
    </row>
    <row r="294" spans="1:31" s="1" customFormat="1" ht="67.5">
      <c r="A294" s="118">
        <v>293</v>
      </c>
      <c r="B294" s="119">
        <v>108</v>
      </c>
      <c r="C294" s="120" t="s">
        <v>178</v>
      </c>
      <c r="D294" s="120" t="s">
        <v>56</v>
      </c>
      <c r="E294" s="121" t="s">
        <v>1020</v>
      </c>
      <c r="F294" s="121" t="s">
        <v>1021</v>
      </c>
      <c r="G294" s="121" t="s">
        <v>1022</v>
      </c>
      <c r="H294" s="122">
        <v>170</v>
      </c>
      <c r="I294" s="120">
        <v>5</v>
      </c>
      <c r="J294" s="123">
        <v>15</v>
      </c>
      <c r="K294" s="120">
        <v>2</v>
      </c>
      <c r="L294" s="120">
        <v>30</v>
      </c>
      <c r="M294" s="120">
        <v>7</v>
      </c>
      <c r="N294" s="120">
        <v>0</v>
      </c>
      <c r="O294" s="124">
        <v>10200000</v>
      </c>
      <c r="P294" s="125">
        <v>120817113</v>
      </c>
      <c r="Q294" s="125">
        <v>8241600</v>
      </c>
      <c r="R294" s="124">
        <f t="shared" si="4"/>
        <v>139258713</v>
      </c>
      <c r="S294" s="141" t="s">
        <v>933</v>
      </c>
      <c r="T294" s="127" t="s">
        <v>1023</v>
      </c>
      <c r="U294" s="128"/>
      <c r="V294" s="89"/>
      <c r="W294" s="90" t="s">
        <v>1024</v>
      </c>
      <c r="X294" s="81"/>
      <c r="Y294" s="81"/>
      <c r="Z294" s="81"/>
      <c r="AA294" s="81"/>
      <c r="AB294" s="81"/>
      <c r="AC294" s="81"/>
      <c r="AD294" s="81"/>
      <c r="AE294" s="81"/>
    </row>
    <row r="295" spans="1:31" s="1" customFormat="1" ht="15.75">
      <c r="A295" s="118">
        <v>294</v>
      </c>
      <c r="B295" s="119">
        <v>108</v>
      </c>
      <c r="C295" s="120" t="s">
        <v>178</v>
      </c>
      <c r="D295" s="120" t="s">
        <v>56</v>
      </c>
      <c r="E295" s="121" t="s">
        <v>1025</v>
      </c>
      <c r="F295" s="121" t="s">
        <v>465</v>
      </c>
      <c r="G295" s="121" t="s">
        <v>1026</v>
      </c>
      <c r="H295" s="122">
        <v>215</v>
      </c>
      <c r="I295" s="120" t="s">
        <v>42</v>
      </c>
      <c r="J295" s="123">
        <v>15</v>
      </c>
      <c r="K295" s="120">
        <v>0</v>
      </c>
      <c r="L295" s="120">
        <v>20</v>
      </c>
      <c r="M295" s="120">
        <v>0</v>
      </c>
      <c r="N295" s="120">
        <v>1</v>
      </c>
      <c r="O295" s="124">
        <v>12900000</v>
      </c>
      <c r="P295" s="125">
        <v>67307589</v>
      </c>
      <c r="Q295" s="125">
        <v>724350</v>
      </c>
      <c r="R295" s="124">
        <f t="shared" si="4"/>
        <v>80931939</v>
      </c>
      <c r="S295" s="126"/>
      <c r="T295" s="127" t="s">
        <v>1027</v>
      </c>
      <c r="U295" s="128"/>
      <c r="V295" s="89"/>
      <c r="W295" s="90" t="s">
        <v>1028</v>
      </c>
      <c r="X295" s="81"/>
      <c r="Y295" s="81"/>
      <c r="Z295" s="81"/>
      <c r="AA295" s="81"/>
      <c r="AB295" s="81"/>
      <c r="AC295" s="81"/>
      <c r="AD295" s="81"/>
      <c r="AE295" s="81"/>
    </row>
    <row r="296" spans="1:31" s="1" customFormat="1" ht="27">
      <c r="A296" s="118">
        <v>295</v>
      </c>
      <c r="B296" s="119">
        <v>108</v>
      </c>
      <c r="C296" s="120" t="s">
        <v>178</v>
      </c>
      <c r="D296" s="120" t="s">
        <v>56</v>
      </c>
      <c r="E296" s="121" t="s">
        <v>1029</v>
      </c>
      <c r="F296" s="121" t="s">
        <v>465</v>
      </c>
      <c r="G296" s="121" t="s">
        <v>1026</v>
      </c>
      <c r="H296" s="122">
        <v>215</v>
      </c>
      <c r="I296" s="120" t="s">
        <v>42</v>
      </c>
      <c r="J296" s="123">
        <v>8</v>
      </c>
      <c r="K296" s="120">
        <v>0</v>
      </c>
      <c r="L296" s="120">
        <v>9</v>
      </c>
      <c r="M296" s="120">
        <v>0</v>
      </c>
      <c r="N296" s="120">
        <v>1</v>
      </c>
      <c r="O296" s="124">
        <v>6880000</v>
      </c>
      <c r="P296" s="125">
        <v>35659766</v>
      </c>
      <c r="Q296" s="125">
        <v>724350</v>
      </c>
      <c r="R296" s="124">
        <f t="shared" si="4"/>
        <v>43264116</v>
      </c>
      <c r="S296" s="141" t="s">
        <v>983</v>
      </c>
      <c r="T296" s="127" t="s">
        <v>1030</v>
      </c>
      <c r="U296" s="128" t="s">
        <v>1031</v>
      </c>
      <c r="V296" s="89"/>
      <c r="W296" s="90"/>
      <c r="X296" s="81"/>
      <c r="Y296" s="81"/>
      <c r="Z296" s="81"/>
      <c r="AA296" s="81"/>
      <c r="AB296" s="81"/>
      <c r="AC296" s="81"/>
      <c r="AD296" s="81"/>
      <c r="AE296" s="81"/>
    </row>
    <row r="297" spans="1:31" s="1" customFormat="1" ht="54">
      <c r="A297" s="118">
        <v>296</v>
      </c>
      <c r="B297" s="119">
        <v>108</v>
      </c>
      <c r="C297" s="120" t="s">
        <v>178</v>
      </c>
      <c r="D297" s="120" t="s">
        <v>56</v>
      </c>
      <c r="E297" s="121" t="s">
        <v>1032</v>
      </c>
      <c r="F297" s="121" t="s">
        <v>1033</v>
      </c>
      <c r="G297" s="121" t="s">
        <v>1034</v>
      </c>
      <c r="H297" s="122">
        <v>325</v>
      </c>
      <c r="I297" s="120" t="s">
        <v>42</v>
      </c>
      <c r="J297" s="123">
        <v>20</v>
      </c>
      <c r="K297" s="120">
        <v>3</v>
      </c>
      <c r="L297" s="120">
        <v>9</v>
      </c>
      <c r="M297" s="120">
        <v>0</v>
      </c>
      <c r="N297" s="120">
        <v>1</v>
      </c>
      <c r="O297" s="124">
        <v>26000000</v>
      </c>
      <c r="P297" s="125">
        <v>307000000</v>
      </c>
      <c r="Q297" s="125">
        <v>2060000</v>
      </c>
      <c r="R297" s="124">
        <f t="shared" si="4"/>
        <v>335060000</v>
      </c>
      <c r="S297" s="141" t="s">
        <v>930</v>
      </c>
      <c r="T297" s="127" t="s">
        <v>1035</v>
      </c>
      <c r="U297" s="128"/>
      <c r="V297" s="89"/>
      <c r="W297" s="90" t="s">
        <v>1036</v>
      </c>
      <c r="X297" s="81"/>
      <c r="Y297" s="81"/>
      <c r="Z297" s="81"/>
      <c r="AA297" s="81"/>
      <c r="AB297" s="81"/>
      <c r="AC297" s="81"/>
      <c r="AD297" s="81"/>
      <c r="AE297" s="81"/>
    </row>
    <row r="298" spans="1:31" s="1" customFormat="1" ht="27">
      <c r="A298" s="118">
        <v>297</v>
      </c>
      <c r="B298" s="119">
        <v>108</v>
      </c>
      <c r="C298" s="120" t="s">
        <v>178</v>
      </c>
      <c r="D298" s="120" t="s">
        <v>56</v>
      </c>
      <c r="E298" s="121" t="s">
        <v>1037</v>
      </c>
      <c r="F298" s="121" t="s">
        <v>1033</v>
      </c>
      <c r="G298" s="121" t="s">
        <v>1034</v>
      </c>
      <c r="H298" s="122">
        <v>325</v>
      </c>
      <c r="I298" s="120" t="s">
        <v>42</v>
      </c>
      <c r="J298" s="123">
        <v>8</v>
      </c>
      <c r="K298" s="120">
        <v>1</v>
      </c>
      <c r="L298" s="120">
        <v>7</v>
      </c>
      <c r="M298" s="120">
        <v>0</v>
      </c>
      <c r="N298" s="120">
        <v>1</v>
      </c>
      <c r="O298" s="124">
        <v>10400000</v>
      </c>
      <c r="P298" s="125">
        <v>73680000</v>
      </c>
      <c r="Q298" s="125">
        <v>2060000</v>
      </c>
      <c r="R298" s="124">
        <f t="shared" si="4"/>
        <v>86140000</v>
      </c>
      <c r="S298" s="141" t="s">
        <v>930</v>
      </c>
      <c r="T298" s="127" t="s">
        <v>1038</v>
      </c>
      <c r="U298" s="128"/>
      <c r="V298" s="89"/>
      <c r="W298" s="90" t="s">
        <v>926</v>
      </c>
      <c r="X298" s="81"/>
      <c r="Y298" s="81"/>
      <c r="Z298" s="81"/>
      <c r="AA298" s="81"/>
      <c r="AB298" s="81"/>
      <c r="AC298" s="81"/>
      <c r="AD298" s="81"/>
      <c r="AE298" s="81"/>
    </row>
    <row r="299" spans="1:31" s="1" customFormat="1" ht="40.5">
      <c r="A299" s="118">
        <v>298</v>
      </c>
      <c r="B299" s="119">
        <v>108</v>
      </c>
      <c r="C299" s="120" t="s">
        <v>178</v>
      </c>
      <c r="D299" s="120" t="s">
        <v>56</v>
      </c>
      <c r="E299" s="121" t="s">
        <v>1039</v>
      </c>
      <c r="F299" s="121" t="s">
        <v>1040</v>
      </c>
      <c r="G299" s="121" t="s">
        <v>1041</v>
      </c>
      <c r="H299" s="122">
        <v>95</v>
      </c>
      <c r="I299" s="120" t="s">
        <v>42</v>
      </c>
      <c r="J299" s="123">
        <v>10</v>
      </c>
      <c r="K299" s="120">
        <v>0</v>
      </c>
      <c r="L299" s="120">
        <v>10</v>
      </c>
      <c r="M299" s="120">
        <v>4</v>
      </c>
      <c r="N299" s="120">
        <v>0</v>
      </c>
      <c r="O299" s="124">
        <v>3800000</v>
      </c>
      <c r="P299" s="125">
        <v>26081044</v>
      </c>
      <c r="Q299" s="125">
        <v>6796796</v>
      </c>
      <c r="R299" s="124">
        <f t="shared" si="4"/>
        <v>36677840</v>
      </c>
      <c r="S299" s="141" t="s">
        <v>930</v>
      </c>
      <c r="T299" s="127" t="s">
        <v>1042</v>
      </c>
      <c r="U299" s="128"/>
      <c r="V299" s="89"/>
      <c r="W299" s="90" t="s">
        <v>926</v>
      </c>
      <c r="X299" s="81"/>
      <c r="Y299" s="81"/>
      <c r="Z299" s="81"/>
      <c r="AA299" s="81"/>
      <c r="AB299" s="81"/>
      <c r="AC299" s="81"/>
      <c r="AD299" s="81"/>
      <c r="AE299" s="81"/>
    </row>
    <row r="300" spans="1:31" s="1" customFormat="1" ht="15.75">
      <c r="A300" s="118">
        <v>299</v>
      </c>
      <c r="B300" s="119">
        <v>108</v>
      </c>
      <c r="C300" s="120" t="s">
        <v>178</v>
      </c>
      <c r="D300" s="120" t="s">
        <v>56</v>
      </c>
      <c r="E300" s="121" t="s">
        <v>1043</v>
      </c>
      <c r="F300" s="121" t="s">
        <v>216</v>
      </c>
      <c r="G300" s="121" t="s">
        <v>217</v>
      </c>
      <c r="H300" s="122">
        <v>125</v>
      </c>
      <c r="I300" s="120" t="s">
        <v>42</v>
      </c>
      <c r="J300" s="123">
        <v>8</v>
      </c>
      <c r="K300" s="120">
        <v>4</v>
      </c>
      <c r="L300" s="120">
        <v>16</v>
      </c>
      <c r="M300" s="120">
        <v>2</v>
      </c>
      <c r="N300" s="120">
        <v>6</v>
      </c>
      <c r="O300" s="124">
        <v>4000000</v>
      </c>
      <c r="P300" s="125">
        <v>53532000</v>
      </c>
      <c r="Q300" s="125">
        <v>5788798</v>
      </c>
      <c r="R300" s="124">
        <f t="shared" si="4"/>
        <v>63320798</v>
      </c>
      <c r="S300" s="126"/>
      <c r="T300" s="127" t="s">
        <v>1044</v>
      </c>
      <c r="U300" s="128"/>
      <c r="V300" s="89"/>
      <c r="W300" s="90" t="s">
        <v>1045</v>
      </c>
      <c r="X300" s="81"/>
      <c r="Y300" s="81"/>
      <c r="Z300" s="81"/>
      <c r="AA300" s="81"/>
      <c r="AB300" s="81"/>
      <c r="AC300" s="81"/>
      <c r="AD300" s="81"/>
      <c r="AE300" s="81"/>
    </row>
    <row r="301" spans="1:31" s="1" customFormat="1" ht="40.5">
      <c r="A301" s="118">
        <v>300</v>
      </c>
      <c r="B301" s="119">
        <v>108</v>
      </c>
      <c r="C301" s="120" t="s">
        <v>178</v>
      </c>
      <c r="D301" s="120" t="s">
        <v>56</v>
      </c>
      <c r="E301" s="121" t="s">
        <v>1046</v>
      </c>
      <c r="F301" s="121" t="s">
        <v>216</v>
      </c>
      <c r="G301" s="121" t="s">
        <v>1047</v>
      </c>
      <c r="H301" s="122">
        <v>87</v>
      </c>
      <c r="I301" s="120" t="s">
        <v>42</v>
      </c>
      <c r="J301" s="123">
        <v>8</v>
      </c>
      <c r="K301" s="120">
        <v>2</v>
      </c>
      <c r="L301" s="120">
        <v>8</v>
      </c>
      <c r="M301" s="120">
        <v>1</v>
      </c>
      <c r="N301" s="120">
        <v>4</v>
      </c>
      <c r="O301" s="124">
        <v>2784000</v>
      </c>
      <c r="P301" s="125">
        <v>19187850</v>
      </c>
      <c r="Q301" s="125">
        <v>3770858</v>
      </c>
      <c r="R301" s="124">
        <f t="shared" si="4"/>
        <v>25742708</v>
      </c>
      <c r="S301" s="141" t="s">
        <v>983</v>
      </c>
      <c r="T301" s="127" t="s">
        <v>1048</v>
      </c>
      <c r="U301" s="128"/>
      <c r="V301" s="89"/>
      <c r="W301" s="90" t="s">
        <v>1049</v>
      </c>
      <c r="X301" s="81"/>
      <c r="Y301" s="81"/>
      <c r="Z301" s="81"/>
      <c r="AA301" s="81"/>
      <c r="AB301" s="81"/>
      <c r="AC301" s="81"/>
      <c r="AD301" s="81"/>
      <c r="AE301" s="81"/>
    </row>
    <row r="302" spans="1:31" s="1" customFormat="1" ht="40.5">
      <c r="A302" s="118">
        <v>301</v>
      </c>
      <c r="B302" s="119">
        <v>108</v>
      </c>
      <c r="C302" s="120" t="s">
        <v>178</v>
      </c>
      <c r="D302" s="120" t="s">
        <v>83</v>
      </c>
      <c r="E302" s="121" t="s">
        <v>1050</v>
      </c>
      <c r="F302" s="121" t="s">
        <v>1051</v>
      </c>
      <c r="G302" s="121" t="s">
        <v>804</v>
      </c>
      <c r="H302" s="122">
        <v>1150</v>
      </c>
      <c r="I302" s="120" t="s">
        <v>243</v>
      </c>
      <c r="J302" s="123">
        <v>12</v>
      </c>
      <c r="K302" s="120">
        <v>10</v>
      </c>
      <c r="L302" s="120">
        <v>36</v>
      </c>
      <c r="M302" s="120">
        <v>0</v>
      </c>
      <c r="N302" s="120">
        <v>0</v>
      </c>
      <c r="O302" s="124">
        <v>111000000</v>
      </c>
      <c r="P302" s="124">
        <v>62000000</v>
      </c>
      <c r="Q302" s="124">
        <v>0</v>
      </c>
      <c r="R302" s="124">
        <f t="shared" si="4"/>
        <v>173000000</v>
      </c>
      <c r="S302" s="141" t="s">
        <v>974</v>
      </c>
      <c r="T302" s="127" t="s">
        <v>1052</v>
      </c>
      <c r="U302" s="128"/>
      <c r="V302" s="89"/>
      <c r="W302" s="90" t="s">
        <v>1053</v>
      </c>
      <c r="X302" s="81"/>
      <c r="Y302" s="81"/>
      <c r="Z302" s="81"/>
      <c r="AA302" s="81"/>
      <c r="AB302" s="81"/>
      <c r="AC302" s="81"/>
      <c r="AD302" s="81"/>
      <c r="AE302" s="81"/>
    </row>
    <row r="303" spans="1:31" s="1" customFormat="1" ht="40.5">
      <c r="A303" s="118">
        <v>302</v>
      </c>
      <c r="B303" s="119">
        <v>108</v>
      </c>
      <c r="C303" s="120" t="s">
        <v>178</v>
      </c>
      <c r="D303" s="120" t="s">
        <v>83</v>
      </c>
      <c r="E303" s="121" t="s">
        <v>1054</v>
      </c>
      <c r="F303" s="121" t="s">
        <v>1055</v>
      </c>
      <c r="G303" s="121" t="s">
        <v>1056</v>
      </c>
      <c r="H303" s="122">
        <v>2878</v>
      </c>
      <c r="I303" s="144" t="s">
        <v>1057</v>
      </c>
      <c r="J303" s="123">
        <v>12</v>
      </c>
      <c r="K303" s="120">
        <v>69</v>
      </c>
      <c r="L303" s="120">
        <v>287</v>
      </c>
      <c r="M303" s="120">
        <v>81</v>
      </c>
      <c r="N303" s="120">
        <v>12</v>
      </c>
      <c r="O303" s="124">
        <v>204000000</v>
      </c>
      <c r="P303" s="124">
        <v>608000000</v>
      </c>
      <c r="Q303" s="124">
        <v>103000000</v>
      </c>
      <c r="R303" s="124">
        <f t="shared" si="4"/>
        <v>915000000</v>
      </c>
      <c r="S303" s="141" t="s">
        <v>974</v>
      </c>
      <c r="T303" s="127" t="s">
        <v>1052</v>
      </c>
      <c r="U303" s="128"/>
      <c r="V303" s="89"/>
      <c r="W303" s="90" t="s">
        <v>1053</v>
      </c>
      <c r="X303" s="81"/>
      <c r="Y303" s="81"/>
      <c r="Z303" s="81"/>
      <c r="AA303" s="81"/>
      <c r="AB303" s="81"/>
      <c r="AC303" s="81"/>
      <c r="AD303" s="81"/>
      <c r="AE303" s="81"/>
    </row>
    <row r="304" spans="1:31" s="1" customFormat="1" ht="40.5">
      <c r="A304" s="118">
        <v>303</v>
      </c>
      <c r="B304" s="119">
        <v>108</v>
      </c>
      <c r="C304" s="120" t="s">
        <v>178</v>
      </c>
      <c r="D304" s="120" t="s">
        <v>83</v>
      </c>
      <c r="E304" s="121" t="s">
        <v>1058</v>
      </c>
      <c r="F304" s="121" t="s">
        <v>1059</v>
      </c>
      <c r="G304" s="121" t="s">
        <v>1060</v>
      </c>
      <c r="H304" s="134">
        <v>62</v>
      </c>
      <c r="I304" s="126" t="s">
        <v>42</v>
      </c>
      <c r="J304" s="135">
        <v>12</v>
      </c>
      <c r="K304" s="126">
        <v>2</v>
      </c>
      <c r="L304" s="126">
        <v>25</v>
      </c>
      <c r="M304" s="126">
        <v>0</v>
      </c>
      <c r="N304" s="126" t="s">
        <v>1061</v>
      </c>
      <c r="O304" s="136">
        <v>2976000</v>
      </c>
      <c r="P304" s="137">
        <v>48580640</v>
      </c>
      <c r="Q304" s="137">
        <v>403596</v>
      </c>
      <c r="R304" s="124">
        <f t="shared" si="4"/>
        <v>51960236</v>
      </c>
      <c r="S304" s="141" t="s">
        <v>933</v>
      </c>
      <c r="T304" s="127" t="s">
        <v>1062</v>
      </c>
      <c r="U304" s="128"/>
      <c r="V304" s="89"/>
      <c r="W304" s="90" t="s">
        <v>1063</v>
      </c>
      <c r="X304" s="81"/>
      <c r="Y304" s="81"/>
      <c r="Z304" s="81"/>
      <c r="AA304" s="81"/>
      <c r="AB304" s="81"/>
      <c r="AC304" s="81"/>
      <c r="AD304" s="81"/>
      <c r="AE304" s="81"/>
    </row>
    <row r="305" spans="1:31" s="1" customFormat="1" ht="40.5">
      <c r="A305" s="118">
        <v>304</v>
      </c>
      <c r="B305" s="119">
        <v>108</v>
      </c>
      <c r="C305" s="120" t="s">
        <v>178</v>
      </c>
      <c r="D305" s="120" t="s">
        <v>83</v>
      </c>
      <c r="E305" s="121" t="s">
        <v>1064</v>
      </c>
      <c r="F305" s="121" t="s">
        <v>1065</v>
      </c>
      <c r="G305" s="121" t="s">
        <v>1066</v>
      </c>
      <c r="H305" s="122">
        <v>235</v>
      </c>
      <c r="I305" s="120" t="s">
        <v>1067</v>
      </c>
      <c r="J305" s="123">
        <v>3</v>
      </c>
      <c r="K305" s="120">
        <v>6</v>
      </c>
      <c r="L305" s="120">
        <v>3</v>
      </c>
      <c r="M305" s="120">
        <v>0</v>
      </c>
      <c r="N305" s="120">
        <v>0</v>
      </c>
      <c r="O305" s="124">
        <v>7356000</v>
      </c>
      <c r="P305" s="124">
        <v>1440000</v>
      </c>
      <c r="Q305" s="124">
        <v>0</v>
      </c>
      <c r="R305" s="124">
        <f t="shared" si="4"/>
        <v>8796000</v>
      </c>
      <c r="S305" s="141" t="s">
        <v>930</v>
      </c>
      <c r="T305" s="127" t="s">
        <v>1068</v>
      </c>
      <c r="U305" s="128"/>
      <c r="V305" s="89"/>
      <c r="W305" s="90" t="s">
        <v>795</v>
      </c>
      <c r="X305" s="81"/>
      <c r="Y305" s="81"/>
      <c r="Z305" s="81"/>
      <c r="AA305" s="81"/>
      <c r="AB305" s="81"/>
      <c r="AC305" s="81"/>
      <c r="AD305" s="81"/>
      <c r="AE305" s="81"/>
    </row>
    <row r="306" spans="1:31" s="1" customFormat="1" ht="40.5">
      <c r="A306" s="118">
        <v>305</v>
      </c>
      <c r="B306" s="119">
        <v>108</v>
      </c>
      <c r="C306" s="120" t="s">
        <v>178</v>
      </c>
      <c r="D306" s="120" t="s">
        <v>83</v>
      </c>
      <c r="E306" s="140" t="s">
        <v>1069</v>
      </c>
      <c r="F306" s="140" t="s">
        <v>259</v>
      </c>
      <c r="G306" s="140" t="s">
        <v>584</v>
      </c>
      <c r="H306" s="122">
        <v>396</v>
      </c>
      <c r="I306" s="120" t="s">
        <v>42</v>
      </c>
      <c r="J306" s="123">
        <v>15</v>
      </c>
      <c r="K306" s="120">
        <v>1</v>
      </c>
      <c r="L306" s="120">
        <v>18</v>
      </c>
      <c r="M306" s="120">
        <v>0</v>
      </c>
      <c r="N306" s="120">
        <v>5</v>
      </c>
      <c r="O306" s="124">
        <v>23760000</v>
      </c>
      <c r="P306" s="124">
        <v>162029768</v>
      </c>
      <c r="Q306" s="124">
        <v>6506137</v>
      </c>
      <c r="R306" s="124">
        <f t="shared" si="4"/>
        <v>192295905</v>
      </c>
      <c r="S306" s="141" t="s">
        <v>930</v>
      </c>
      <c r="T306" s="127" t="s">
        <v>1070</v>
      </c>
      <c r="U306" s="128"/>
      <c r="V306" s="89"/>
      <c r="W306" s="90" t="s">
        <v>1071</v>
      </c>
      <c r="X306" s="81"/>
      <c r="Y306" s="81"/>
      <c r="Z306" s="81"/>
      <c r="AA306" s="81"/>
      <c r="AB306" s="81"/>
      <c r="AC306" s="81"/>
      <c r="AD306" s="81"/>
      <c r="AE306" s="81"/>
    </row>
    <row r="307" spans="1:31" s="1" customFormat="1" ht="40.5">
      <c r="A307" s="118">
        <v>306</v>
      </c>
      <c r="B307" s="119">
        <v>108</v>
      </c>
      <c r="C307" s="120" t="s">
        <v>178</v>
      </c>
      <c r="D307" s="120" t="s">
        <v>83</v>
      </c>
      <c r="E307" s="121" t="s">
        <v>1072</v>
      </c>
      <c r="F307" s="121" t="s">
        <v>1073</v>
      </c>
      <c r="G307" s="121" t="s">
        <v>584</v>
      </c>
      <c r="H307" s="122">
        <v>750</v>
      </c>
      <c r="I307" s="120" t="s">
        <v>42</v>
      </c>
      <c r="J307" s="123">
        <v>15</v>
      </c>
      <c r="K307" s="120">
        <v>2</v>
      </c>
      <c r="L307" s="120">
        <v>40</v>
      </c>
      <c r="M307" s="120">
        <v>6</v>
      </c>
      <c r="N307" s="120">
        <v>11</v>
      </c>
      <c r="O307" s="124">
        <v>41360000</v>
      </c>
      <c r="P307" s="124">
        <v>151000000</v>
      </c>
      <c r="Q307" s="124">
        <v>17000000</v>
      </c>
      <c r="R307" s="125">
        <f t="shared" si="4"/>
        <v>209360000</v>
      </c>
      <c r="S307" s="141" t="s">
        <v>930</v>
      </c>
      <c r="T307" s="127" t="s">
        <v>1074</v>
      </c>
      <c r="U307" s="128"/>
      <c r="V307" s="89"/>
      <c r="W307" s="90" t="s">
        <v>1053</v>
      </c>
      <c r="X307" s="81"/>
      <c r="Y307" s="81"/>
      <c r="Z307" s="81"/>
      <c r="AA307" s="81"/>
      <c r="AB307" s="81"/>
      <c r="AC307" s="81"/>
      <c r="AD307" s="81"/>
      <c r="AE307" s="81"/>
    </row>
    <row r="308" spans="1:31" s="1" customFormat="1" ht="40.5">
      <c r="A308" s="118">
        <v>307</v>
      </c>
      <c r="B308" s="119">
        <v>108</v>
      </c>
      <c r="C308" s="120" t="s">
        <v>178</v>
      </c>
      <c r="D308" s="120" t="s">
        <v>108</v>
      </c>
      <c r="E308" s="121" t="s">
        <v>1075</v>
      </c>
      <c r="F308" s="121" t="s">
        <v>1076</v>
      </c>
      <c r="G308" s="121" t="s">
        <v>1077</v>
      </c>
      <c r="H308" s="122">
        <v>120</v>
      </c>
      <c r="I308" s="120">
        <v>7</v>
      </c>
      <c r="J308" s="123">
        <v>8</v>
      </c>
      <c r="K308" s="120">
        <v>5</v>
      </c>
      <c r="L308" s="120">
        <v>4</v>
      </c>
      <c r="M308" s="120">
        <v>3</v>
      </c>
      <c r="N308" s="120">
        <v>0</v>
      </c>
      <c r="O308" s="124">
        <v>3840000</v>
      </c>
      <c r="P308" s="124">
        <v>25280640</v>
      </c>
      <c r="Q308" s="124">
        <v>8000000</v>
      </c>
      <c r="R308" s="125">
        <f t="shared" si="4"/>
        <v>37120640</v>
      </c>
      <c r="S308" s="141" t="s">
        <v>1078</v>
      </c>
      <c r="T308" s="127" t="s">
        <v>1079</v>
      </c>
      <c r="U308" s="128"/>
      <c r="V308" s="89"/>
      <c r="W308" s="90" t="s">
        <v>1080</v>
      </c>
      <c r="X308" s="81"/>
      <c r="Y308" s="81"/>
      <c r="Z308" s="81"/>
      <c r="AA308" s="81"/>
      <c r="AB308" s="81"/>
      <c r="AC308" s="81"/>
      <c r="AD308" s="81"/>
      <c r="AE308" s="81"/>
    </row>
    <row r="309" spans="1:31" s="1" customFormat="1" ht="40.5">
      <c r="A309" s="118">
        <v>308</v>
      </c>
      <c r="B309" s="119">
        <v>108</v>
      </c>
      <c r="C309" s="120" t="s">
        <v>178</v>
      </c>
      <c r="D309" s="120" t="s">
        <v>108</v>
      </c>
      <c r="E309" s="121" t="s">
        <v>1081</v>
      </c>
      <c r="F309" s="121" t="s">
        <v>1082</v>
      </c>
      <c r="G309" s="121" t="s">
        <v>1083</v>
      </c>
      <c r="H309" s="122">
        <v>210</v>
      </c>
      <c r="I309" s="120" t="s">
        <v>206</v>
      </c>
      <c r="J309" s="123">
        <v>8</v>
      </c>
      <c r="K309" s="120">
        <v>1</v>
      </c>
      <c r="L309" s="120">
        <v>36</v>
      </c>
      <c r="M309" s="120">
        <v>8</v>
      </c>
      <c r="N309" s="120">
        <v>2</v>
      </c>
      <c r="O309" s="124">
        <v>6720000</v>
      </c>
      <c r="P309" s="124">
        <v>125193600</v>
      </c>
      <c r="Q309" s="124">
        <v>33280000</v>
      </c>
      <c r="R309" s="125">
        <f t="shared" si="4"/>
        <v>165193600</v>
      </c>
      <c r="S309" s="141" t="s">
        <v>930</v>
      </c>
      <c r="T309" s="127" t="s">
        <v>1084</v>
      </c>
      <c r="U309" s="128"/>
      <c r="V309" s="89"/>
      <c r="W309" s="90" t="s">
        <v>813</v>
      </c>
      <c r="X309" s="81"/>
      <c r="Y309" s="81"/>
      <c r="Z309" s="81"/>
      <c r="AA309" s="81"/>
      <c r="AB309" s="81"/>
      <c r="AC309" s="81"/>
      <c r="AD309" s="81"/>
      <c r="AE309" s="81"/>
    </row>
    <row r="310" spans="1:31" s="1" customFormat="1" ht="40.5">
      <c r="A310" s="118">
        <v>309</v>
      </c>
      <c r="B310" s="119">
        <v>108</v>
      </c>
      <c r="C310" s="120" t="s">
        <v>178</v>
      </c>
      <c r="D310" s="120" t="s">
        <v>108</v>
      </c>
      <c r="E310" s="121" t="s">
        <v>1085</v>
      </c>
      <c r="F310" s="121" t="s">
        <v>1086</v>
      </c>
      <c r="G310" s="121"/>
      <c r="H310" s="122">
        <v>150</v>
      </c>
      <c r="I310" s="120" t="s">
        <v>42</v>
      </c>
      <c r="J310" s="123">
        <v>15</v>
      </c>
      <c r="K310" s="120">
        <v>18</v>
      </c>
      <c r="L310" s="120">
        <v>6</v>
      </c>
      <c r="M310" s="120">
        <v>0</v>
      </c>
      <c r="N310" s="120">
        <v>0</v>
      </c>
      <c r="O310" s="124">
        <v>9896000</v>
      </c>
      <c r="P310" s="124">
        <v>2723368</v>
      </c>
      <c r="Q310" s="124">
        <v>0</v>
      </c>
      <c r="R310" s="125">
        <f t="shared" si="4"/>
        <v>12619368</v>
      </c>
      <c r="S310" s="141" t="s">
        <v>983</v>
      </c>
      <c r="T310" s="127" t="s">
        <v>1087</v>
      </c>
      <c r="U310" s="128"/>
      <c r="V310" s="89"/>
      <c r="W310" s="90" t="s">
        <v>1088</v>
      </c>
      <c r="X310" s="81"/>
      <c r="Y310" s="81"/>
      <c r="Z310" s="81"/>
      <c r="AA310" s="81"/>
      <c r="AB310" s="81"/>
      <c r="AC310" s="81"/>
      <c r="AD310" s="81"/>
      <c r="AE310" s="81"/>
    </row>
    <row r="311" spans="1:31" s="1" customFormat="1" ht="40.5">
      <c r="A311" s="118">
        <v>310</v>
      </c>
      <c r="B311" s="119">
        <v>108</v>
      </c>
      <c r="C311" s="120" t="s">
        <v>178</v>
      </c>
      <c r="D311" s="120" t="s">
        <v>108</v>
      </c>
      <c r="E311" s="121" t="s">
        <v>1089</v>
      </c>
      <c r="F311" s="121" t="s">
        <v>1090</v>
      </c>
      <c r="G311" s="121" t="s">
        <v>1091</v>
      </c>
      <c r="H311" s="122">
        <v>68</v>
      </c>
      <c r="I311" s="120">
        <v>3</v>
      </c>
      <c r="J311" s="123">
        <v>8</v>
      </c>
      <c r="K311" s="120">
        <v>4</v>
      </c>
      <c r="L311" s="120">
        <v>8</v>
      </c>
      <c r="M311" s="120">
        <v>2</v>
      </c>
      <c r="N311" s="120">
        <v>0</v>
      </c>
      <c r="O311" s="124">
        <v>2176000</v>
      </c>
      <c r="P311" s="124">
        <v>61633560</v>
      </c>
      <c r="Q311" s="124">
        <v>7045760</v>
      </c>
      <c r="R311" s="125">
        <f t="shared" si="4"/>
        <v>70855320</v>
      </c>
      <c r="S311" s="141" t="s">
        <v>930</v>
      </c>
      <c r="T311" s="127" t="s">
        <v>1092</v>
      </c>
      <c r="U311" s="128"/>
      <c r="V311" s="89"/>
      <c r="W311" s="90" t="s">
        <v>813</v>
      </c>
      <c r="X311" s="81"/>
      <c r="Y311" s="81"/>
      <c r="Z311" s="81"/>
      <c r="AA311" s="81"/>
      <c r="AB311" s="81"/>
      <c r="AC311" s="81"/>
      <c r="AD311" s="81"/>
      <c r="AE311" s="81"/>
    </row>
    <row r="312" spans="1:31" s="1" customFormat="1" ht="27">
      <c r="A312" s="118">
        <v>311</v>
      </c>
      <c r="B312" s="119">
        <v>108</v>
      </c>
      <c r="C312" s="120" t="s">
        <v>178</v>
      </c>
      <c r="D312" s="120" t="s">
        <v>108</v>
      </c>
      <c r="E312" s="121" t="s">
        <v>1093</v>
      </c>
      <c r="F312" s="121" t="s">
        <v>594</v>
      </c>
      <c r="G312" s="121" t="s">
        <v>580</v>
      </c>
      <c r="H312" s="122">
        <v>115</v>
      </c>
      <c r="I312" s="120" t="s">
        <v>42</v>
      </c>
      <c r="J312" s="123">
        <v>8</v>
      </c>
      <c r="K312" s="120">
        <v>2</v>
      </c>
      <c r="L312" s="120">
        <v>4</v>
      </c>
      <c r="M312" s="120">
        <v>0</v>
      </c>
      <c r="N312" s="120">
        <v>2</v>
      </c>
      <c r="O312" s="124">
        <v>7360000</v>
      </c>
      <c r="P312" s="124">
        <v>13924430</v>
      </c>
      <c r="Q312" s="124">
        <v>2787600</v>
      </c>
      <c r="R312" s="125">
        <f t="shared" si="4"/>
        <v>24072030</v>
      </c>
      <c r="S312" s="126" t="s">
        <v>683</v>
      </c>
      <c r="T312" s="127" t="s">
        <v>1094</v>
      </c>
      <c r="U312" s="128" t="s">
        <v>596</v>
      </c>
      <c r="V312" s="89"/>
      <c r="W312" s="90"/>
      <c r="X312" s="81"/>
      <c r="Y312" s="81"/>
      <c r="Z312" s="81"/>
      <c r="AA312" s="81"/>
      <c r="AB312" s="81"/>
      <c r="AC312" s="81"/>
      <c r="AD312" s="81"/>
      <c r="AE312" s="81"/>
    </row>
    <row r="313" spans="1:31" s="1" customFormat="1" ht="40.5">
      <c r="A313" s="118">
        <v>312</v>
      </c>
      <c r="B313" s="119">
        <v>108</v>
      </c>
      <c r="C313" s="120" t="s">
        <v>178</v>
      </c>
      <c r="D313" s="120" t="s">
        <v>117</v>
      </c>
      <c r="E313" s="121" t="s">
        <v>1095</v>
      </c>
      <c r="F313" s="121" t="s">
        <v>1096</v>
      </c>
      <c r="G313" s="121" t="s">
        <v>599</v>
      </c>
      <c r="H313" s="122">
        <v>1345</v>
      </c>
      <c r="I313" s="120" t="s">
        <v>42</v>
      </c>
      <c r="J313" s="123">
        <v>8</v>
      </c>
      <c r="K313" s="120">
        <v>40</v>
      </c>
      <c r="L313" s="120">
        <v>15</v>
      </c>
      <c r="M313" s="120">
        <v>0</v>
      </c>
      <c r="N313" s="120">
        <v>0</v>
      </c>
      <c r="O313" s="124">
        <v>191000000</v>
      </c>
      <c r="P313" s="124">
        <v>188000000</v>
      </c>
      <c r="Q313" s="124">
        <v>12000000</v>
      </c>
      <c r="R313" s="125">
        <f t="shared" si="4"/>
        <v>391000000</v>
      </c>
      <c r="S313" s="141" t="s">
        <v>974</v>
      </c>
      <c r="T313" s="127" t="s">
        <v>1052</v>
      </c>
      <c r="U313" s="138" t="s">
        <v>1097</v>
      </c>
      <c r="V313" s="89"/>
      <c r="W313" s="90" t="s">
        <v>1053</v>
      </c>
      <c r="X313" s="81"/>
      <c r="Y313" s="81"/>
      <c r="Z313" s="81"/>
      <c r="AA313" s="81"/>
      <c r="AB313" s="81"/>
      <c r="AC313" s="81"/>
      <c r="AD313" s="81"/>
      <c r="AE313" s="81"/>
    </row>
    <row r="314" spans="1:31" s="1" customFormat="1" ht="40.5">
      <c r="A314" s="118">
        <v>313</v>
      </c>
      <c r="B314" s="119">
        <v>108</v>
      </c>
      <c r="C314" s="120" t="s">
        <v>178</v>
      </c>
      <c r="D314" s="120" t="s">
        <v>117</v>
      </c>
      <c r="E314" s="121" t="s">
        <v>1098</v>
      </c>
      <c r="F314" s="121" t="s">
        <v>599</v>
      </c>
      <c r="G314" s="121" t="s">
        <v>1099</v>
      </c>
      <c r="H314" s="122">
        <v>1329</v>
      </c>
      <c r="I314" s="120" t="s">
        <v>42</v>
      </c>
      <c r="J314" s="123">
        <v>8</v>
      </c>
      <c r="K314" s="120">
        <v>39</v>
      </c>
      <c r="L314" s="120">
        <v>37</v>
      </c>
      <c r="M314" s="120">
        <v>1</v>
      </c>
      <c r="N314" s="120">
        <v>1</v>
      </c>
      <c r="O314" s="124">
        <v>202000000</v>
      </c>
      <c r="P314" s="125">
        <v>188000000</v>
      </c>
      <c r="Q314" s="125">
        <v>12000000</v>
      </c>
      <c r="R314" s="124">
        <f t="shared" si="4"/>
        <v>402000000</v>
      </c>
      <c r="S314" s="141" t="s">
        <v>974</v>
      </c>
      <c r="T314" s="127" t="s">
        <v>1052</v>
      </c>
      <c r="U314" s="138" t="s">
        <v>1097</v>
      </c>
      <c r="V314" s="89"/>
      <c r="W314" s="90" t="s">
        <v>1053</v>
      </c>
      <c r="X314" s="81"/>
      <c r="Y314" s="81"/>
      <c r="Z314" s="81"/>
      <c r="AA314" s="81"/>
      <c r="AB314" s="81"/>
      <c r="AC314" s="81"/>
      <c r="AD314" s="81"/>
      <c r="AE314" s="81"/>
    </row>
    <row r="315" spans="1:31" s="1" customFormat="1" ht="40.5">
      <c r="A315" s="118">
        <v>314</v>
      </c>
      <c r="B315" s="119">
        <v>108</v>
      </c>
      <c r="C315" s="126" t="s">
        <v>1100</v>
      </c>
      <c r="D315" s="120" t="s">
        <v>117</v>
      </c>
      <c r="E315" s="140" t="s">
        <v>1101</v>
      </c>
      <c r="F315" s="140" t="s">
        <v>1102</v>
      </c>
      <c r="G315" s="140" t="s">
        <v>1096</v>
      </c>
      <c r="H315" s="122">
        <v>863</v>
      </c>
      <c r="I315" s="120" t="s">
        <v>42</v>
      </c>
      <c r="J315" s="123">
        <v>8</v>
      </c>
      <c r="K315" s="120">
        <v>6</v>
      </c>
      <c r="L315" s="120">
        <v>29</v>
      </c>
      <c r="M315" s="120">
        <v>0</v>
      </c>
      <c r="N315" s="120">
        <v>0</v>
      </c>
      <c r="O315" s="124">
        <v>292000000</v>
      </c>
      <c r="P315" s="125">
        <v>58000000</v>
      </c>
      <c r="Q315" s="125">
        <v>0</v>
      </c>
      <c r="R315" s="124">
        <f t="shared" si="4"/>
        <v>350000000</v>
      </c>
      <c r="S315" s="141" t="s">
        <v>974</v>
      </c>
      <c r="T315" s="127" t="s">
        <v>1052</v>
      </c>
      <c r="U315" s="138" t="s">
        <v>1097</v>
      </c>
      <c r="V315" s="89"/>
      <c r="W315" s="90" t="s">
        <v>1053</v>
      </c>
      <c r="X315" s="81"/>
      <c r="Y315" s="81"/>
      <c r="Z315" s="81"/>
      <c r="AA315" s="81"/>
      <c r="AB315" s="81"/>
      <c r="AC315" s="81"/>
      <c r="AD315" s="81"/>
      <c r="AE315" s="81"/>
    </row>
    <row r="316" spans="1:31" s="1" customFormat="1" ht="40.5">
      <c r="A316" s="118">
        <v>315</v>
      </c>
      <c r="B316" s="119">
        <v>108</v>
      </c>
      <c r="C316" s="126" t="s">
        <v>1100</v>
      </c>
      <c r="D316" s="120" t="s">
        <v>117</v>
      </c>
      <c r="E316" s="121" t="s">
        <v>1103</v>
      </c>
      <c r="F316" s="121" t="s">
        <v>1104</v>
      </c>
      <c r="G316" s="121" t="s">
        <v>1102</v>
      </c>
      <c r="H316" s="122">
        <v>1046</v>
      </c>
      <c r="I316" s="120">
        <v>3</v>
      </c>
      <c r="J316" s="123">
        <v>8</v>
      </c>
      <c r="K316" s="120">
        <v>9</v>
      </c>
      <c r="L316" s="120">
        <v>30</v>
      </c>
      <c r="M316" s="120">
        <v>2</v>
      </c>
      <c r="N316" s="120">
        <v>1</v>
      </c>
      <c r="O316" s="124">
        <v>80000000</v>
      </c>
      <c r="P316" s="125">
        <v>62000000</v>
      </c>
      <c r="Q316" s="125">
        <v>6000000</v>
      </c>
      <c r="R316" s="124">
        <f t="shared" si="4"/>
        <v>148000000</v>
      </c>
      <c r="S316" s="141" t="s">
        <v>974</v>
      </c>
      <c r="T316" s="127" t="s">
        <v>1105</v>
      </c>
      <c r="U316" s="128"/>
      <c r="V316" s="89"/>
      <c r="W316" s="90" t="s">
        <v>1053</v>
      </c>
      <c r="X316" s="81"/>
      <c r="Y316" s="81"/>
      <c r="Z316" s="81"/>
      <c r="AA316" s="81"/>
      <c r="AB316" s="81"/>
      <c r="AC316" s="81"/>
      <c r="AD316" s="81"/>
      <c r="AE316" s="81"/>
    </row>
    <row r="317" spans="1:31" s="1" customFormat="1" ht="40.5">
      <c r="A317" s="118">
        <v>316</v>
      </c>
      <c r="B317" s="119">
        <v>108</v>
      </c>
      <c r="C317" s="120" t="s">
        <v>178</v>
      </c>
      <c r="D317" s="120" t="s">
        <v>117</v>
      </c>
      <c r="E317" s="121" t="s">
        <v>1106</v>
      </c>
      <c r="F317" s="121" t="s">
        <v>426</v>
      </c>
      <c r="G317" s="121" t="s">
        <v>1107</v>
      </c>
      <c r="H317" s="122">
        <v>365</v>
      </c>
      <c r="I317" s="120" t="s">
        <v>42</v>
      </c>
      <c r="J317" s="123">
        <v>12</v>
      </c>
      <c r="K317" s="120">
        <v>5</v>
      </c>
      <c r="L317" s="120">
        <v>23</v>
      </c>
      <c r="M317" s="120">
        <v>0</v>
      </c>
      <c r="N317" s="120">
        <v>5</v>
      </c>
      <c r="O317" s="124">
        <v>42000000</v>
      </c>
      <c r="P317" s="124">
        <v>39000000</v>
      </c>
      <c r="Q317" s="124">
        <v>2000000</v>
      </c>
      <c r="R317" s="124">
        <f t="shared" si="4"/>
        <v>83000000</v>
      </c>
      <c r="S317" s="141" t="s">
        <v>974</v>
      </c>
      <c r="T317" s="127" t="s">
        <v>1052</v>
      </c>
      <c r="U317" s="128"/>
      <c r="V317" s="89"/>
      <c r="W317" s="90" t="s">
        <v>1053</v>
      </c>
      <c r="X317" s="81"/>
      <c r="Y317" s="81"/>
      <c r="Z317" s="81"/>
      <c r="AA317" s="81"/>
      <c r="AB317" s="81"/>
      <c r="AC317" s="81"/>
      <c r="AD317" s="81"/>
      <c r="AE317" s="81"/>
    </row>
    <row r="318" spans="1:31" s="1" customFormat="1" ht="40.5">
      <c r="A318" s="118">
        <v>317</v>
      </c>
      <c r="B318" s="119">
        <v>108</v>
      </c>
      <c r="C318" s="120" t="s">
        <v>178</v>
      </c>
      <c r="D318" s="120" t="s">
        <v>117</v>
      </c>
      <c r="E318" s="121" t="s">
        <v>1108</v>
      </c>
      <c r="F318" s="121" t="s">
        <v>1109</v>
      </c>
      <c r="G318" s="121" t="s">
        <v>1110</v>
      </c>
      <c r="H318" s="122">
        <v>1000</v>
      </c>
      <c r="I318" s="120">
        <v>5</v>
      </c>
      <c r="J318" s="123">
        <v>12</v>
      </c>
      <c r="K318" s="120">
        <v>16</v>
      </c>
      <c r="L318" s="120">
        <v>87</v>
      </c>
      <c r="M318" s="120">
        <v>0</v>
      </c>
      <c r="N318" s="120">
        <v>0</v>
      </c>
      <c r="O318" s="124">
        <v>96000000</v>
      </c>
      <c r="P318" s="124">
        <v>237580000</v>
      </c>
      <c r="Q318" s="124">
        <v>0</v>
      </c>
      <c r="R318" s="124">
        <f t="shared" si="4"/>
        <v>333580000</v>
      </c>
      <c r="S318" s="141" t="s">
        <v>930</v>
      </c>
      <c r="T318" s="127" t="s">
        <v>1111</v>
      </c>
      <c r="U318" s="128"/>
      <c r="V318" s="89"/>
      <c r="W318" s="90" t="s">
        <v>668</v>
      </c>
      <c r="X318" s="81"/>
      <c r="Y318" s="81"/>
      <c r="Z318" s="81"/>
      <c r="AA318" s="81"/>
      <c r="AB318" s="81"/>
      <c r="AC318" s="81"/>
      <c r="AD318" s="81"/>
      <c r="AE318" s="81"/>
    </row>
    <row r="319" spans="1:31" s="1" customFormat="1" ht="40.5">
      <c r="A319" s="118">
        <v>318</v>
      </c>
      <c r="B319" s="119">
        <v>108</v>
      </c>
      <c r="C319" s="120" t="s">
        <v>178</v>
      </c>
      <c r="D319" s="120" t="s">
        <v>117</v>
      </c>
      <c r="E319" s="121" t="s">
        <v>1112</v>
      </c>
      <c r="F319" s="121" t="s">
        <v>1109</v>
      </c>
      <c r="G319" s="121" t="s">
        <v>1113</v>
      </c>
      <c r="H319" s="122">
        <v>610</v>
      </c>
      <c r="I319" s="120">
        <v>5</v>
      </c>
      <c r="J319" s="123">
        <v>12</v>
      </c>
      <c r="K319" s="120">
        <v>11</v>
      </c>
      <c r="L319" s="120">
        <v>53</v>
      </c>
      <c r="M319" s="120">
        <v>0</v>
      </c>
      <c r="N319" s="120">
        <v>0</v>
      </c>
      <c r="O319" s="124">
        <v>58560000</v>
      </c>
      <c r="P319" s="124">
        <v>144923800</v>
      </c>
      <c r="Q319" s="124">
        <v>0</v>
      </c>
      <c r="R319" s="124">
        <f t="shared" si="4"/>
        <v>203483800</v>
      </c>
      <c r="S319" s="141" t="s">
        <v>930</v>
      </c>
      <c r="T319" s="127" t="s">
        <v>1114</v>
      </c>
      <c r="U319" s="138" t="s">
        <v>1115</v>
      </c>
      <c r="V319" s="89"/>
      <c r="W319" s="90" t="s">
        <v>668</v>
      </c>
      <c r="X319" s="81"/>
      <c r="Y319" s="81"/>
      <c r="Z319" s="81"/>
      <c r="AA319" s="81"/>
      <c r="AB319" s="81"/>
      <c r="AC319" s="81"/>
      <c r="AD319" s="81"/>
      <c r="AE319" s="81"/>
    </row>
    <row r="320" spans="1:31" s="1" customFormat="1" ht="54">
      <c r="A320" s="118">
        <v>319</v>
      </c>
      <c r="B320" s="119">
        <v>108</v>
      </c>
      <c r="C320" s="120" t="s">
        <v>178</v>
      </c>
      <c r="D320" s="120" t="s">
        <v>117</v>
      </c>
      <c r="E320" s="121" t="s">
        <v>1116</v>
      </c>
      <c r="F320" s="121" t="s">
        <v>1117</v>
      </c>
      <c r="G320" s="121" t="s">
        <v>1118</v>
      </c>
      <c r="H320" s="122">
        <v>132</v>
      </c>
      <c r="I320" s="120" t="s">
        <v>42</v>
      </c>
      <c r="J320" s="123">
        <v>18</v>
      </c>
      <c r="K320" s="120">
        <v>13</v>
      </c>
      <c r="L320" s="120">
        <v>0</v>
      </c>
      <c r="M320" s="120">
        <v>0</v>
      </c>
      <c r="N320" s="120">
        <v>0</v>
      </c>
      <c r="O320" s="124">
        <v>9504000</v>
      </c>
      <c r="P320" s="124">
        <v>0</v>
      </c>
      <c r="Q320" s="124">
        <v>0</v>
      </c>
      <c r="R320" s="124">
        <f t="shared" si="4"/>
        <v>9504000</v>
      </c>
      <c r="S320" s="126" t="s">
        <v>718</v>
      </c>
      <c r="T320" s="127" t="s">
        <v>1119</v>
      </c>
      <c r="U320" s="128"/>
      <c r="V320" s="89"/>
      <c r="W320" s="90" t="s">
        <v>1120</v>
      </c>
      <c r="X320" s="81"/>
      <c r="Y320" s="81"/>
      <c r="Z320" s="81"/>
      <c r="AA320" s="81"/>
      <c r="AB320" s="81"/>
      <c r="AC320" s="81"/>
      <c r="AD320" s="81"/>
      <c r="AE320" s="81"/>
    </row>
    <row r="321" spans="1:31" s="1" customFormat="1" ht="40.5">
      <c r="A321" s="118">
        <v>320</v>
      </c>
      <c r="B321" s="119">
        <v>108</v>
      </c>
      <c r="C321" s="120" t="s">
        <v>178</v>
      </c>
      <c r="D321" s="120" t="s">
        <v>121</v>
      </c>
      <c r="E321" s="121" t="s">
        <v>1121</v>
      </c>
      <c r="F321" s="121" t="s">
        <v>1122</v>
      </c>
      <c r="G321" s="121" t="s">
        <v>1123</v>
      </c>
      <c r="H321" s="122">
        <v>600</v>
      </c>
      <c r="I321" s="120">
        <v>8.5</v>
      </c>
      <c r="J321" s="123">
        <v>20</v>
      </c>
      <c r="K321" s="120">
        <v>5</v>
      </c>
      <c r="L321" s="120">
        <v>29</v>
      </c>
      <c r="M321" s="120">
        <v>0</v>
      </c>
      <c r="N321" s="120">
        <v>6</v>
      </c>
      <c r="O321" s="124">
        <v>48000000</v>
      </c>
      <c r="P321" s="124">
        <v>331927200</v>
      </c>
      <c r="Q321" s="124">
        <v>3950029</v>
      </c>
      <c r="R321" s="124">
        <f t="shared" si="4"/>
        <v>383877229</v>
      </c>
      <c r="S321" s="141" t="s">
        <v>930</v>
      </c>
      <c r="T321" s="127" t="s">
        <v>1124</v>
      </c>
      <c r="U321" s="128"/>
      <c r="V321" s="89"/>
      <c r="W321" s="90" t="s">
        <v>1125</v>
      </c>
      <c r="X321" s="81"/>
      <c r="Y321" s="81"/>
      <c r="Z321" s="81"/>
      <c r="AA321" s="81"/>
      <c r="AB321" s="81"/>
      <c r="AC321" s="81"/>
      <c r="AD321" s="81"/>
      <c r="AE321" s="81"/>
    </row>
    <row r="322" spans="1:31" s="1" customFormat="1" ht="40.5">
      <c r="A322" s="118">
        <v>321</v>
      </c>
      <c r="B322" s="119">
        <v>108</v>
      </c>
      <c r="C322" s="120" t="s">
        <v>178</v>
      </c>
      <c r="D322" s="120" t="s">
        <v>121</v>
      </c>
      <c r="E322" s="121" t="s">
        <v>1126</v>
      </c>
      <c r="F322" s="121" t="s">
        <v>1127</v>
      </c>
      <c r="G322" s="121" t="s">
        <v>1128</v>
      </c>
      <c r="H322" s="122">
        <v>85</v>
      </c>
      <c r="I322" s="120" t="s">
        <v>42</v>
      </c>
      <c r="J322" s="123">
        <v>6</v>
      </c>
      <c r="K322" s="120">
        <v>9</v>
      </c>
      <c r="L322" s="120">
        <v>2</v>
      </c>
      <c r="M322" s="120">
        <v>0</v>
      </c>
      <c r="N322" s="120">
        <v>1</v>
      </c>
      <c r="O322" s="124">
        <v>2040000</v>
      </c>
      <c r="P322" s="124">
        <v>15808128</v>
      </c>
      <c r="Q322" s="124">
        <v>1835695</v>
      </c>
      <c r="R322" s="124">
        <f t="shared" si="4"/>
        <v>19683823</v>
      </c>
      <c r="S322" s="141" t="s">
        <v>930</v>
      </c>
      <c r="T322" s="127" t="s">
        <v>1129</v>
      </c>
      <c r="U322" s="128"/>
      <c r="V322" s="89"/>
      <c r="W322" s="90" t="s">
        <v>126</v>
      </c>
      <c r="X322" s="81"/>
      <c r="Y322" s="81"/>
      <c r="Z322" s="81"/>
      <c r="AA322" s="81"/>
      <c r="AB322" s="81"/>
      <c r="AC322" s="81"/>
      <c r="AD322" s="81"/>
      <c r="AE322" s="81"/>
    </row>
    <row r="323" spans="1:31" s="1" customFormat="1" ht="40.5">
      <c r="A323" s="118">
        <v>322</v>
      </c>
      <c r="B323" s="119">
        <v>108</v>
      </c>
      <c r="C323" s="120" t="s">
        <v>178</v>
      </c>
      <c r="D323" s="120" t="s">
        <v>121</v>
      </c>
      <c r="E323" s="121" t="s">
        <v>1130</v>
      </c>
      <c r="F323" s="121" t="s">
        <v>1131</v>
      </c>
      <c r="G323" s="121" t="s">
        <v>1132</v>
      </c>
      <c r="H323" s="122">
        <v>440</v>
      </c>
      <c r="I323" s="120" t="s">
        <v>42</v>
      </c>
      <c r="J323" s="123">
        <v>15</v>
      </c>
      <c r="K323" s="120">
        <v>6</v>
      </c>
      <c r="L323" s="120">
        <v>17</v>
      </c>
      <c r="M323" s="120">
        <v>0</v>
      </c>
      <c r="N323" s="120">
        <v>1</v>
      </c>
      <c r="O323" s="124">
        <v>57900000</v>
      </c>
      <c r="P323" s="124">
        <v>115816000</v>
      </c>
      <c r="Q323" s="124">
        <v>1902840</v>
      </c>
      <c r="R323" s="124">
        <f t="shared" si="4"/>
        <v>175618840</v>
      </c>
      <c r="S323" s="141" t="s">
        <v>933</v>
      </c>
      <c r="T323" s="127" t="s">
        <v>1133</v>
      </c>
      <c r="U323" s="128"/>
      <c r="V323" s="89"/>
      <c r="W323" s="90" t="s">
        <v>1134</v>
      </c>
      <c r="X323" s="81"/>
      <c r="Y323" s="81"/>
      <c r="Z323" s="81"/>
      <c r="AA323" s="81"/>
      <c r="AB323" s="81"/>
      <c r="AC323" s="81"/>
      <c r="AD323" s="81"/>
      <c r="AE323" s="81"/>
    </row>
    <row r="324" spans="1:31" s="1" customFormat="1" ht="27">
      <c r="A324" s="118">
        <v>323</v>
      </c>
      <c r="B324" s="119">
        <v>108</v>
      </c>
      <c r="C324" s="120" t="s">
        <v>178</v>
      </c>
      <c r="D324" s="120" t="s">
        <v>121</v>
      </c>
      <c r="E324" s="121" t="s">
        <v>1135</v>
      </c>
      <c r="F324" s="121" t="s">
        <v>1136</v>
      </c>
      <c r="G324" s="121"/>
      <c r="H324" s="122">
        <v>80</v>
      </c>
      <c r="I324" s="120">
        <v>13</v>
      </c>
      <c r="J324" s="123">
        <v>20</v>
      </c>
      <c r="K324" s="120">
        <v>3</v>
      </c>
      <c r="L324" s="120">
        <v>0</v>
      </c>
      <c r="M324" s="120" t="s">
        <v>606</v>
      </c>
      <c r="N324" s="120">
        <v>0</v>
      </c>
      <c r="O324" s="124">
        <v>6400000</v>
      </c>
      <c r="P324" s="124">
        <v>0</v>
      </c>
      <c r="Q324" s="124">
        <v>0</v>
      </c>
      <c r="R324" s="125">
        <f t="shared" si="4"/>
        <v>6400000</v>
      </c>
      <c r="S324" s="141" t="s">
        <v>983</v>
      </c>
      <c r="T324" s="127" t="s">
        <v>1137</v>
      </c>
      <c r="U324" s="128" t="s">
        <v>1138</v>
      </c>
      <c r="V324" s="89"/>
      <c r="W324" s="90" t="s">
        <v>1139</v>
      </c>
      <c r="X324" s="81"/>
      <c r="Y324" s="81"/>
      <c r="Z324" s="81"/>
      <c r="AA324" s="81"/>
      <c r="AB324" s="81"/>
      <c r="AC324" s="81"/>
      <c r="AD324" s="81"/>
      <c r="AE324" s="81"/>
    </row>
    <row r="325" spans="1:31" s="1" customFormat="1" ht="27">
      <c r="A325" s="118">
        <v>324</v>
      </c>
      <c r="B325" s="119">
        <v>108</v>
      </c>
      <c r="C325" s="120" t="s">
        <v>178</v>
      </c>
      <c r="D325" s="120" t="s">
        <v>121</v>
      </c>
      <c r="E325" s="121" t="s">
        <v>1140</v>
      </c>
      <c r="F325" s="121" t="s">
        <v>1141</v>
      </c>
      <c r="G325" s="121" t="s">
        <v>1142</v>
      </c>
      <c r="H325" s="122">
        <v>1282</v>
      </c>
      <c r="I325" s="120">
        <v>6</v>
      </c>
      <c r="J325" s="123">
        <v>3</v>
      </c>
      <c r="K325" s="120">
        <v>13</v>
      </c>
      <c r="L325" s="120">
        <v>15</v>
      </c>
      <c r="M325" s="120">
        <v>0</v>
      </c>
      <c r="N325" s="120">
        <v>0</v>
      </c>
      <c r="O325" s="124">
        <v>46144440</v>
      </c>
      <c r="P325" s="124">
        <v>13239310</v>
      </c>
      <c r="Q325" s="124">
        <v>0</v>
      </c>
      <c r="R325" s="125">
        <f t="shared" si="4"/>
        <v>59383750</v>
      </c>
      <c r="S325" s="126" t="s">
        <v>718</v>
      </c>
      <c r="T325" s="127" t="s">
        <v>1143</v>
      </c>
      <c r="U325" s="128"/>
      <c r="V325" s="89"/>
      <c r="W325" s="90" t="s">
        <v>1139</v>
      </c>
      <c r="X325" s="81"/>
      <c r="Y325" s="81"/>
      <c r="Z325" s="81"/>
      <c r="AA325" s="81"/>
      <c r="AB325" s="81"/>
      <c r="AC325" s="81"/>
      <c r="AD325" s="81"/>
      <c r="AE325" s="81"/>
    </row>
    <row r="326" spans="1:31" s="1" customFormat="1" ht="27">
      <c r="A326" s="118">
        <v>325</v>
      </c>
      <c r="B326" s="119">
        <v>108</v>
      </c>
      <c r="C326" s="120" t="s">
        <v>178</v>
      </c>
      <c r="D326" s="120" t="s">
        <v>133</v>
      </c>
      <c r="E326" s="121" t="s">
        <v>1144</v>
      </c>
      <c r="F326" s="121" t="s">
        <v>1145</v>
      </c>
      <c r="G326" s="121" t="s">
        <v>1146</v>
      </c>
      <c r="H326" s="122">
        <v>200</v>
      </c>
      <c r="I326" s="120">
        <v>6</v>
      </c>
      <c r="J326" s="123">
        <v>8</v>
      </c>
      <c r="K326" s="120">
        <v>5</v>
      </c>
      <c r="L326" s="120">
        <v>8</v>
      </c>
      <c r="M326" s="120">
        <v>1</v>
      </c>
      <c r="N326" s="120">
        <v>1</v>
      </c>
      <c r="O326" s="124">
        <v>6400000</v>
      </c>
      <c r="P326" s="124">
        <v>761600</v>
      </c>
      <c r="Q326" s="124">
        <v>1858400</v>
      </c>
      <c r="R326" s="124">
        <f t="shared" si="4"/>
        <v>9020000</v>
      </c>
      <c r="S326" s="141" t="s">
        <v>983</v>
      </c>
      <c r="T326" s="127" t="s">
        <v>1147</v>
      </c>
      <c r="U326" s="128"/>
      <c r="V326" s="89"/>
      <c r="W326" s="90" t="s">
        <v>1148</v>
      </c>
      <c r="X326" s="81"/>
      <c r="Y326" s="81"/>
      <c r="Z326" s="81"/>
      <c r="AA326" s="81"/>
      <c r="AB326" s="81"/>
      <c r="AC326" s="81"/>
      <c r="AD326" s="81"/>
      <c r="AE326" s="81"/>
    </row>
    <row r="327" spans="1:31" s="1" customFormat="1" ht="40.5">
      <c r="A327" s="118">
        <v>326</v>
      </c>
      <c r="B327" s="119">
        <v>108</v>
      </c>
      <c r="C327" s="120" t="s">
        <v>178</v>
      </c>
      <c r="D327" s="120" t="s">
        <v>137</v>
      </c>
      <c r="E327" s="121" t="s">
        <v>1149</v>
      </c>
      <c r="F327" s="121" t="s">
        <v>539</v>
      </c>
      <c r="G327" s="121" t="s">
        <v>1150</v>
      </c>
      <c r="H327" s="122">
        <v>570</v>
      </c>
      <c r="I327" s="120">
        <v>6</v>
      </c>
      <c r="J327" s="123">
        <v>8</v>
      </c>
      <c r="K327" s="120">
        <v>8</v>
      </c>
      <c r="L327" s="120">
        <v>31</v>
      </c>
      <c r="M327" s="120">
        <v>4</v>
      </c>
      <c r="N327" s="120">
        <v>0</v>
      </c>
      <c r="O327" s="124">
        <v>18240000</v>
      </c>
      <c r="P327" s="124">
        <v>455508702</v>
      </c>
      <c r="Q327" s="124">
        <v>10000000</v>
      </c>
      <c r="R327" s="124">
        <f t="shared" si="4"/>
        <v>483748702</v>
      </c>
      <c r="S327" s="141" t="s">
        <v>930</v>
      </c>
      <c r="T327" s="127" t="s">
        <v>1151</v>
      </c>
      <c r="U327" s="128"/>
      <c r="V327" s="89"/>
      <c r="W327" s="90" t="s">
        <v>1152</v>
      </c>
      <c r="X327" s="81"/>
      <c r="Y327" s="81"/>
      <c r="Z327" s="81"/>
      <c r="AA327" s="81"/>
      <c r="AB327" s="81"/>
      <c r="AC327" s="81"/>
      <c r="AD327" s="81"/>
      <c r="AE327" s="81"/>
    </row>
    <row r="328" spans="1:31" s="1" customFormat="1" ht="40.5">
      <c r="A328" s="118">
        <v>327</v>
      </c>
      <c r="B328" s="119">
        <v>108</v>
      </c>
      <c r="C328" s="120" t="s">
        <v>178</v>
      </c>
      <c r="D328" s="120" t="s">
        <v>137</v>
      </c>
      <c r="E328" s="121" t="s">
        <v>1153</v>
      </c>
      <c r="F328" s="121" t="s">
        <v>1154</v>
      </c>
      <c r="G328" s="121" t="s">
        <v>1155</v>
      </c>
      <c r="H328" s="122">
        <v>850</v>
      </c>
      <c r="I328" s="120">
        <v>6</v>
      </c>
      <c r="J328" s="123">
        <v>12</v>
      </c>
      <c r="K328" s="120">
        <v>1</v>
      </c>
      <c r="L328" s="120">
        <v>49</v>
      </c>
      <c r="M328" s="120">
        <v>4</v>
      </c>
      <c r="N328" s="120">
        <v>0</v>
      </c>
      <c r="O328" s="124">
        <v>40800000</v>
      </c>
      <c r="P328" s="124">
        <v>104244000</v>
      </c>
      <c r="Q328" s="124">
        <v>5936376</v>
      </c>
      <c r="R328" s="124">
        <f t="shared" si="4"/>
        <v>150980376</v>
      </c>
      <c r="S328" s="141" t="s">
        <v>930</v>
      </c>
      <c r="T328" s="127" t="s">
        <v>1156</v>
      </c>
      <c r="U328" s="128"/>
      <c r="V328" s="89"/>
      <c r="W328" s="90" t="s">
        <v>879</v>
      </c>
      <c r="X328" s="81"/>
      <c r="Y328" s="81"/>
      <c r="Z328" s="81"/>
      <c r="AA328" s="81"/>
      <c r="AB328" s="81"/>
      <c r="AC328" s="81"/>
      <c r="AD328" s="81"/>
      <c r="AE328" s="81"/>
    </row>
    <row r="329" spans="1:31" s="1" customFormat="1" ht="40.5">
      <c r="A329" s="118">
        <v>328</v>
      </c>
      <c r="B329" s="119">
        <v>108</v>
      </c>
      <c r="C329" s="120" t="s">
        <v>178</v>
      </c>
      <c r="D329" s="120" t="s">
        <v>137</v>
      </c>
      <c r="E329" s="121" t="s">
        <v>1157</v>
      </c>
      <c r="F329" s="121" t="s">
        <v>1154</v>
      </c>
      <c r="G329" s="121" t="s">
        <v>1155</v>
      </c>
      <c r="H329" s="122">
        <v>850</v>
      </c>
      <c r="I329" s="120">
        <v>6</v>
      </c>
      <c r="J329" s="123">
        <v>8</v>
      </c>
      <c r="K329" s="120">
        <v>1</v>
      </c>
      <c r="L329" s="120">
        <v>23</v>
      </c>
      <c r="M329" s="120">
        <v>0</v>
      </c>
      <c r="N329" s="120">
        <v>0</v>
      </c>
      <c r="O329" s="124">
        <v>27200000</v>
      </c>
      <c r="P329" s="124">
        <v>59568000</v>
      </c>
      <c r="Q329" s="124">
        <v>0</v>
      </c>
      <c r="R329" s="124">
        <f t="shared" si="4"/>
        <v>86768000</v>
      </c>
      <c r="S329" s="141" t="s">
        <v>930</v>
      </c>
      <c r="T329" s="127" t="s">
        <v>1158</v>
      </c>
      <c r="U329" s="128"/>
      <c r="V329" s="89"/>
      <c r="W329" s="90" t="s">
        <v>879</v>
      </c>
      <c r="X329" s="81"/>
      <c r="Y329" s="81"/>
      <c r="Z329" s="81"/>
      <c r="AA329" s="81"/>
      <c r="AB329" s="81"/>
      <c r="AC329" s="81"/>
      <c r="AD329" s="81"/>
      <c r="AE329" s="81"/>
    </row>
    <row r="330" spans="1:31" s="1" customFormat="1" ht="40.5">
      <c r="A330" s="118">
        <v>329</v>
      </c>
      <c r="B330" s="119">
        <v>108</v>
      </c>
      <c r="C330" s="120" t="s">
        <v>178</v>
      </c>
      <c r="D330" s="120" t="s">
        <v>137</v>
      </c>
      <c r="E330" s="121" t="s">
        <v>1159</v>
      </c>
      <c r="F330" s="121" t="s">
        <v>1160</v>
      </c>
      <c r="G330" s="121"/>
      <c r="H330" s="122">
        <v>130</v>
      </c>
      <c r="I330" s="120">
        <v>4</v>
      </c>
      <c r="J330" s="123">
        <v>7</v>
      </c>
      <c r="K330" s="120">
        <v>0</v>
      </c>
      <c r="L330" s="120">
        <v>1</v>
      </c>
      <c r="M330" s="120">
        <v>0</v>
      </c>
      <c r="N330" s="120">
        <v>0</v>
      </c>
      <c r="O330" s="124">
        <v>3640000</v>
      </c>
      <c r="P330" s="124">
        <v>35206000</v>
      </c>
      <c r="Q330" s="124">
        <v>0</v>
      </c>
      <c r="R330" s="124">
        <f t="shared" si="4"/>
        <v>38846000</v>
      </c>
      <c r="S330" s="141" t="s">
        <v>930</v>
      </c>
      <c r="T330" s="127" t="s">
        <v>1161</v>
      </c>
      <c r="U330" s="128"/>
      <c r="V330" s="89"/>
      <c r="W330" s="90" t="s">
        <v>1152</v>
      </c>
      <c r="X330" s="81"/>
      <c r="Y330" s="81"/>
      <c r="Z330" s="81"/>
      <c r="AA330" s="81"/>
      <c r="AB330" s="81"/>
      <c r="AC330" s="81"/>
      <c r="AD330" s="81"/>
      <c r="AE330" s="81"/>
    </row>
    <row r="331" spans="1:31" s="1" customFormat="1" ht="40.5">
      <c r="A331" s="118">
        <v>330</v>
      </c>
      <c r="B331" s="119">
        <v>108</v>
      </c>
      <c r="C331" s="120" t="s">
        <v>178</v>
      </c>
      <c r="D331" s="120" t="s">
        <v>137</v>
      </c>
      <c r="E331" s="121" t="s">
        <v>1162</v>
      </c>
      <c r="F331" s="121" t="s">
        <v>1163</v>
      </c>
      <c r="G331" s="121" t="s">
        <v>1164</v>
      </c>
      <c r="H331" s="122">
        <v>70</v>
      </c>
      <c r="I331" s="120" t="s">
        <v>42</v>
      </c>
      <c r="J331" s="123">
        <v>8</v>
      </c>
      <c r="K331" s="120">
        <v>0</v>
      </c>
      <c r="L331" s="120">
        <v>2</v>
      </c>
      <c r="M331" s="120">
        <v>0</v>
      </c>
      <c r="N331" s="120">
        <v>0</v>
      </c>
      <c r="O331" s="124">
        <v>2200000</v>
      </c>
      <c r="P331" s="124">
        <v>28635000</v>
      </c>
      <c r="Q331" s="124">
        <v>0</v>
      </c>
      <c r="R331" s="124">
        <f t="shared" si="4"/>
        <v>30835000</v>
      </c>
      <c r="S331" s="126" t="s">
        <v>689</v>
      </c>
      <c r="T331" s="127" t="s">
        <v>1165</v>
      </c>
      <c r="U331" s="128"/>
      <c r="V331" s="89"/>
      <c r="W331" s="90" t="s">
        <v>879</v>
      </c>
      <c r="X331" s="81"/>
      <c r="Y331" s="81"/>
      <c r="Z331" s="81"/>
      <c r="AA331" s="81"/>
      <c r="AB331" s="81"/>
      <c r="AC331" s="81"/>
      <c r="AD331" s="81"/>
      <c r="AE331" s="81"/>
    </row>
    <row r="332" spans="1:31" s="1" customFormat="1" ht="27">
      <c r="A332" s="118">
        <v>331</v>
      </c>
      <c r="B332" s="119">
        <v>108</v>
      </c>
      <c r="C332" s="120" t="s">
        <v>178</v>
      </c>
      <c r="D332" s="120" t="s">
        <v>147</v>
      </c>
      <c r="E332" s="121" t="s">
        <v>1166</v>
      </c>
      <c r="F332" s="121" t="s">
        <v>333</v>
      </c>
      <c r="G332" s="121" t="s">
        <v>332</v>
      </c>
      <c r="H332" s="134">
        <v>155</v>
      </c>
      <c r="I332" s="126">
        <v>3</v>
      </c>
      <c r="J332" s="135">
        <v>8</v>
      </c>
      <c r="K332" s="126">
        <v>0</v>
      </c>
      <c r="L332" s="126">
        <v>4</v>
      </c>
      <c r="M332" s="126">
        <v>0</v>
      </c>
      <c r="N332" s="126">
        <v>0</v>
      </c>
      <c r="O332" s="136">
        <v>6200000</v>
      </c>
      <c r="P332" s="137">
        <v>51539830</v>
      </c>
      <c r="Q332" s="137">
        <v>0</v>
      </c>
      <c r="R332" s="124">
        <f t="shared" si="4"/>
        <v>57739830</v>
      </c>
      <c r="S332" s="141" t="s">
        <v>933</v>
      </c>
      <c r="T332" s="127" t="s">
        <v>1167</v>
      </c>
      <c r="U332" s="128"/>
      <c r="V332" s="89"/>
      <c r="W332" s="90" t="s">
        <v>1168</v>
      </c>
      <c r="X332" s="81"/>
      <c r="Y332" s="81"/>
      <c r="Z332" s="81"/>
      <c r="AA332" s="81"/>
      <c r="AB332" s="81"/>
      <c r="AC332" s="81"/>
      <c r="AD332" s="81"/>
      <c r="AE332" s="81"/>
    </row>
    <row r="333" spans="1:31" s="1" customFormat="1" ht="40.5">
      <c r="A333" s="118">
        <v>332</v>
      </c>
      <c r="B333" s="119">
        <v>108</v>
      </c>
      <c r="C333" s="120" t="s">
        <v>178</v>
      </c>
      <c r="D333" s="120" t="s">
        <v>147</v>
      </c>
      <c r="E333" s="121" t="s">
        <v>322</v>
      </c>
      <c r="F333" s="121" t="s">
        <v>1169</v>
      </c>
      <c r="G333" s="121" t="s">
        <v>329</v>
      </c>
      <c r="H333" s="134">
        <v>230</v>
      </c>
      <c r="I333" s="126" t="s">
        <v>42</v>
      </c>
      <c r="J333" s="135">
        <v>12</v>
      </c>
      <c r="K333" s="126">
        <v>12</v>
      </c>
      <c r="L333" s="126">
        <v>31</v>
      </c>
      <c r="M333" s="126">
        <v>3</v>
      </c>
      <c r="N333" s="126">
        <v>5</v>
      </c>
      <c r="O333" s="136">
        <v>11040000</v>
      </c>
      <c r="P333" s="137">
        <v>154049848</v>
      </c>
      <c r="Q333" s="137">
        <v>19237591</v>
      </c>
      <c r="R333" s="124">
        <f t="shared" si="4"/>
        <v>184327439</v>
      </c>
      <c r="S333" s="141" t="s">
        <v>930</v>
      </c>
      <c r="T333" s="127" t="s">
        <v>1170</v>
      </c>
      <c r="U333" s="128"/>
      <c r="V333" s="89"/>
      <c r="W333" s="90" t="s">
        <v>1171</v>
      </c>
      <c r="X333" s="81"/>
      <c r="Y333" s="81"/>
      <c r="Z333" s="81"/>
      <c r="AA333" s="81"/>
      <c r="AB333" s="81"/>
      <c r="AC333" s="81"/>
      <c r="AD333" s="81"/>
      <c r="AE333" s="81"/>
    </row>
    <row r="334" spans="1:31" s="1" customFormat="1" ht="40.5">
      <c r="A334" s="118">
        <v>333</v>
      </c>
      <c r="B334" s="119">
        <v>108</v>
      </c>
      <c r="C334" s="120" t="s">
        <v>178</v>
      </c>
      <c r="D334" s="120" t="s">
        <v>147</v>
      </c>
      <c r="E334" s="121" t="s">
        <v>551</v>
      </c>
      <c r="F334" s="121" t="s">
        <v>1172</v>
      </c>
      <c r="G334" s="121" t="s">
        <v>1173</v>
      </c>
      <c r="H334" s="122">
        <v>200</v>
      </c>
      <c r="I334" s="120" t="s">
        <v>42</v>
      </c>
      <c r="J334" s="123">
        <v>8</v>
      </c>
      <c r="K334" s="120">
        <v>5</v>
      </c>
      <c r="L334" s="120">
        <v>5</v>
      </c>
      <c r="M334" s="120">
        <v>0</v>
      </c>
      <c r="N334" s="120">
        <v>0</v>
      </c>
      <c r="O334" s="124">
        <v>24000000</v>
      </c>
      <c r="P334" s="124">
        <v>106987102</v>
      </c>
      <c r="Q334" s="124">
        <v>0</v>
      </c>
      <c r="R334" s="124">
        <f t="shared" si="4"/>
        <v>130987102</v>
      </c>
      <c r="S334" s="145" t="s">
        <v>1174</v>
      </c>
      <c r="T334" s="146" t="s">
        <v>1175</v>
      </c>
      <c r="U334" s="128"/>
      <c r="V334" s="89"/>
      <c r="W334" s="90" t="s">
        <v>1176</v>
      </c>
      <c r="X334" s="81"/>
      <c r="Y334" s="81"/>
      <c r="Z334" s="81"/>
      <c r="AA334" s="81"/>
      <c r="AB334" s="81"/>
      <c r="AC334" s="81"/>
      <c r="AD334" s="81"/>
      <c r="AE334" s="81"/>
    </row>
    <row r="335" spans="1:31" s="1" customFormat="1" ht="40.5">
      <c r="A335" s="118">
        <v>334</v>
      </c>
      <c r="B335" s="119">
        <v>108</v>
      </c>
      <c r="C335" s="120" t="s">
        <v>178</v>
      </c>
      <c r="D335" s="120" t="s">
        <v>160</v>
      </c>
      <c r="E335" s="121" t="s">
        <v>1177</v>
      </c>
      <c r="F335" s="121" t="s">
        <v>1178</v>
      </c>
      <c r="G335" s="121" t="s">
        <v>1179</v>
      </c>
      <c r="H335" s="122">
        <v>150</v>
      </c>
      <c r="I335" s="120">
        <v>4</v>
      </c>
      <c r="J335" s="123">
        <v>8</v>
      </c>
      <c r="K335" s="120">
        <v>1</v>
      </c>
      <c r="L335" s="120">
        <v>11</v>
      </c>
      <c r="M335" s="120" t="s">
        <v>606</v>
      </c>
      <c r="N335" s="120">
        <v>6</v>
      </c>
      <c r="O335" s="124">
        <v>2746800</v>
      </c>
      <c r="P335" s="124">
        <v>3439120</v>
      </c>
      <c r="Q335" s="124">
        <v>20325240</v>
      </c>
      <c r="R335" s="124">
        <f t="shared" si="4"/>
        <v>26511160</v>
      </c>
      <c r="S335" s="141" t="s">
        <v>930</v>
      </c>
      <c r="T335" s="127" t="s">
        <v>1180</v>
      </c>
      <c r="U335" s="128" t="s">
        <v>1181</v>
      </c>
      <c r="V335" s="89"/>
      <c r="W335" s="90" t="s">
        <v>905</v>
      </c>
      <c r="X335" s="81"/>
      <c r="Y335" s="81"/>
      <c r="Z335" s="81"/>
      <c r="AA335" s="81"/>
      <c r="AB335" s="81"/>
      <c r="AC335" s="81"/>
      <c r="AD335" s="81"/>
      <c r="AE335" s="81"/>
    </row>
    <row r="336" spans="1:31" s="1" customFormat="1" ht="40.5">
      <c r="A336" s="118">
        <v>335</v>
      </c>
      <c r="B336" s="119">
        <v>108</v>
      </c>
      <c r="C336" s="120" t="s">
        <v>178</v>
      </c>
      <c r="D336" s="120" t="s">
        <v>160</v>
      </c>
      <c r="E336" s="121" t="s">
        <v>1182</v>
      </c>
      <c r="F336" s="121" t="s">
        <v>1183</v>
      </c>
      <c r="G336" s="121" t="s">
        <v>1182</v>
      </c>
      <c r="H336" s="122">
        <v>147</v>
      </c>
      <c r="I336" s="120">
        <v>4</v>
      </c>
      <c r="J336" s="123">
        <v>6</v>
      </c>
      <c r="K336" s="120">
        <v>1</v>
      </c>
      <c r="L336" s="120">
        <v>4</v>
      </c>
      <c r="M336" s="120">
        <v>0</v>
      </c>
      <c r="N336" s="120">
        <v>0</v>
      </c>
      <c r="O336" s="124">
        <v>3528000</v>
      </c>
      <c r="P336" s="124">
        <v>3210846</v>
      </c>
      <c r="Q336" s="124">
        <v>0</v>
      </c>
      <c r="R336" s="125">
        <f t="shared" si="4"/>
        <v>6738846</v>
      </c>
      <c r="S336" s="141" t="s">
        <v>930</v>
      </c>
      <c r="T336" s="127" t="s">
        <v>1180</v>
      </c>
      <c r="U336" s="128"/>
      <c r="V336" s="89"/>
      <c r="W336" s="90" t="s">
        <v>905</v>
      </c>
      <c r="X336" s="81"/>
      <c r="Y336" s="81"/>
      <c r="Z336" s="81"/>
      <c r="AA336" s="81"/>
      <c r="AB336" s="81"/>
      <c r="AC336" s="81"/>
      <c r="AD336" s="81"/>
      <c r="AE336" s="81"/>
    </row>
    <row r="337" spans="1:31" s="1" customFormat="1" ht="54">
      <c r="A337" s="118">
        <v>336</v>
      </c>
      <c r="B337" s="119">
        <v>108</v>
      </c>
      <c r="C337" s="120" t="s">
        <v>178</v>
      </c>
      <c r="D337" s="120" t="s">
        <v>160</v>
      </c>
      <c r="E337" s="121" t="s">
        <v>1184</v>
      </c>
      <c r="F337" s="121" t="s">
        <v>1185</v>
      </c>
      <c r="G337" s="121" t="s">
        <v>1186</v>
      </c>
      <c r="H337" s="122">
        <v>240</v>
      </c>
      <c r="I337" s="120">
        <v>15</v>
      </c>
      <c r="J337" s="123">
        <v>18</v>
      </c>
      <c r="K337" s="120">
        <v>26</v>
      </c>
      <c r="L337" s="120">
        <v>0</v>
      </c>
      <c r="M337" s="120">
        <v>0</v>
      </c>
      <c r="N337" s="120">
        <v>0</v>
      </c>
      <c r="O337" s="124">
        <v>5760000</v>
      </c>
      <c r="P337" s="124">
        <v>0</v>
      </c>
      <c r="Q337" s="124">
        <v>0</v>
      </c>
      <c r="R337" s="125">
        <f t="shared" si="4"/>
        <v>5760000</v>
      </c>
      <c r="S337" s="133" t="s">
        <v>858</v>
      </c>
      <c r="T337" s="127" t="s">
        <v>1187</v>
      </c>
      <c r="U337" s="133" t="s">
        <v>1188</v>
      </c>
      <c r="V337" s="89"/>
      <c r="W337" s="90"/>
      <c r="X337" s="81"/>
      <c r="Y337" s="81"/>
      <c r="Z337" s="81"/>
      <c r="AA337" s="81"/>
      <c r="AB337" s="81"/>
      <c r="AC337" s="81"/>
      <c r="AD337" s="81"/>
      <c r="AE337" s="81"/>
    </row>
    <row r="338" spans="1:31" s="1" customFormat="1" ht="54">
      <c r="A338" s="118">
        <v>337</v>
      </c>
      <c r="B338" s="119">
        <v>108</v>
      </c>
      <c r="C338" s="120" t="s">
        <v>178</v>
      </c>
      <c r="D338" s="120" t="s">
        <v>171</v>
      </c>
      <c r="E338" s="121" t="s">
        <v>1189</v>
      </c>
      <c r="F338" s="121" t="s">
        <v>444</v>
      </c>
      <c r="G338" s="121" t="s">
        <v>1190</v>
      </c>
      <c r="H338" s="122">
        <v>75</v>
      </c>
      <c r="I338" s="120">
        <v>3</v>
      </c>
      <c r="J338" s="123">
        <v>15</v>
      </c>
      <c r="K338" s="120">
        <v>6</v>
      </c>
      <c r="L338" s="120">
        <v>9</v>
      </c>
      <c r="M338" s="120">
        <v>3</v>
      </c>
      <c r="N338" s="120">
        <v>0</v>
      </c>
      <c r="O338" s="124">
        <v>4500000</v>
      </c>
      <c r="P338" s="124">
        <v>16086392</v>
      </c>
      <c r="Q338" s="124">
        <v>10504000</v>
      </c>
      <c r="R338" s="125">
        <f t="shared" ref="R338:R375" si="5">SUM(O338:Q338)</f>
        <v>31090392</v>
      </c>
      <c r="S338" s="141" t="s">
        <v>933</v>
      </c>
      <c r="T338" s="127" t="s">
        <v>1191</v>
      </c>
      <c r="U338" s="128"/>
      <c r="V338" s="89"/>
      <c r="W338" s="90" t="s">
        <v>1192</v>
      </c>
      <c r="X338" s="81"/>
      <c r="Y338" s="81"/>
      <c r="Z338" s="81"/>
      <c r="AA338" s="81"/>
      <c r="AB338" s="81"/>
      <c r="AC338" s="81"/>
      <c r="AD338" s="81"/>
      <c r="AE338" s="81"/>
    </row>
    <row r="339" spans="1:31" s="1" customFormat="1" ht="40.5">
      <c r="A339" s="118">
        <v>338</v>
      </c>
      <c r="B339" s="119">
        <v>108</v>
      </c>
      <c r="C339" s="120" t="s">
        <v>178</v>
      </c>
      <c r="D339" s="120" t="s">
        <v>173</v>
      </c>
      <c r="E339" s="121" t="s">
        <v>1193</v>
      </c>
      <c r="F339" s="121" t="s">
        <v>1194</v>
      </c>
      <c r="G339" s="121" t="s">
        <v>1195</v>
      </c>
      <c r="H339" s="122">
        <v>420</v>
      </c>
      <c r="I339" s="120" t="s">
        <v>264</v>
      </c>
      <c r="J339" s="123">
        <v>12</v>
      </c>
      <c r="K339" s="120">
        <v>1</v>
      </c>
      <c r="L339" s="120">
        <v>40</v>
      </c>
      <c r="M339" s="120">
        <v>30</v>
      </c>
      <c r="N339" s="120">
        <v>0</v>
      </c>
      <c r="O339" s="124">
        <v>20160000</v>
      </c>
      <c r="P339" s="124">
        <v>73584000</v>
      </c>
      <c r="Q339" s="124">
        <v>37753800</v>
      </c>
      <c r="R339" s="124">
        <f t="shared" si="5"/>
        <v>131497800</v>
      </c>
      <c r="S339" s="141" t="s">
        <v>1196</v>
      </c>
      <c r="T339" s="127" t="s">
        <v>1197</v>
      </c>
      <c r="U339" s="128"/>
      <c r="V339" s="89"/>
      <c r="W339" s="90" t="s">
        <v>1198</v>
      </c>
      <c r="X339" s="81"/>
      <c r="Y339" s="81"/>
      <c r="Z339" s="81"/>
      <c r="AA339" s="81"/>
      <c r="AB339" s="81"/>
      <c r="AC339" s="81"/>
      <c r="AD339" s="81"/>
      <c r="AE339" s="81"/>
    </row>
    <row r="340" spans="1:31" s="1" customFormat="1" ht="54">
      <c r="A340" s="147">
        <v>339</v>
      </c>
      <c r="B340" s="148">
        <v>109</v>
      </c>
      <c r="C340" s="149" t="s">
        <v>39</v>
      </c>
      <c r="D340" s="149" t="s">
        <v>40</v>
      </c>
      <c r="E340" s="150" t="s">
        <v>1199</v>
      </c>
      <c r="F340" s="150" t="s">
        <v>47</v>
      </c>
      <c r="G340" s="150" t="s">
        <v>742</v>
      </c>
      <c r="H340" s="151">
        <v>57</v>
      </c>
      <c r="I340" s="149">
        <v>5</v>
      </c>
      <c r="J340" s="152">
        <v>8</v>
      </c>
      <c r="K340" s="149">
        <v>1</v>
      </c>
      <c r="L340" s="149">
        <v>2</v>
      </c>
      <c r="M340" s="149">
        <v>0</v>
      </c>
      <c r="N340" s="149">
        <v>0</v>
      </c>
      <c r="O340" s="153">
        <v>1824000</v>
      </c>
      <c r="P340" s="153">
        <v>43129595</v>
      </c>
      <c r="Q340" s="153">
        <v>0</v>
      </c>
      <c r="R340" s="153">
        <f t="shared" si="5"/>
        <v>44953595</v>
      </c>
      <c r="S340" s="154" t="s">
        <v>1200</v>
      </c>
      <c r="T340" s="155" t="s">
        <v>1201</v>
      </c>
      <c r="U340" s="156"/>
      <c r="V340" s="89"/>
      <c r="W340" s="90" t="s">
        <v>1202</v>
      </c>
      <c r="X340" s="81"/>
      <c r="Y340" s="81"/>
      <c r="Z340" s="81"/>
      <c r="AA340" s="81"/>
      <c r="AB340" s="81"/>
      <c r="AC340" s="81"/>
      <c r="AD340" s="81"/>
      <c r="AE340" s="81"/>
    </row>
    <row r="341" spans="1:31" s="1" customFormat="1" ht="54">
      <c r="A341" s="147">
        <v>340</v>
      </c>
      <c r="B341" s="148">
        <v>109</v>
      </c>
      <c r="C341" s="149" t="s">
        <v>39</v>
      </c>
      <c r="D341" s="149" t="s">
        <v>40</v>
      </c>
      <c r="E341" s="150" t="s">
        <v>701</v>
      </c>
      <c r="F341" s="150" t="s">
        <v>702</v>
      </c>
      <c r="G341" s="150" t="s">
        <v>703</v>
      </c>
      <c r="H341" s="151">
        <v>15</v>
      </c>
      <c r="I341" s="149">
        <v>5</v>
      </c>
      <c r="J341" s="152">
        <v>8</v>
      </c>
      <c r="K341" s="149">
        <v>2</v>
      </c>
      <c r="L341" s="149">
        <v>2</v>
      </c>
      <c r="M341" s="149">
        <v>0</v>
      </c>
      <c r="N341" s="149">
        <v>0</v>
      </c>
      <c r="O341" s="153">
        <v>480000</v>
      </c>
      <c r="P341" s="153">
        <v>9674155</v>
      </c>
      <c r="Q341" s="153">
        <v>0</v>
      </c>
      <c r="R341" s="153">
        <f t="shared" si="5"/>
        <v>10154155</v>
      </c>
      <c r="S341" s="154" t="s">
        <v>1200</v>
      </c>
      <c r="T341" s="155" t="s">
        <v>1203</v>
      </c>
      <c r="U341" s="156" t="s">
        <v>705</v>
      </c>
      <c r="V341" s="89"/>
      <c r="W341" s="90" t="s">
        <v>1204</v>
      </c>
      <c r="X341" s="81"/>
      <c r="Y341" s="81"/>
      <c r="Z341" s="81"/>
      <c r="AA341" s="81"/>
      <c r="AB341" s="81"/>
      <c r="AC341" s="81"/>
      <c r="AD341" s="81"/>
      <c r="AE341" s="81"/>
    </row>
    <row r="342" spans="1:31" s="1" customFormat="1" ht="40.5">
      <c r="A342" s="147">
        <v>341</v>
      </c>
      <c r="B342" s="148">
        <v>109</v>
      </c>
      <c r="C342" s="149" t="s">
        <v>39</v>
      </c>
      <c r="D342" s="149" t="s">
        <v>40</v>
      </c>
      <c r="E342" s="150" t="s">
        <v>1205</v>
      </c>
      <c r="F342" s="150" t="s">
        <v>978</v>
      </c>
      <c r="G342" s="150" t="s">
        <v>1206</v>
      </c>
      <c r="H342" s="151">
        <v>75</v>
      </c>
      <c r="I342" s="149" t="s">
        <v>1207</v>
      </c>
      <c r="J342" s="152" t="s">
        <v>1207</v>
      </c>
      <c r="K342" s="149">
        <v>2</v>
      </c>
      <c r="L342" s="149">
        <v>4</v>
      </c>
      <c r="M342" s="149">
        <v>0</v>
      </c>
      <c r="N342" s="149">
        <v>1</v>
      </c>
      <c r="O342" s="153">
        <v>4500000</v>
      </c>
      <c r="P342" s="153">
        <v>47121568</v>
      </c>
      <c r="Q342" s="153">
        <v>2787600</v>
      </c>
      <c r="R342" s="153">
        <f t="shared" si="5"/>
        <v>54409168</v>
      </c>
      <c r="S342" s="154" t="s">
        <v>1200</v>
      </c>
      <c r="T342" s="155" t="s">
        <v>709</v>
      </c>
      <c r="U342" s="156"/>
      <c r="V342" s="89"/>
      <c r="W342" s="90"/>
      <c r="X342" s="81"/>
      <c r="Y342" s="81"/>
      <c r="Z342" s="81"/>
      <c r="AA342" s="81"/>
      <c r="AB342" s="81"/>
      <c r="AC342" s="81"/>
      <c r="AD342" s="81"/>
      <c r="AE342" s="81"/>
    </row>
    <row r="343" spans="1:31" s="1" customFormat="1" ht="27">
      <c r="A343" s="147">
        <v>342</v>
      </c>
      <c r="B343" s="148">
        <v>109</v>
      </c>
      <c r="C343" s="149" t="s">
        <v>39</v>
      </c>
      <c r="D343" s="149" t="s">
        <v>40</v>
      </c>
      <c r="E343" s="157" t="s">
        <v>1208</v>
      </c>
      <c r="F343" s="157" t="s">
        <v>1209</v>
      </c>
      <c r="G343" s="157" t="s">
        <v>1210</v>
      </c>
      <c r="H343" s="158">
        <v>438</v>
      </c>
      <c r="I343" s="149">
        <v>0</v>
      </c>
      <c r="J343" s="152">
        <v>5</v>
      </c>
      <c r="K343" s="149">
        <v>6</v>
      </c>
      <c r="L343" s="149">
        <v>0</v>
      </c>
      <c r="M343" s="149">
        <v>0</v>
      </c>
      <c r="N343" s="149">
        <v>0</v>
      </c>
      <c r="O343" s="153">
        <v>26280000</v>
      </c>
      <c r="P343" s="153">
        <v>0</v>
      </c>
      <c r="Q343" s="153">
        <v>0</v>
      </c>
      <c r="R343" s="153">
        <f t="shared" si="5"/>
        <v>26280000</v>
      </c>
      <c r="S343" s="154" t="s">
        <v>1211</v>
      </c>
      <c r="T343" s="374" t="s">
        <v>1212</v>
      </c>
      <c r="U343" s="159"/>
      <c r="V343" s="89"/>
      <c r="W343" s="90" t="s">
        <v>46</v>
      </c>
      <c r="X343" s="81"/>
      <c r="Y343" s="81"/>
      <c r="Z343" s="81"/>
      <c r="AA343" s="81"/>
      <c r="AB343" s="81"/>
      <c r="AC343" s="81"/>
      <c r="AD343" s="81"/>
      <c r="AE343" s="81"/>
    </row>
    <row r="344" spans="1:31" s="1" customFormat="1" ht="27">
      <c r="A344" s="147">
        <v>343</v>
      </c>
      <c r="B344" s="148">
        <v>109</v>
      </c>
      <c r="C344" s="149" t="s">
        <v>39</v>
      </c>
      <c r="D344" s="149" t="s">
        <v>40</v>
      </c>
      <c r="E344" s="157" t="s">
        <v>1213</v>
      </c>
      <c r="F344" s="157" t="s">
        <v>1214</v>
      </c>
      <c r="G344" s="157" t="s">
        <v>1215</v>
      </c>
      <c r="H344" s="158">
        <v>405</v>
      </c>
      <c r="I344" s="149">
        <v>0</v>
      </c>
      <c r="J344" s="152">
        <v>2</v>
      </c>
      <c r="K344" s="149">
        <v>8</v>
      </c>
      <c r="L344" s="149">
        <v>0</v>
      </c>
      <c r="M344" s="149">
        <v>0</v>
      </c>
      <c r="N344" s="149">
        <v>0</v>
      </c>
      <c r="O344" s="153">
        <v>4120000</v>
      </c>
      <c r="P344" s="153">
        <v>0</v>
      </c>
      <c r="Q344" s="153">
        <v>0</v>
      </c>
      <c r="R344" s="153">
        <f t="shared" si="5"/>
        <v>4120000</v>
      </c>
      <c r="S344" s="154" t="s">
        <v>1216</v>
      </c>
      <c r="T344" s="375"/>
      <c r="U344" s="156" t="s">
        <v>1217</v>
      </c>
      <c r="V344" s="89"/>
      <c r="W344" s="90" t="s">
        <v>46</v>
      </c>
      <c r="X344" s="81"/>
      <c r="Y344" s="81"/>
      <c r="Z344" s="81"/>
      <c r="AA344" s="81"/>
      <c r="AB344" s="81"/>
      <c r="AC344" s="81"/>
      <c r="AD344" s="81"/>
      <c r="AE344" s="81"/>
    </row>
    <row r="345" spans="1:31" s="1" customFormat="1" ht="27">
      <c r="A345" s="147">
        <v>344</v>
      </c>
      <c r="B345" s="148">
        <v>109</v>
      </c>
      <c r="C345" s="149" t="s">
        <v>39</v>
      </c>
      <c r="D345" s="149" t="s">
        <v>56</v>
      </c>
      <c r="E345" s="160" t="s">
        <v>1218</v>
      </c>
      <c r="F345" s="160" t="s">
        <v>1219</v>
      </c>
      <c r="G345" s="160" t="s">
        <v>1220</v>
      </c>
      <c r="H345" s="158">
        <v>42</v>
      </c>
      <c r="I345" s="149" t="s">
        <v>42</v>
      </c>
      <c r="J345" s="152">
        <v>10</v>
      </c>
      <c r="K345" s="149">
        <v>0</v>
      </c>
      <c r="L345" s="149">
        <v>9</v>
      </c>
      <c r="M345" s="149">
        <v>0</v>
      </c>
      <c r="N345" s="149">
        <v>0</v>
      </c>
      <c r="O345" s="153">
        <v>2688000</v>
      </c>
      <c r="P345" s="153">
        <v>16701710</v>
      </c>
      <c r="Q345" s="153">
        <v>0</v>
      </c>
      <c r="R345" s="153">
        <f t="shared" si="5"/>
        <v>19389710</v>
      </c>
      <c r="S345" s="154" t="s">
        <v>1211</v>
      </c>
      <c r="T345" s="155" t="s">
        <v>1221</v>
      </c>
      <c r="U345" s="156" t="s">
        <v>1222</v>
      </c>
      <c r="V345" s="89"/>
      <c r="W345" s="90" t="s">
        <v>1223</v>
      </c>
      <c r="X345" s="81"/>
      <c r="Y345" s="81"/>
      <c r="Z345" s="81"/>
      <c r="AA345" s="81"/>
      <c r="AB345" s="81"/>
      <c r="AC345" s="81"/>
      <c r="AD345" s="81"/>
      <c r="AE345" s="81"/>
    </row>
    <row r="346" spans="1:31" s="1" customFormat="1" ht="40.5">
      <c r="A346" s="147">
        <v>345</v>
      </c>
      <c r="B346" s="148">
        <v>109</v>
      </c>
      <c r="C346" s="149" t="s">
        <v>39</v>
      </c>
      <c r="D346" s="149" t="s">
        <v>56</v>
      </c>
      <c r="E346" s="150" t="s">
        <v>1224</v>
      </c>
      <c r="F346" s="150" t="s">
        <v>1225</v>
      </c>
      <c r="G346" s="150" t="s">
        <v>1226</v>
      </c>
      <c r="H346" s="151">
        <v>100</v>
      </c>
      <c r="I346" s="149" t="s">
        <v>200</v>
      </c>
      <c r="J346" s="152" t="s">
        <v>1227</v>
      </c>
      <c r="K346" s="149">
        <v>8</v>
      </c>
      <c r="L346" s="149">
        <v>0</v>
      </c>
      <c r="M346" s="149">
        <v>0</v>
      </c>
      <c r="N346" s="149">
        <v>0</v>
      </c>
      <c r="O346" s="153">
        <v>10080000</v>
      </c>
      <c r="P346" s="153">
        <v>0</v>
      </c>
      <c r="Q346" s="153">
        <v>0</v>
      </c>
      <c r="R346" s="153">
        <f t="shared" si="5"/>
        <v>10080000</v>
      </c>
      <c r="S346" s="154" t="s">
        <v>1216</v>
      </c>
      <c r="T346" s="155" t="s">
        <v>1228</v>
      </c>
      <c r="U346" s="156" t="s">
        <v>1229</v>
      </c>
      <c r="V346" s="89"/>
      <c r="W346" s="90" t="s">
        <v>1230</v>
      </c>
      <c r="X346" s="81"/>
      <c r="Y346" s="81"/>
      <c r="Z346" s="81"/>
      <c r="AA346" s="81"/>
      <c r="AB346" s="81"/>
      <c r="AC346" s="81"/>
      <c r="AD346" s="81"/>
      <c r="AE346" s="81"/>
    </row>
    <row r="347" spans="1:31" s="1" customFormat="1" ht="54">
      <c r="A347" s="147">
        <v>346</v>
      </c>
      <c r="B347" s="148">
        <v>109</v>
      </c>
      <c r="C347" s="149" t="s">
        <v>39</v>
      </c>
      <c r="D347" s="149" t="s">
        <v>56</v>
      </c>
      <c r="E347" s="160" t="s">
        <v>1231</v>
      </c>
      <c r="F347" s="160" t="s">
        <v>1232</v>
      </c>
      <c r="G347" s="160" t="s">
        <v>1233</v>
      </c>
      <c r="H347" s="158">
        <v>35</v>
      </c>
      <c r="I347" s="149" t="s">
        <v>42</v>
      </c>
      <c r="J347" s="152">
        <v>8</v>
      </c>
      <c r="K347" s="149">
        <v>2</v>
      </c>
      <c r="L347" s="149">
        <v>6</v>
      </c>
      <c r="M347" s="149">
        <v>1</v>
      </c>
      <c r="N347" s="149">
        <v>3</v>
      </c>
      <c r="O347" s="153">
        <v>2240000</v>
      </c>
      <c r="P347" s="153">
        <v>18956880</v>
      </c>
      <c r="Q347" s="153">
        <v>4644300</v>
      </c>
      <c r="R347" s="153">
        <f t="shared" si="5"/>
        <v>25841180</v>
      </c>
      <c r="S347" s="154" t="s">
        <v>1200</v>
      </c>
      <c r="T347" s="155" t="s">
        <v>1234</v>
      </c>
      <c r="U347" s="156"/>
      <c r="V347" s="89"/>
      <c r="W347" s="90" t="s">
        <v>1235</v>
      </c>
      <c r="X347" s="81"/>
      <c r="Y347" s="81"/>
      <c r="Z347" s="81"/>
      <c r="AA347" s="81"/>
      <c r="AB347" s="81"/>
      <c r="AC347" s="81"/>
      <c r="AD347" s="81"/>
      <c r="AE347" s="81"/>
    </row>
    <row r="348" spans="1:31" s="1" customFormat="1" ht="27">
      <c r="A348" s="147">
        <v>347</v>
      </c>
      <c r="B348" s="148">
        <v>109</v>
      </c>
      <c r="C348" s="149" t="s">
        <v>39</v>
      </c>
      <c r="D348" s="149" t="s">
        <v>83</v>
      </c>
      <c r="E348" s="160" t="s">
        <v>1236</v>
      </c>
      <c r="F348" s="160" t="s">
        <v>1237</v>
      </c>
      <c r="G348" s="160" t="s">
        <v>1238</v>
      </c>
      <c r="H348" s="158">
        <v>6</v>
      </c>
      <c r="I348" s="154" t="s">
        <v>42</v>
      </c>
      <c r="J348" s="152">
        <v>8</v>
      </c>
      <c r="K348" s="149">
        <v>0</v>
      </c>
      <c r="L348" s="149">
        <v>2</v>
      </c>
      <c r="M348" s="149">
        <v>0</v>
      </c>
      <c r="N348" s="149">
        <v>0</v>
      </c>
      <c r="O348" s="153">
        <v>500000</v>
      </c>
      <c r="P348" s="153">
        <v>2007604</v>
      </c>
      <c r="Q348" s="153">
        <v>0</v>
      </c>
      <c r="R348" s="153">
        <f t="shared" si="5"/>
        <v>2507604</v>
      </c>
      <c r="S348" s="154" t="s">
        <v>1216</v>
      </c>
      <c r="T348" s="155" t="s">
        <v>1239</v>
      </c>
      <c r="U348" s="156" t="s">
        <v>1240</v>
      </c>
      <c r="V348" s="89"/>
      <c r="W348" s="90" t="s">
        <v>1241</v>
      </c>
      <c r="X348" s="81"/>
      <c r="Y348" s="81"/>
      <c r="Z348" s="81"/>
      <c r="AA348" s="81"/>
      <c r="AB348" s="81"/>
      <c r="AC348" s="81"/>
      <c r="AD348" s="81"/>
      <c r="AE348" s="81"/>
    </row>
    <row r="349" spans="1:31" s="1" customFormat="1" ht="27">
      <c r="A349" s="147">
        <v>348</v>
      </c>
      <c r="B349" s="148">
        <v>109</v>
      </c>
      <c r="C349" s="149" t="s">
        <v>39</v>
      </c>
      <c r="D349" s="149" t="s">
        <v>83</v>
      </c>
      <c r="E349" s="160" t="s">
        <v>1242</v>
      </c>
      <c r="F349" s="160" t="s">
        <v>1243</v>
      </c>
      <c r="G349" s="160" t="s">
        <v>1244</v>
      </c>
      <c r="H349" s="158">
        <v>25</v>
      </c>
      <c r="I349" s="149">
        <v>4</v>
      </c>
      <c r="J349" s="152">
        <v>8</v>
      </c>
      <c r="K349" s="149">
        <v>1</v>
      </c>
      <c r="L349" s="149">
        <v>12</v>
      </c>
      <c r="M349" s="149">
        <v>0</v>
      </c>
      <c r="N349" s="149">
        <v>1</v>
      </c>
      <c r="O349" s="153">
        <v>1600000</v>
      </c>
      <c r="P349" s="153">
        <v>3769387</v>
      </c>
      <c r="Q349" s="153">
        <v>121200</v>
      </c>
      <c r="R349" s="153">
        <f t="shared" si="5"/>
        <v>5490587</v>
      </c>
      <c r="S349" s="154" t="s">
        <v>1216</v>
      </c>
      <c r="T349" s="155" t="s">
        <v>1245</v>
      </c>
      <c r="U349" s="156"/>
      <c r="V349" s="89"/>
      <c r="W349" s="90" t="s">
        <v>1246</v>
      </c>
      <c r="X349" s="81"/>
      <c r="Y349" s="81"/>
      <c r="Z349" s="81"/>
      <c r="AA349" s="81"/>
      <c r="AB349" s="81"/>
      <c r="AC349" s="81"/>
      <c r="AD349" s="81"/>
      <c r="AE349" s="81"/>
    </row>
    <row r="350" spans="1:31" s="1" customFormat="1" ht="27">
      <c r="A350" s="147">
        <v>349</v>
      </c>
      <c r="B350" s="148">
        <v>109</v>
      </c>
      <c r="C350" s="149" t="s">
        <v>39</v>
      </c>
      <c r="D350" s="149" t="s">
        <v>83</v>
      </c>
      <c r="E350" s="160" t="s">
        <v>1247</v>
      </c>
      <c r="F350" s="160" t="s">
        <v>1248</v>
      </c>
      <c r="G350" s="160" t="s">
        <v>1248</v>
      </c>
      <c r="H350" s="158">
        <v>30</v>
      </c>
      <c r="I350" s="154" t="s">
        <v>42</v>
      </c>
      <c r="J350" s="152">
        <v>8</v>
      </c>
      <c r="K350" s="149">
        <v>2</v>
      </c>
      <c r="L350" s="149">
        <v>3</v>
      </c>
      <c r="M350" s="149">
        <v>0</v>
      </c>
      <c r="N350" s="149">
        <v>0</v>
      </c>
      <c r="O350" s="153">
        <v>2400000</v>
      </c>
      <c r="P350" s="153">
        <v>1028640</v>
      </c>
      <c r="Q350" s="153">
        <v>0</v>
      </c>
      <c r="R350" s="153">
        <f t="shared" si="5"/>
        <v>3428640</v>
      </c>
      <c r="S350" s="154" t="s">
        <v>1216</v>
      </c>
      <c r="T350" s="155" t="s">
        <v>1249</v>
      </c>
      <c r="U350" s="156"/>
      <c r="V350" s="89"/>
      <c r="W350" s="90" t="s">
        <v>1250</v>
      </c>
      <c r="X350" s="81"/>
      <c r="Y350" s="81"/>
      <c r="Z350" s="81"/>
      <c r="AA350" s="81"/>
      <c r="AB350" s="81"/>
      <c r="AC350" s="81"/>
      <c r="AD350" s="81"/>
      <c r="AE350" s="81"/>
    </row>
    <row r="351" spans="1:31" s="1" customFormat="1" ht="27">
      <c r="A351" s="147">
        <v>350</v>
      </c>
      <c r="B351" s="148">
        <v>109</v>
      </c>
      <c r="C351" s="149" t="s">
        <v>39</v>
      </c>
      <c r="D351" s="149" t="s">
        <v>83</v>
      </c>
      <c r="E351" s="160" t="s">
        <v>1251</v>
      </c>
      <c r="F351" s="160" t="s">
        <v>1252</v>
      </c>
      <c r="G351" s="160" t="s">
        <v>1253</v>
      </c>
      <c r="H351" s="158">
        <v>30</v>
      </c>
      <c r="I351" s="154" t="s">
        <v>42</v>
      </c>
      <c r="J351" s="152">
        <v>8</v>
      </c>
      <c r="K351" s="149">
        <v>4</v>
      </c>
      <c r="L351" s="149">
        <v>4</v>
      </c>
      <c r="M351" s="149">
        <v>0</v>
      </c>
      <c r="N351" s="149">
        <v>1</v>
      </c>
      <c r="O351" s="153">
        <v>1920000</v>
      </c>
      <c r="P351" s="153">
        <v>18171000</v>
      </c>
      <c r="Q351" s="153">
        <v>303000</v>
      </c>
      <c r="R351" s="153">
        <f t="shared" si="5"/>
        <v>20394000</v>
      </c>
      <c r="S351" s="154" t="s">
        <v>1211</v>
      </c>
      <c r="T351" s="155" t="s">
        <v>1254</v>
      </c>
      <c r="U351" s="156"/>
      <c r="V351" s="89"/>
      <c r="W351" s="90" t="s">
        <v>1246</v>
      </c>
      <c r="X351" s="81"/>
      <c r="Y351" s="81"/>
      <c r="Z351" s="81"/>
      <c r="AA351" s="81"/>
      <c r="AB351" s="81"/>
      <c r="AC351" s="81"/>
      <c r="AD351" s="81"/>
      <c r="AE351" s="81"/>
    </row>
    <row r="352" spans="1:31" s="1" customFormat="1" ht="27">
      <c r="A352" s="147">
        <v>351</v>
      </c>
      <c r="B352" s="148">
        <v>109</v>
      </c>
      <c r="C352" s="149" t="s">
        <v>39</v>
      </c>
      <c r="D352" s="149" t="s">
        <v>83</v>
      </c>
      <c r="E352" s="160" t="s">
        <v>1255</v>
      </c>
      <c r="F352" s="160" t="s">
        <v>1256</v>
      </c>
      <c r="G352" s="160" t="s">
        <v>1257</v>
      </c>
      <c r="H352" s="158">
        <v>25</v>
      </c>
      <c r="I352" s="154" t="s">
        <v>42</v>
      </c>
      <c r="J352" s="152">
        <v>8</v>
      </c>
      <c r="K352" s="149">
        <v>5</v>
      </c>
      <c r="L352" s="149">
        <v>4</v>
      </c>
      <c r="M352" s="149">
        <v>4</v>
      </c>
      <c r="N352" s="149">
        <v>0</v>
      </c>
      <c r="O352" s="153">
        <v>3037713</v>
      </c>
      <c r="P352" s="153">
        <v>4166400</v>
      </c>
      <c r="Q352" s="153">
        <v>11918000</v>
      </c>
      <c r="R352" s="153">
        <f t="shared" si="5"/>
        <v>19122113</v>
      </c>
      <c r="S352" s="154" t="s">
        <v>1211</v>
      </c>
      <c r="T352" s="155" t="s">
        <v>1258</v>
      </c>
      <c r="U352" s="156"/>
      <c r="V352" s="89"/>
      <c r="W352" s="90" t="s">
        <v>1259</v>
      </c>
      <c r="X352" s="81"/>
      <c r="Y352" s="81"/>
      <c r="Z352" s="81"/>
      <c r="AA352" s="81"/>
      <c r="AB352" s="81"/>
      <c r="AC352" s="81"/>
      <c r="AD352" s="81"/>
      <c r="AE352" s="81"/>
    </row>
    <row r="353" spans="1:31" s="1" customFormat="1" ht="27">
      <c r="A353" s="147">
        <v>352</v>
      </c>
      <c r="B353" s="148">
        <v>109</v>
      </c>
      <c r="C353" s="149" t="s">
        <v>39</v>
      </c>
      <c r="D353" s="149" t="s">
        <v>83</v>
      </c>
      <c r="E353" s="160" t="s">
        <v>1260</v>
      </c>
      <c r="F353" s="160" t="s">
        <v>1261</v>
      </c>
      <c r="G353" s="160" t="s">
        <v>495</v>
      </c>
      <c r="H353" s="161">
        <v>25</v>
      </c>
      <c r="I353" s="154" t="s">
        <v>42</v>
      </c>
      <c r="J353" s="162">
        <v>6</v>
      </c>
      <c r="K353" s="154">
        <v>1</v>
      </c>
      <c r="L353" s="154">
        <v>0</v>
      </c>
      <c r="M353" s="154">
        <v>0</v>
      </c>
      <c r="N353" s="154">
        <v>0</v>
      </c>
      <c r="O353" s="163">
        <v>1200000</v>
      </c>
      <c r="P353" s="163">
        <v>1090650</v>
      </c>
      <c r="Q353" s="163">
        <v>0</v>
      </c>
      <c r="R353" s="153">
        <f t="shared" si="5"/>
        <v>2290650</v>
      </c>
      <c r="S353" s="154" t="s">
        <v>1216</v>
      </c>
      <c r="T353" s="155" t="s">
        <v>1262</v>
      </c>
      <c r="U353" s="156" t="s">
        <v>1263</v>
      </c>
      <c r="V353" s="89"/>
      <c r="W353" s="90" t="s">
        <v>1264</v>
      </c>
      <c r="X353" s="81"/>
      <c r="Y353" s="81"/>
      <c r="Z353" s="81"/>
      <c r="AA353" s="81"/>
      <c r="AB353" s="81"/>
      <c r="AC353" s="81"/>
      <c r="AD353" s="81"/>
      <c r="AE353" s="81"/>
    </row>
    <row r="354" spans="1:31" s="1" customFormat="1" ht="27">
      <c r="A354" s="147">
        <v>353</v>
      </c>
      <c r="B354" s="148">
        <v>109</v>
      </c>
      <c r="C354" s="149" t="s">
        <v>39</v>
      </c>
      <c r="D354" s="149" t="s">
        <v>83</v>
      </c>
      <c r="E354" s="160" t="s">
        <v>1265</v>
      </c>
      <c r="F354" s="160" t="s">
        <v>1266</v>
      </c>
      <c r="G354" s="160" t="s">
        <v>1267</v>
      </c>
      <c r="H354" s="158">
        <v>10</v>
      </c>
      <c r="I354" s="154" t="s">
        <v>42</v>
      </c>
      <c r="J354" s="152">
        <v>8</v>
      </c>
      <c r="K354" s="149">
        <v>1</v>
      </c>
      <c r="L354" s="149">
        <v>1</v>
      </c>
      <c r="M354" s="149">
        <v>0</v>
      </c>
      <c r="N354" s="149">
        <v>0</v>
      </c>
      <c r="O354" s="153">
        <v>800000</v>
      </c>
      <c r="P354" s="153">
        <v>4964018</v>
      </c>
      <c r="Q354" s="153">
        <v>0</v>
      </c>
      <c r="R354" s="153">
        <f t="shared" si="5"/>
        <v>5764018</v>
      </c>
      <c r="S354" s="154" t="s">
        <v>1216</v>
      </c>
      <c r="T354" s="155" t="s">
        <v>1268</v>
      </c>
      <c r="U354" s="156" t="s">
        <v>1240</v>
      </c>
      <c r="V354" s="89"/>
      <c r="W354" s="90"/>
      <c r="X354" s="81"/>
      <c r="Y354" s="81"/>
      <c r="Z354" s="81"/>
      <c r="AA354" s="81"/>
      <c r="AB354" s="81"/>
      <c r="AC354" s="81"/>
      <c r="AD354" s="81"/>
      <c r="AE354" s="81"/>
    </row>
    <row r="355" spans="1:31" s="1" customFormat="1" ht="40.5">
      <c r="A355" s="147">
        <v>354</v>
      </c>
      <c r="B355" s="148">
        <v>110</v>
      </c>
      <c r="C355" s="149" t="s">
        <v>39</v>
      </c>
      <c r="D355" s="149" t="s">
        <v>108</v>
      </c>
      <c r="E355" s="160" t="s">
        <v>1269</v>
      </c>
      <c r="F355" s="160" t="s">
        <v>1270</v>
      </c>
      <c r="G355" s="160" t="s">
        <v>1271</v>
      </c>
      <c r="H355" s="158">
        <v>66</v>
      </c>
      <c r="I355" s="154" t="s">
        <v>1272</v>
      </c>
      <c r="J355" s="152">
        <v>8</v>
      </c>
      <c r="K355" s="149">
        <v>7</v>
      </c>
      <c r="L355" s="149">
        <v>7</v>
      </c>
      <c r="M355" s="149">
        <v>0</v>
      </c>
      <c r="N355" s="149">
        <v>0</v>
      </c>
      <c r="O355" s="153">
        <v>2112000</v>
      </c>
      <c r="P355" s="153">
        <v>15175646</v>
      </c>
      <c r="Q355" s="153">
        <v>0</v>
      </c>
      <c r="R355" s="153">
        <f t="shared" si="5"/>
        <v>17287646</v>
      </c>
      <c r="S355" s="154" t="s">
        <v>1200</v>
      </c>
      <c r="T355" s="155" t="s">
        <v>709</v>
      </c>
      <c r="U355" s="156"/>
      <c r="V355" s="89"/>
      <c r="W355" s="90"/>
      <c r="X355" s="81"/>
      <c r="Y355" s="81"/>
      <c r="Z355" s="81"/>
      <c r="AA355" s="81"/>
      <c r="AB355" s="81"/>
      <c r="AC355" s="81"/>
      <c r="AD355" s="81"/>
      <c r="AE355" s="81"/>
    </row>
    <row r="356" spans="1:31" s="1" customFormat="1" ht="54">
      <c r="A356" s="147">
        <v>355</v>
      </c>
      <c r="B356" s="148">
        <v>109</v>
      </c>
      <c r="C356" s="149" t="s">
        <v>39</v>
      </c>
      <c r="D356" s="149" t="s">
        <v>117</v>
      </c>
      <c r="E356" s="160" t="s">
        <v>1273</v>
      </c>
      <c r="F356" s="160" t="s">
        <v>1274</v>
      </c>
      <c r="G356" s="160" t="s">
        <v>1275</v>
      </c>
      <c r="H356" s="158">
        <v>30</v>
      </c>
      <c r="I356" s="149" t="s">
        <v>42</v>
      </c>
      <c r="J356" s="152">
        <v>8</v>
      </c>
      <c r="K356" s="149">
        <v>0</v>
      </c>
      <c r="L356" s="149">
        <v>1</v>
      </c>
      <c r="M356" s="149">
        <v>0</v>
      </c>
      <c r="N356" s="149">
        <v>0</v>
      </c>
      <c r="O356" s="153">
        <v>1920000</v>
      </c>
      <c r="P356" s="153">
        <v>7267280</v>
      </c>
      <c r="Q356" s="153">
        <v>0</v>
      </c>
      <c r="R356" s="153">
        <f t="shared" si="5"/>
        <v>9187280</v>
      </c>
      <c r="S356" s="154" t="s">
        <v>1200</v>
      </c>
      <c r="T356" s="155" t="s">
        <v>1276</v>
      </c>
      <c r="U356" s="156" t="s">
        <v>1277</v>
      </c>
      <c r="V356" s="89"/>
      <c r="W356" s="90" t="s">
        <v>1278</v>
      </c>
      <c r="X356" s="81"/>
      <c r="Y356" s="81"/>
      <c r="Z356" s="81"/>
      <c r="AA356" s="81"/>
      <c r="AB356" s="81"/>
      <c r="AC356" s="81"/>
      <c r="AD356" s="81"/>
      <c r="AE356" s="81"/>
    </row>
    <row r="357" spans="1:31" s="1" customFormat="1" ht="27">
      <c r="A357" s="147">
        <v>356</v>
      </c>
      <c r="B357" s="148">
        <v>109</v>
      </c>
      <c r="C357" s="149" t="s">
        <v>39</v>
      </c>
      <c r="D357" s="149" t="s">
        <v>117</v>
      </c>
      <c r="E357" s="160" t="s">
        <v>1279</v>
      </c>
      <c r="F357" s="160" t="s">
        <v>1280</v>
      </c>
      <c r="G357" s="160" t="s">
        <v>1281</v>
      </c>
      <c r="H357" s="158">
        <v>80</v>
      </c>
      <c r="I357" s="149">
        <v>6</v>
      </c>
      <c r="J357" s="152">
        <v>8</v>
      </c>
      <c r="K357" s="149">
        <v>2</v>
      </c>
      <c r="L357" s="149">
        <v>2</v>
      </c>
      <c r="M357" s="149" t="s">
        <v>1282</v>
      </c>
      <c r="N357" s="149">
        <v>1</v>
      </c>
      <c r="O357" s="153">
        <v>5120000</v>
      </c>
      <c r="P357" s="153">
        <v>2400000</v>
      </c>
      <c r="Q357" s="153">
        <v>980000</v>
      </c>
      <c r="R357" s="153">
        <f t="shared" si="5"/>
        <v>8500000</v>
      </c>
      <c r="S357" s="154" t="s">
        <v>1216</v>
      </c>
      <c r="T357" s="155" t="s">
        <v>1283</v>
      </c>
      <c r="U357" s="156"/>
      <c r="V357" s="89"/>
      <c r="W357" s="90" t="s">
        <v>1284</v>
      </c>
      <c r="X357" s="81"/>
      <c r="Y357" s="81"/>
      <c r="Z357" s="81"/>
      <c r="AA357" s="81"/>
      <c r="AB357" s="81"/>
      <c r="AC357" s="81"/>
      <c r="AD357" s="81"/>
      <c r="AE357" s="81"/>
    </row>
    <row r="358" spans="1:31" s="1" customFormat="1" ht="27">
      <c r="A358" s="147">
        <v>357</v>
      </c>
      <c r="B358" s="148">
        <v>109</v>
      </c>
      <c r="C358" s="149" t="s">
        <v>39</v>
      </c>
      <c r="D358" s="149" t="s">
        <v>117</v>
      </c>
      <c r="E358" s="160" t="s">
        <v>1285</v>
      </c>
      <c r="F358" s="160" t="s">
        <v>1286</v>
      </c>
      <c r="G358" s="160" t="s">
        <v>1102</v>
      </c>
      <c r="H358" s="158">
        <v>25</v>
      </c>
      <c r="I358" s="149" t="s">
        <v>42</v>
      </c>
      <c r="J358" s="152">
        <v>12</v>
      </c>
      <c r="K358" s="149">
        <v>1</v>
      </c>
      <c r="L358" s="149">
        <v>1</v>
      </c>
      <c r="M358" s="149">
        <v>0</v>
      </c>
      <c r="N358" s="149">
        <v>3</v>
      </c>
      <c r="O358" s="153">
        <v>2880000</v>
      </c>
      <c r="P358" s="153">
        <v>2774880</v>
      </c>
      <c r="Q358" s="153">
        <v>3030000</v>
      </c>
      <c r="R358" s="153">
        <f t="shared" si="5"/>
        <v>8684880</v>
      </c>
      <c r="S358" s="154" t="s">
        <v>1216</v>
      </c>
      <c r="T358" s="155" t="s">
        <v>1283</v>
      </c>
      <c r="U358" s="156"/>
      <c r="V358" s="89"/>
      <c r="W358" s="90" t="s">
        <v>1287</v>
      </c>
      <c r="X358" s="81"/>
      <c r="Y358" s="81"/>
      <c r="Z358" s="81"/>
      <c r="AA358" s="81"/>
      <c r="AB358" s="81"/>
      <c r="AC358" s="81"/>
      <c r="AD358" s="81"/>
      <c r="AE358" s="81"/>
    </row>
    <row r="359" spans="1:31" s="1" customFormat="1" ht="27">
      <c r="A359" s="147">
        <v>358</v>
      </c>
      <c r="B359" s="148">
        <v>109</v>
      </c>
      <c r="C359" s="149" t="s">
        <v>39</v>
      </c>
      <c r="D359" s="149" t="s">
        <v>117</v>
      </c>
      <c r="E359" s="160" t="s">
        <v>1288</v>
      </c>
      <c r="F359" s="160" t="s">
        <v>1289</v>
      </c>
      <c r="G359" s="160" t="s">
        <v>1290</v>
      </c>
      <c r="H359" s="158">
        <v>34</v>
      </c>
      <c r="I359" s="149">
        <v>3.5</v>
      </c>
      <c r="J359" s="152">
        <v>8</v>
      </c>
      <c r="K359" s="149">
        <v>11</v>
      </c>
      <c r="L359" s="149">
        <v>6</v>
      </c>
      <c r="M359" s="149">
        <v>0</v>
      </c>
      <c r="N359" s="149">
        <v>0</v>
      </c>
      <c r="O359" s="153">
        <v>2176000</v>
      </c>
      <c r="P359" s="153">
        <v>4204800</v>
      </c>
      <c r="Q359" s="153">
        <v>400000</v>
      </c>
      <c r="R359" s="153">
        <f t="shared" si="5"/>
        <v>6780800</v>
      </c>
      <c r="S359" s="154" t="s">
        <v>1291</v>
      </c>
      <c r="T359" s="155" t="s">
        <v>1292</v>
      </c>
      <c r="U359" s="156"/>
      <c r="V359" s="89"/>
      <c r="W359" s="90" t="s">
        <v>1293</v>
      </c>
      <c r="X359" s="81"/>
      <c r="Y359" s="81"/>
      <c r="Z359" s="81"/>
      <c r="AA359" s="81"/>
      <c r="AB359" s="81"/>
      <c r="AC359" s="81"/>
      <c r="AD359" s="81"/>
      <c r="AE359" s="81"/>
    </row>
    <row r="360" spans="1:31" s="1" customFormat="1" ht="27">
      <c r="A360" s="147">
        <v>359</v>
      </c>
      <c r="B360" s="148">
        <v>109</v>
      </c>
      <c r="C360" s="149" t="s">
        <v>39</v>
      </c>
      <c r="D360" s="149" t="s">
        <v>121</v>
      </c>
      <c r="E360" s="160" t="s">
        <v>1294</v>
      </c>
      <c r="F360" s="160" t="s">
        <v>1295</v>
      </c>
      <c r="G360" s="160" t="s">
        <v>1296</v>
      </c>
      <c r="H360" s="158">
        <v>30</v>
      </c>
      <c r="I360" s="149">
        <v>5.4</v>
      </c>
      <c r="J360" s="152">
        <v>8</v>
      </c>
      <c r="K360" s="149">
        <v>1</v>
      </c>
      <c r="L360" s="149">
        <v>3</v>
      </c>
      <c r="M360" s="149">
        <v>0</v>
      </c>
      <c r="N360" s="149">
        <v>1</v>
      </c>
      <c r="O360" s="153">
        <v>1920000</v>
      </c>
      <c r="P360" s="153">
        <v>5600000</v>
      </c>
      <c r="Q360" s="153">
        <v>0</v>
      </c>
      <c r="R360" s="153">
        <f t="shared" si="5"/>
        <v>7520000</v>
      </c>
      <c r="S360" s="154" t="s">
        <v>1216</v>
      </c>
      <c r="T360" s="155" t="s">
        <v>1297</v>
      </c>
      <c r="U360" s="156"/>
      <c r="V360" s="89"/>
      <c r="W360" s="90" t="s">
        <v>926</v>
      </c>
      <c r="X360" s="81"/>
      <c r="Y360" s="81"/>
      <c r="Z360" s="81"/>
      <c r="AA360" s="81"/>
      <c r="AB360" s="81"/>
      <c r="AC360" s="81"/>
      <c r="AD360" s="81"/>
      <c r="AE360" s="81"/>
    </row>
    <row r="361" spans="1:31" s="1" customFormat="1" ht="27">
      <c r="A361" s="147">
        <v>360</v>
      </c>
      <c r="B361" s="148">
        <v>109</v>
      </c>
      <c r="C361" s="149" t="s">
        <v>39</v>
      </c>
      <c r="D361" s="149" t="s">
        <v>133</v>
      </c>
      <c r="E361" s="160" t="s">
        <v>1298</v>
      </c>
      <c r="F361" s="160" t="s">
        <v>1299</v>
      </c>
      <c r="G361" s="160"/>
      <c r="H361" s="158">
        <v>180</v>
      </c>
      <c r="I361" s="149">
        <v>6</v>
      </c>
      <c r="J361" s="152">
        <v>8</v>
      </c>
      <c r="K361" s="149">
        <v>16</v>
      </c>
      <c r="L361" s="149">
        <v>0</v>
      </c>
      <c r="M361" s="149">
        <v>0</v>
      </c>
      <c r="N361" s="149">
        <v>0</v>
      </c>
      <c r="O361" s="153">
        <v>23400000</v>
      </c>
      <c r="P361" s="153">
        <v>0</v>
      </c>
      <c r="Q361" s="153">
        <v>0</v>
      </c>
      <c r="R361" s="153">
        <f t="shared" si="5"/>
        <v>23400000</v>
      </c>
      <c r="S361" s="154" t="s">
        <v>1291</v>
      </c>
      <c r="T361" s="155" t="s">
        <v>1300</v>
      </c>
      <c r="U361" s="156"/>
      <c r="V361" s="89"/>
      <c r="W361" s="90" t="s">
        <v>1301</v>
      </c>
      <c r="X361" s="81"/>
      <c r="Y361" s="81"/>
      <c r="Z361" s="81"/>
      <c r="AA361" s="81"/>
      <c r="AB361" s="81"/>
      <c r="AC361" s="81"/>
      <c r="AD361" s="81"/>
      <c r="AE361" s="81"/>
    </row>
    <row r="362" spans="1:31" s="1" customFormat="1" ht="54">
      <c r="A362" s="147">
        <v>361</v>
      </c>
      <c r="B362" s="148" t="s">
        <v>38</v>
      </c>
      <c r="C362" s="149" t="s">
        <v>39</v>
      </c>
      <c r="D362" s="149" t="s">
        <v>137</v>
      </c>
      <c r="E362" s="160" t="s">
        <v>138</v>
      </c>
      <c r="F362" s="160" t="s">
        <v>1102</v>
      </c>
      <c r="G362" s="160" t="s">
        <v>1302</v>
      </c>
      <c r="H362" s="158">
        <v>50</v>
      </c>
      <c r="I362" s="149">
        <v>4</v>
      </c>
      <c r="J362" s="152">
        <v>8</v>
      </c>
      <c r="K362" s="149">
        <v>5</v>
      </c>
      <c r="L362" s="149">
        <v>5</v>
      </c>
      <c r="M362" s="149">
        <v>0</v>
      </c>
      <c r="N362" s="149">
        <v>1</v>
      </c>
      <c r="O362" s="153">
        <v>1600000</v>
      </c>
      <c r="P362" s="153">
        <v>29199780.071999997</v>
      </c>
      <c r="Q362" s="153">
        <v>2908800</v>
      </c>
      <c r="R362" s="153">
        <f t="shared" si="5"/>
        <v>33708580.071999997</v>
      </c>
      <c r="S362" s="154" t="s">
        <v>1200</v>
      </c>
      <c r="T362" s="155" t="s">
        <v>1303</v>
      </c>
      <c r="U362" s="156"/>
      <c r="V362" s="89"/>
      <c r="W362" s="90" t="s">
        <v>879</v>
      </c>
      <c r="X362" s="81"/>
      <c r="Y362" s="81"/>
      <c r="Z362" s="81"/>
      <c r="AA362" s="81"/>
      <c r="AB362" s="81"/>
      <c r="AC362" s="81"/>
      <c r="AD362" s="81"/>
      <c r="AE362" s="81"/>
    </row>
    <row r="363" spans="1:31" s="1" customFormat="1" ht="54">
      <c r="A363" s="147">
        <v>362</v>
      </c>
      <c r="B363" s="148">
        <v>109</v>
      </c>
      <c r="C363" s="149" t="s">
        <v>39</v>
      </c>
      <c r="D363" s="149" t="s">
        <v>147</v>
      </c>
      <c r="E363" s="160" t="s">
        <v>880</v>
      </c>
      <c r="F363" s="160" t="s">
        <v>881</v>
      </c>
      <c r="G363" s="160" t="s">
        <v>882</v>
      </c>
      <c r="H363" s="158">
        <v>45</v>
      </c>
      <c r="I363" s="149" t="s">
        <v>42</v>
      </c>
      <c r="J363" s="152">
        <v>8</v>
      </c>
      <c r="K363" s="149">
        <v>5</v>
      </c>
      <c r="L363" s="149">
        <v>7</v>
      </c>
      <c r="M363" s="149">
        <v>1</v>
      </c>
      <c r="N363" s="149">
        <v>1</v>
      </c>
      <c r="O363" s="164">
        <v>2880000</v>
      </c>
      <c r="P363" s="164">
        <v>20300000</v>
      </c>
      <c r="Q363" s="164">
        <v>1815909</v>
      </c>
      <c r="R363" s="153">
        <f t="shared" si="5"/>
        <v>24995909</v>
      </c>
      <c r="S363" s="154" t="s">
        <v>1200</v>
      </c>
      <c r="T363" s="155" t="s">
        <v>1304</v>
      </c>
      <c r="U363" s="156"/>
      <c r="V363" s="89"/>
      <c r="W363" s="90" t="s">
        <v>889</v>
      </c>
      <c r="X363" s="81"/>
      <c r="Y363" s="81"/>
      <c r="Z363" s="81"/>
      <c r="AA363" s="81"/>
      <c r="AB363" s="81"/>
      <c r="AC363" s="81"/>
      <c r="AD363" s="81"/>
      <c r="AE363" s="81"/>
    </row>
    <row r="364" spans="1:31" s="1" customFormat="1" ht="27">
      <c r="A364" s="147">
        <v>363</v>
      </c>
      <c r="B364" s="148">
        <v>109</v>
      </c>
      <c r="C364" s="149" t="s">
        <v>39</v>
      </c>
      <c r="D364" s="149" t="s">
        <v>160</v>
      </c>
      <c r="E364" s="157" t="s">
        <v>1305</v>
      </c>
      <c r="F364" s="165" t="s">
        <v>1306</v>
      </c>
      <c r="G364" s="157"/>
      <c r="H364" s="158">
        <v>25</v>
      </c>
      <c r="I364" s="149">
        <v>6.5</v>
      </c>
      <c r="J364" s="152">
        <v>9</v>
      </c>
      <c r="K364" s="149">
        <v>2</v>
      </c>
      <c r="L364" s="149">
        <v>5</v>
      </c>
      <c r="M364" s="149">
        <v>0</v>
      </c>
      <c r="N364" s="149">
        <v>0</v>
      </c>
      <c r="O364" s="153">
        <v>2700000</v>
      </c>
      <c r="P364" s="153">
        <v>405000</v>
      </c>
      <c r="Q364" s="153">
        <v>500000</v>
      </c>
      <c r="R364" s="153">
        <f t="shared" si="5"/>
        <v>3605000</v>
      </c>
      <c r="S364" s="154" t="s">
        <v>1216</v>
      </c>
      <c r="T364" s="155" t="s">
        <v>1307</v>
      </c>
      <c r="U364" s="156"/>
      <c r="V364" s="89"/>
      <c r="W364" s="90" t="s">
        <v>905</v>
      </c>
      <c r="X364" s="81"/>
      <c r="Y364" s="81"/>
      <c r="Z364" s="81"/>
      <c r="AA364" s="81"/>
      <c r="AB364" s="81"/>
      <c r="AC364" s="81"/>
      <c r="AD364" s="81"/>
      <c r="AE364" s="81"/>
    </row>
    <row r="365" spans="1:31" s="1" customFormat="1" ht="27">
      <c r="A365" s="147">
        <v>364</v>
      </c>
      <c r="B365" s="148">
        <v>109</v>
      </c>
      <c r="C365" s="149" t="s">
        <v>39</v>
      </c>
      <c r="D365" s="149" t="s">
        <v>160</v>
      </c>
      <c r="E365" s="160" t="s">
        <v>1308</v>
      </c>
      <c r="F365" s="160" t="s">
        <v>1309</v>
      </c>
      <c r="G365" s="160"/>
      <c r="H365" s="158">
        <v>30</v>
      </c>
      <c r="I365" s="149">
        <v>9</v>
      </c>
      <c r="J365" s="152">
        <v>9</v>
      </c>
      <c r="K365" s="149">
        <v>2</v>
      </c>
      <c r="L365" s="149">
        <v>3</v>
      </c>
      <c r="M365" s="149">
        <v>0</v>
      </c>
      <c r="N365" s="149">
        <v>0</v>
      </c>
      <c r="O365" s="153">
        <v>27000000</v>
      </c>
      <c r="P365" s="153">
        <v>6340000</v>
      </c>
      <c r="Q365" s="153">
        <v>0</v>
      </c>
      <c r="R365" s="153">
        <f t="shared" si="5"/>
        <v>33340000</v>
      </c>
      <c r="S365" s="154" t="s">
        <v>1291</v>
      </c>
      <c r="T365" s="155" t="s">
        <v>1310</v>
      </c>
      <c r="U365" s="156"/>
      <c r="V365" s="89"/>
      <c r="W365" s="90" t="s">
        <v>1311</v>
      </c>
      <c r="X365" s="81"/>
      <c r="Y365" s="81"/>
      <c r="Z365" s="81"/>
      <c r="AA365" s="81"/>
      <c r="AB365" s="81"/>
      <c r="AC365" s="81"/>
      <c r="AD365" s="81"/>
      <c r="AE365" s="81"/>
    </row>
    <row r="366" spans="1:31" s="1" customFormat="1" ht="27">
      <c r="A366" s="147">
        <v>365</v>
      </c>
      <c r="B366" s="148">
        <v>109</v>
      </c>
      <c r="C366" s="149" t="s">
        <v>39</v>
      </c>
      <c r="D366" s="149" t="s">
        <v>160</v>
      </c>
      <c r="E366" s="160" t="s">
        <v>1312</v>
      </c>
      <c r="F366" s="160" t="s">
        <v>1185</v>
      </c>
      <c r="G366" s="160" t="s">
        <v>1313</v>
      </c>
      <c r="H366" s="158">
        <v>100</v>
      </c>
      <c r="I366" s="149">
        <v>8</v>
      </c>
      <c r="J366" s="152">
        <v>8</v>
      </c>
      <c r="K366" s="149">
        <v>3</v>
      </c>
      <c r="L366" s="149">
        <v>6</v>
      </c>
      <c r="M366" s="149">
        <v>0</v>
      </c>
      <c r="N366" s="149">
        <v>0</v>
      </c>
      <c r="O366" s="153">
        <v>13200000</v>
      </c>
      <c r="P366" s="153">
        <v>7040000</v>
      </c>
      <c r="Q366" s="153">
        <v>0</v>
      </c>
      <c r="R366" s="153">
        <f t="shared" si="5"/>
        <v>20240000</v>
      </c>
      <c r="S366" s="154" t="s">
        <v>1291</v>
      </c>
      <c r="T366" s="155" t="s">
        <v>1310</v>
      </c>
      <c r="U366" s="156"/>
      <c r="V366" s="89"/>
      <c r="W366" s="90" t="s">
        <v>1311</v>
      </c>
      <c r="X366" s="81"/>
      <c r="Y366" s="81"/>
      <c r="Z366" s="81"/>
      <c r="AA366" s="81"/>
      <c r="AB366" s="81"/>
      <c r="AC366" s="81"/>
      <c r="AD366" s="81"/>
      <c r="AE366" s="81"/>
    </row>
    <row r="367" spans="1:31" s="1" customFormat="1" ht="27">
      <c r="A367" s="147">
        <v>366</v>
      </c>
      <c r="B367" s="148">
        <v>109</v>
      </c>
      <c r="C367" s="149" t="s">
        <v>39</v>
      </c>
      <c r="D367" s="149" t="s">
        <v>160</v>
      </c>
      <c r="E367" s="157" t="s">
        <v>1314</v>
      </c>
      <c r="F367" s="157" t="s">
        <v>1315</v>
      </c>
      <c r="G367" s="157" t="s">
        <v>1316</v>
      </c>
      <c r="H367" s="158">
        <v>40</v>
      </c>
      <c r="I367" s="149">
        <v>8</v>
      </c>
      <c r="J367" s="152">
        <v>8</v>
      </c>
      <c r="K367" s="149">
        <v>1</v>
      </c>
      <c r="L367" s="149">
        <v>1</v>
      </c>
      <c r="M367" s="149">
        <v>0</v>
      </c>
      <c r="N367" s="149">
        <v>1</v>
      </c>
      <c r="O367" s="153">
        <v>13800000</v>
      </c>
      <c r="P367" s="153">
        <v>5280000</v>
      </c>
      <c r="Q367" s="153">
        <v>5575564</v>
      </c>
      <c r="R367" s="153">
        <f t="shared" si="5"/>
        <v>24655564</v>
      </c>
      <c r="S367" s="154" t="s">
        <v>1291</v>
      </c>
      <c r="T367" s="155" t="s">
        <v>1310</v>
      </c>
      <c r="U367" s="156"/>
      <c r="V367" s="89"/>
      <c r="W367" s="90" t="s">
        <v>1317</v>
      </c>
      <c r="X367" s="81"/>
      <c r="Y367" s="81"/>
      <c r="Z367" s="81"/>
      <c r="AA367" s="81"/>
      <c r="AB367" s="81"/>
      <c r="AC367" s="81"/>
      <c r="AD367" s="81"/>
      <c r="AE367" s="81"/>
    </row>
    <row r="368" spans="1:31" s="1" customFormat="1" ht="27">
      <c r="A368" s="147">
        <v>367</v>
      </c>
      <c r="B368" s="148">
        <v>108</v>
      </c>
      <c r="C368" s="149" t="s">
        <v>39</v>
      </c>
      <c r="D368" s="149" t="s">
        <v>171</v>
      </c>
      <c r="E368" s="157" t="s">
        <v>1318</v>
      </c>
      <c r="F368" s="157" t="s">
        <v>923</v>
      </c>
      <c r="G368" s="157" t="s">
        <v>444</v>
      </c>
      <c r="H368" s="158">
        <v>48</v>
      </c>
      <c r="I368" s="149">
        <v>3.5</v>
      </c>
      <c r="J368" s="152">
        <v>8</v>
      </c>
      <c r="K368" s="149">
        <v>1</v>
      </c>
      <c r="L368" s="149">
        <v>11</v>
      </c>
      <c r="M368" s="149">
        <v>2</v>
      </c>
      <c r="N368" s="149">
        <v>3</v>
      </c>
      <c r="O368" s="153">
        <v>3072000</v>
      </c>
      <c r="P368" s="153">
        <v>13853573</v>
      </c>
      <c r="Q368" s="153">
        <v>5331224</v>
      </c>
      <c r="R368" s="153">
        <f t="shared" si="5"/>
        <v>22256797</v>
      </c>
      <c r="S368" s="154" t="s">
        <v>1216</v>
      </c>
      <c r="T368" s="155" t="s">
        <v>1319</v>
      </c>
      <c r="U368" s="156"/>
      <c r="V368" s="89"/>
      <c r="W368" s="90" t="s">
        <v>1320</v>
      </c>
      <c r="X368" s="81"/>
      <c r="Y368" s="81"/>
      <c r="Z368" s="81"/>
      <c r="AA368" s="81"/>
      <c r="AB368" s="81"/>
      <c r="AC368" s="81"/>
      <c r="AD368" s="81"/>
      <c r="AE368" s="81"/>
    </row>
    <row r="369" spans="1:31" s="1" customFormat="1" ht="27">
      <c r="A369" s="147">
        <v>368</v>
      </c>
      <c r="B369" s="148">
        <v>109</v>
      </c>
      <c r="C369" s="149" t="s">
        <v>39</v>
      </c>
      <c r="D369" s="149" t="s">
        <v>173</v>
      </c>
      <c r="E369" s="157" t="s">
        <v>1321</v>
      </c>
      <c r="F369" s="157" t="s">
        <v>449</v>
      </c>
      <c r="G369" s="157" t="s">
        <v>1322</v>
      </c>
      <c r="H369" s="158">
        <v>31</v>
      </c>
      <c r="I369" s="149">
        <v>0</v>
      </c>
      <c r="J369" s="152">
        <v>4</v>
      </c>
      <c r="K369" s="149">
        <v>0</v>
      </c>
      <c r="L369" s="149">
        <v>2</v>
      </c>
      <c r="M369" s="149">
        <v>0</v>
      </c>
      <c r="N369" s="149">
        <v>0</v>
      </c>
      <c r="O369" s="153">
        <v>992000</v>
      </c>
      <c r="P369" s="153">
        <v>3446000</v>
      </c>
      <c r="Q369" s="153">
        <v>0</v>
      </c>
      <c r="R369" s="153">
        <f t="shared" si="5"/>
        <v>4438000</v>
      </c>
      <c r="S369" s="154" t="s">
        <v>1216</v>
      </c>
      <c r="T369" s="155" t="s">
        <v>1323</v>
      </c>
      <c r="U369" s="156"/>
      <c r="V369" s="89"/>
      <c r="W369" s="90" t="s">
        <v>1324</v>
      </c>
      <c r="X369" s="81"/>
      <c r="Y369" s="81"/>
      <c r="Z369" s="81"/>
      <c r="AA369" s="81"/>
      <c r="AB369" s="81"/>
      <c r="AC369" s="81"/>
      <c r="AD369" s="81"/>
      <c r="AE369" s="81"/>
    </row>
    <row r="370" spans="1:31" s="1" customFormat="1" ht="40.5">
      <c r="A370" s="147">
        <v>369</v>
      </c>
      <c r="B370" s="148">
        <v>108</v>
      </c>
      <c r="C370" s="149" t="s">
        <v>39</v>
      </c>
      <c r="D370" s="149" t="s">
        <v>160</v>
      </c>
      <c r="E370" s="157" t="s">
        <v>1325</v>
      </c>
      <c r="F370" s="157" t="s">
        <v>907</v>
      </c>
      <c r="G370" s="157" t="s">
        <v>1326</v>
      </c>
      <c r="H370" s="158">
        <v>21</v>
      </c>
      <c r="I370" s="149">
        <v>8.3000000000000007</v>
      </c>
      <c r="J370" s="152">
        <v>10.5</v>
      </c>
      <c r="K370" s="149">
        <v>0</v>
      </c>
      <c r="L370" s="149">
        <v>1</v>
      </c>
      <c r="M370" s="149">
        <v>1</v>
      </c>
      <c r="N370" s="149">
        <v>0</v>
      </c>
      <c r="O370" s="153">
        <v>1760000</v>
      </c>
      <c r="P370" s="153">
        <v>1513920</v>
      </c>
      <c r="Q370" s="153">
        <v>2581770</v>
      </c>
      <c r="R370" s="153">
        <f t="shared" si="5"/>
        <v>5855690</v>
      </c>
      <c r="S370" s="154" t="s">
        <v>1291</v>
      </c>
      <c r="T370" s="155" t="s">
        <v>1327</v>
      </c>
      <c r="U370" s="156" t="s">
        <v>1328</v>
      </c>
      <c r="V370" s="89"/>
      <c r="W370" s="90" t="s">
        <v>900</v>
      </c>
      <c r="X370" s="81"/>
      <c r="Y370" s="81"/>
      <c r="Z370" s="81"/>
      <c r="AA370" s="81"/>
      <c r="AB370" s="81"/>
      <c r="AC370" s="81"/>
      <c r="AD370" s="81"/>
      <c r="AE370" s="81"/>
    </row>
    <row r="371" spans="1:31" s="1" customFormat="1" ht="27">
      <c r="A371" s="147">
        <v>370</v>
      </c>
      <c r="B371" s="148">
        <v>109</v>
      </c>
      <c r="C371" s="149" t="s">
        <v>178</v>
      </c>
      <c r="D371" s="149" t="s">
        <v>108</v>
      </c>
      <c r="E371" s="157" t="s">
        <v>1329</v>
      </c>
      <c r="F371" s="157" t="s">
        <v>1330</v>
      </c>
      <c r="G371" s="157" t="s">
        <v>276</v>
      </c>
      <c r="H371" s="158">
        <v>600</v>
      </c>
      <c r="I371" s="149">
        <v>8</v>
      </c>
      <c r="J371" s="152">
        <v>8</v>
      </c>
      <c r="K371" s="149">
        <v>1</v>
      </c>
      <c r="L371" s="149">
        <v>23</v>
      </c>
      <c r="M371" s="149">
        <v>0</v>
      </c>
      <c r="N371" s="149">
        <v>0</v>
      </c>
      <c r="O371" s="153">
        <v>40677966</v>
      </c>
      <c r="P371" s="153">
        <v>66000000</v>
      </c>
      <c r="Q371" s="153">
        <v>0</v>
      </c>
      <c r="R371" s="153">
        <f t="shared" si="5"/>
        <v>106677966</v>
      </c>
      <c r="S371" s="154" t="s">
        <v>1291</v>
      </c>
      <c r="T371" s="155" t="s">
        <v>1331</v>
      </c>
      <c r="U371" s="156"/>
      <c r="V371" s="89"/>
      <c r="W371" s="90"/>
      <c r="X371" s="81"/>
      <c r="Y371" s="81"/>
      <c r="Z371" s="81"/>
      <c r="AA371" s="81"/>
      <c r="AB371" s="81"/>
      <c r="AC371" s="81"/>
      <c r="AD371" s="81"/>
      <c r="AE371" s="81"/>
    </row>
    <row r="372" spans="1:31" s="1" customFormat="1" ht="27">
      <c r="A372" s="147">
        <v>371</v>
      </c>
      <c r="B372" s="148">
        <v>109</v>
      </c>
      <c r="C372" s="149" t="s">
        <v>178</v>
      </c>
      <c r="D372" s="149" t="s">
        <v>108</v>
      </c>
      <c r="E372" s="157" t="s">
        <v>1332</v>
      </c>
      <c r="F372" s="157"/>
      <c r="G372" s="157"/>
      <c r="H372" s="158">
        <v>580</v>
      </c>
      <c r="I372" s="149">
        <v>8</v>
      </c>
      <c r="J372" s="152">
        <v>8</v>
      </c>
      <c r="K372" s="149">
        <v>1</v>
      </c>
      <c r="L372" s="149">
        <v>11</v>
      </c>
      <c r="M372" s="149">
        <v>0</v>
      </c>
      <c r="N372" s="149">
        <v>0</v>
      </c>
      <c r="O372" s="153">
        <v>39322034</v>
      </c>
      <c r="P372" s="153">
        <v>40000000</v>
      </c>
      <c r="Q372" s="153">
        <v>0</v>
      </c>
      <c r="R372" s="153">
        <f t="shared" si="5"/>
        <v>79322034</v>
      </c>
      <c r="S372" s="154" t="s">
        <v>1291</v>
      </c>
      <c r="T372" s="155" t="s">
        <v>1331</v>
      </c>
      <c r="U372" s="156"/>
      <c r="V372" s="89"/>
      <c r="W372" s="90"/>
      <c r="X372" s="81"/>
      <c r="Y372" s="81"/>
      <c r="Z372" s="81"/>
      <c r="AA372" s="81"/>
      <c r="AB372" s="81"/>
      <c r="AC372" s="81"/>
      <c r="AD372" s="81"/>
      <c r="AE372" s="81"/>
    </row>
    <row r="373" spans="1:31" s="1" customFormat="1" ht="27">
      <c r="A373" s="147">
        <v>372</v>
      </c>
      <c r="B373" s="148">
        <v>109</v>
      </c>
      <c r="C373" s="149" t="s">
        <v>178</v>
      </c>
      <c r="D373" s="149" t="s">
        <v>108</v>
      </c>
      <c r="E373" s="166" t="s">
        <v>1333</v>
      </c>
      <c r="F373" s="166" t="s">
        <v>1334</v>
      </c>
      <c r="G373" s="166" t="s">
        <v>580</v>
      </c>
      <c r="H373" s="149">
        <v>115</v>
      </c>
      <c r="I373" s="149" t="s">
        <v>728</v>
      </c>
      <c r="J373" s="152">
        <v>8</v>
      </c>
      <c r="K373" s="149">
        <v>2</v>
      </c>
      <c r="L373" s="149">
        <v>4</v>
      </c>
      <c r="M373" s="149">
        <v>0</v>
      </c>
      <c r="N373" s="149">
        <v>2</v>
      </c>
      <c r="O373" s="153">
        <v>3680000</v>
      </c>
      <c r="P373" s="153">
        <v>13924430</v>
      </c>
      <c r="Q373" s="153">
        <v>2787600</v>
      </c>
      <c r="R373" s="153">
        <f t="shared" si="5"/>
        <v>20392030</v>
      </c>
      <c r="S373" s="154" t="s">
        <v>1335</v>
      </c>
      <c r="T373" s="167" t="s">
        <v>1268</v>
      </c>
      <c r="U373" s="168" t="s">
        <v>596</v>
      </c>
      <c r="V373" s="89"/>
      <c r="W373" s="90"/>
      <c r="X373" s="81"/>
      <c r="Y373" s="81"/>
      <c r="Z373" s="81"/>
      <c r="AA373" s="81"/>
      <c r="AB373" s="81"/>
      <c r="AC373" s="81"/>
      <c r="AD373" s="81"/>
      <c r="AE373" s="81"/>
    </row>
    <row r="374" spans="1:31" s="1" customFormat="1" ht="27">
      <c r="A374" s="147">
        <v>373</v>
      </c>
      <c r="B374" s="148">
        <v>109</v>
      </c>
      <c r="C374" s="149" t="s">
        <v>1336</v>
      </c>
      <c r="D374" s="149" t="s">
        <v>108</v>
      </c>
      <c r="E374" s="166" t="s">
        <v>1337</v>
      </c>
      <c r="F374" s="166" t="s">
        <v>1338</v>
      </c>
      <c r="G374" s="166"/>
      <c r="H374" s="149">
        <v>200</v>
      </c>
      <c r="I374" s="149">
        <v>1</v>
      </c>
      <c r="J374" s="152">
        <v>4</v>
      </c>
      <c r="K374" s="149">
        <v>5</v>
      </c>
      <c r="L374" s="149">
        <v>1</v>
      </c>
      <c r="M374" s="149">
        <v>0</v>
      </c>
      <c r="N374" s="149">
        <v>0</v>
      </c>
      <c r="O374" s="153">
        <v>8000000</v>
      </c>
      <c r="P374" s="153">
        <v>500000</v>
      </c>
      <c r="Q374" s="153">
        <v>0</v>
      </c>
      <c r="R374" s="153">
        <f t="shared" si="5"/>
        <v>8500000</v>
      </c>
      <c r="S374" s="154" t="s">
        <v>1335</v>
      </c>
      <c r="T374" s="167" t="s">
        <v>1268</v>
      </c>
      <c r="U374" s="168" t="s">
        <v>1339</v>
      </c>
      <c r="V374" s="89"/>
      <c r="W374" s="90"/>
      <c r="X374" s="81"/>
      <c r="Y374" s="81"/>
      <c r="Z374" s="81"/>
      <c r="AA374" s="81"/>
      <c r="AB374" s="81"/>
      <c r="AC374" s="81"/>
      <c r="AD374" s="81"/>
      <c r="AE374" s="81"/>
    </row>
    <row r="375" spans="1:31" s="1" customFormat="1" ht="67.5">
      <c r="A375" s="147">
        <v>374</v>
      </c>
      <c r="B375" s="148">
        <v>109</v>
      </c>
      <c r="C375" s="149" t="s">
        <v>178</v>
      </c>
      <c r="D375" s="149" t="s">
        <v>83</v>
      </c>
      <c r="E375" s="166" t="s">
        <v>1340</v>
      </c>
      <c r="F375" s="166" t="s">
        <v>1341</v>
      </c>
      <c r="G375" s="166" t="s">
        <v>1342</v>
      </c>
      <c r="H375" s="149">
        <v>860</v>
      </c>
      <c r="I375" s="149" t="s">
        <v>42</v>
      </c>
      <c r="J375" s="152">
        <v>15</v>
      </c>
      <c r="K375" s="149">
        <v>16</v>
      </c>
      <c r="L375" s="149">
        <v>32</v>
      </c>
      <c r="M375" s="149">
        <v>0</v>
      </c>
      <c r="N375" s="149">
        <v>0</v>
      </c>
      <c r="O375" s="153">
        <v>145000000</v>
      </c>
      <c r="P375" s="153">
        <v>158699775</v>
      </c>
      <c r="Q375" s="153">
        <v>3203935</v>
      </c>
      <c r="R375" s="153">
        <f t="shared" si="5"/>
        <v>306903710</v>
      </c>
      <c r="S375" s="154" t="s">
        <v>1343</v>
      </c>
      <c r="T375" s="155" t="s">
        <v>1344</v>
      </c>
      <c r="U375" s="156"/>
      <c r="V375" s="89"/>
      <c r="W375" s="90"/>
      <c r="X375" s="81"/>
      <c r="Y375" s="81"/>
      <c r="Z375" s="81"/>
      <c r="AA375" s="81"/>
      <c r="AB375" s="81"/>
      <c r="AC375" s="81"/>
      <c r="AD375" s="81"/>
      <c r="AE375" s="81"/>
    </row>
    <row r="376" spans="1:31" s="1" customFormat="1" ht="108">
      <c r="A376" s="147">
        <v>375</v>
      </c>
      <c r="B376" s="148">
        <v>109</v>
      </c>
      <c r="C376" s="149" t="s">
        <v>178</v>
      </c>
      <c r="D376" s="149" t="s">
        <v>56</v>
      </c>
      <c r="E376" s="166" t="s">
        <v>1345</v>
      </c>
      <c r="F376" s="166" t="s">
        <v>646</v>
      </c>
      <c r="G376" s="166" t="s">
        <v>491</v>
      </c>
      <c r="H376" s="149">
        <v>1435</v>
      </c>
      <c r="I376" s="149" t="s">
        <v>42</v>
      </c>
      <c r="J376" s="152">
        <v>30</v>
      </c>
      <c r="K376" s="149">
        <v>11</v>
      </c>
      <c r="L376" s="149">
        <v>41</v>
      </c>
      <c r="M376" s="149">
        <v>0</v>
      </c>
      <c r="N376" s="149">
        <v>0</v>
      </c>
      <c r="O376" s="153">
        <v>310950000</v>
      </c>
      <c r="P376" s="153">
        <v>555670000</v>
      </c>
      <c r="Q376" s="153" t="s">
        <v>1346</v>
      </c>
      <c r="R376" s="153">
        <v>866620000</v>
      </c>
      <c r="S376" s="154" t="s">
        <v>1343</v>
      </c>
      <c r="T376" s="155" t="s">
        <v>1347</v>
      </c>
      <c r="U376" s="156"/>
      <c r="V376" s="89"/>
      <c r="W376" s="90"/>
      <c r="X376" s="81"/>
      <c r="Y376" s="81"/>
      <c r="Z376" s="81"/>
      <c r="AA376" s="81"/>
      <c r="AB376" s="81"/>
      <c r="AC376" s="81"/>
      <c r="AD376" s="81"/>
      <c r="AE376" s="81"/>
    </row>
    <row r="377" spans="1:31" s="1" customFormat="1" ht="81">
      <c r="A377" s="147">
        <v>376</v>
      </c>
      <c r="B377" s="148">
        <v>109</v>
      </c>
      <c r="C377" s="149" t="s">
        <v>39</v>
      </c>
      <c r="D377" s="149" t="s">
        <v>160</v>
      </c>
      <c r="E377" s="166" t="s">
        <v>1348</v>
      </c>
      <c r="F377" s="166" t="s">
        <v>1309</v>
      </c>
      <c r="G377" s="166"/>
      <c r="H377" s="149">
        <v>30</v>
      </c>
      <c r="I377" s="149">
        <v>9</v>
      </c>
      <c r="J377" s="152">
        <v>9</v>
      </c>
      <c r="K377" s="149">
        <v>2</v>
      </c>
      <c r="L377" s="149">
        <v>3</v>
      </c>
      <c r="M377" s="149">
        <v>0</v>
      </c>
      <c r="N377" s="149">
        <v>0</v>
      </c>
      <c r="O377" s="153">
        <v>27000000</v>
      </c>
      <c r="P377" s="153">
        <v>6340000</v>
      </c>
      <c r="Q377" s="153">
        <v>0</v>
      </c>
      <c r="R377" s="153">
        <f>O377+P377+Q377</f>
        <v>33340000</v>
      </c>
      <c r="S377" s="154" t="s">
        <v>1343</v>
      </c>
      <c r="T377" s="155" t="s">
        <v>1349</v>
      </c>
      <c r="U377" s="156"/>
      <c r="V377" s="89"/>
      <c r="W377" s="90"/>
      <c r="X377" s="81"/>
      <c r="Y377" s="81"/>
      <c r="Z377" s="81"/>
      <c r="AA377" s="81"/>
      <c r="AB377" s="81"/>
      <c r="AC377" s="81"/>
      <c r="AD377" s="81"/>
      <c r="AE377" s="81"/>
    </row>
    <row r="378" spans="1:31" s="1" customFormat="1" ht="27">
      <c r="A378" s="147">
        <v>377</v>
      </c>
      <c r="B378" s="148">
        <v>109</v>
      </c>
      <c r="C378" s="149" t="s">
        <v>39</v>
      </c>
      <c r="D378" s="149" t="s">
        <v>160</v>
      </c>
      <c r="E378" s="166" t="s">
        <v>1350</v>
      </c>
      <c r="F378" s="166" t="s">
        <v>1185</v>
      </c>
      <c r="G378" s="166" t="s">
        <v>1313</v>
      </c>
      <c r="H378" s="149">
        <v>115</v>
      </c>
      <c r="I378" s="149">
        <v>8</v>
      </c>
      <c r="J378" s="152">
        <v>12</v>
      </c>
      <c r="K378" s="149">
        <v>3</v>
      </c>
      <c r="L378" s="149">
        <v>6</v>
      </c>
      <c r="M378" s="149">
        <v>0</v>
      </c>
      <c r="N378" s="149">
        <v>0</v>
      </c>
      <c r="O378" s="153">
        <v>8167642</v>
      </c>
      <c r="P378" s="153">
        <v>7286400</v>
      </c>
      <c r="Q378" s="153">
        <v>0</v>
      </c>
      <c r="R378" s="153">
        <f>O378+P378+Q378</f>
        <v>15454042</v>
      </c>
      <c r="S378" s="154" t="s">
        <v>1343</v>
      </c>
      <c r="T378" s="155" t="s">
        <v>1351</v>
      </c>
      <c r="U378" s="156"/>
      <c r="V378" s="89"/>
      <c r="W378" s="90"/>
      <c r="X378" s="81"/>
      <c r="Y378" s="81"/>
      <c r="Z378" s="81"/>
      <c r="AA378" s="81"/>
      <c r="AB378" s="81"/>
      <c r="AC378" s="81"/>
      <c r="AD378" s="81"/>
      <c r="AE378" s="81"/>
    </row>
    <row r="379" spans="1:31" s="1" customFormat="1" ht="40.5">
      <c r="A379" s="147">
        <v>378</v>
      </c>
      <c r="B379" s="148">
        <v>109</v>
      </c>
      <c r="C379" s="149" t="s">
        <v>39</v>
      </c>
      <c r="D379" s="149" t="s">
        <v>160</v>
      </c>
      <c r="E379" s="166" t="s">
        <v>1352</v>
      </c>
      <c r="F379" s="166" t="s">
        <v>1315</v>
      </c>
      <c r="G379" s="166" t="s">
        <v>1316</v>
      </c>
      <c r="H379" s="149">
        <v>105</v>
      </c>
      <c r="I379" s="149">
        <v>8</v>
      </c>
      <c r="J379" s="152">
        <v>10</v>
      </c>
      <c r="K379" s="149">
        <v>2</v>
      </c>
      <c r="L379" s="149">
        <v>4</v>
      </c>
      <c r="M379" s="149">
        <v>0</v>
      </c>
      <c r="N379" s="149">
        <v>1</v>
      </c>
      <c r="O379" s="153">
        <v>9167373</v>
      </c>
      <c r="P379" s="153">
        <v>5544000</v>
      </c>
      <c r="Q379" s="153">
        <v>5575564</v>
      </c>
      <c r="R379" s="153">
        <f>O379+P379+Q379</f>
        <v>20286937</v>
      </c>
      <c r="S379" s="154" t="s">
        <v>1343</v>
      </c>
      <c r="T379" s="155" t="s">
        <v>1353</v>
      </c>
      <c r="U379" s="156"/>
      <c r="V379" s="89"/>
      <c r="W379" s="90"/>
      <c r="X379" s="81"/>
      <c r="Y379" s="81"/>
      <c r="Z379" s="81"/>
      <c r="AA379" s="81"/>
      <c r="AB379" s="81"/>
      <c r="AC379" s="81"/>
      <c r="AD379" s="81"/>
      <c r="AE379" s="81"/>
    </row>
    <row r="380" spans="1:31" s="1" customFormat="1" ht="27">
      <c r="A380" s="147">
        <v>379</v>
      </c>
      <c r="B380" s="148">
        <v>109</v>
      </c>
      <c r="C380" s="149" t="s">
        <v>178</v>
      </c>
      <c r="D380" s="149" t="s">
        <v>108</v>
      </c>
      <c r="E380" s="166" t="s">
        <v>1354</v>
      </c>
      <c r="F380" s="166" t="s">
        <v>1330</v>
      </c>
      <c r="G380" s="166" t="s">
        <v>276</v>
      </c>
      <c r="H380" s="149">
        <v>600</v>
      </c>
      <c r="I380" s="149">
        <v>6</v>
      </c>
      <c r="J380" s="152">
        <v>8</v>
      </c>
      <c r="K380" s="149">
        <v>1</v>
      </c>
      <c r="L380" s="149">
        <v>23</v>
      </c>
      <c r="M380" s="149" t="s">
        <v>1355</v>
      </c>
      <c r="N380" s="149" t="s">
        <v>1355</v>
      </c>
      <c r="O380" s="153">
        <v>40677966</v>
      </c>
      <c r="P380" s="153">
        <v>66000000</v>
      </c>
      <c r="Q380" s="153" t="s">
        <v>1355</v>
      </c>
      <c r="R380" s="153">
        <f>O380+P380</f>
        <v>106677966</v>
      </c>
      <c r="S380" s="154" t="s">
        <v>1343</v>
      </c>
      <c r="T380" s="376" t="s">
        <v>1356</v>
      </c>
      <c r="U380" s="156"/>
      <c r="V380" s="89"/>
      <c r="W380" s="90" t="s">
        <v>1357</v>
      </c>
      <c r="X380" s="81"/>
      <c r="Y380" s="81"/>
      <c r="Z380" s="81"/>
      <c r="AA380" s="81"/>
      <c r="AB380" s="81"/>
      <c r="AC380" s="81"/>
      <c r="AD380" s="81"/>
      <c r="AE380" s="81"/>
    </row>
    <row r="381" spans="1:31" s="1" customFormat="1" ht="27">
      <c r="A381" s="147">
        <v>380</v>
      </c>
      <c r="B381" s="148">
        <v>109</v>
      </c>
      <c r="C381" s="149" t="s">
        <v>178</v>
      </c>
      <c r="D381" s="149" t="s">
        <v>108</v>
      </c>
      <c r="E381" s="166" t="s">
        <v>1358</v>
      </c>
      <c r="F381" s="166" t="s">
        <v>276</v>
      </c>
      <c r="G381" s="166" t="s">
        <v>1359</v>
      </c>
      <c r="H381" s="149">
        <v>580</v>
      </c>
      <c r="I381" s="149">
        <v>8</v>
      </c>
      <c r="J381" s="152">
        <v>8</v>
      </c>
      <c r="K381" s="149">
        <v>1</v>
      </c>
      <c r="L381" s="149">
        <v>11</v>
      </c>
      <c r="M381" s="149" t="s">
        <v>1355</v>
      </c>
      <c r="N381" s="149" t="s">
        <v>1355</v>
      </c>
      <c r="O381" s="153">
        <v>39322034</v>
      </c>
      <c r="P381" s="153">
        <v>40000000</v>
      </c>
      <c r="Q381" s="153" t="s">
        <v>1355</v>
      </c>
      <c r="R381" s="153">
        <v>79322034</v>
      </c>
      <c r="S381" s="154" t="s">
        <v>1343</v>
      </c>
      <c r="T381" s="377"/>
      <c r="U381" s="156"/>
      <c r="V381" s="89"/>
      <c r="W381" s="90" t="s">
        <v>1357</v>
      </c>
      <c r="X381" s="81"/>
      <c r="Y381" s="81"/>
      <c r="Z381" s="81"/>
      <c r="AA381" s="81"/>
      <c r="AB381" s="81"/>
      <c r="AC381" s="81"/>
      <c r="AD381" s="81"/>
      <c r="AE381" s="81"/>
    </row>
    <row r="382" spans="1:31" s="1" customFormat="1" ht="67.5">
      <c r="A382" s="147">
        <v>381</v>
      </c>
      <c r="B382" s="148">
        <v>109</v>
      </c>
      <c r="C382" s="149" t="s">
        <v>178</v>
      </c>
      <c r="D382" s="149" t="s">
        <v>173</v>
      </c>
      <c r="E382" s="166" t="s">
        <v>1360</v>
      </c>
      <c r="F382" s="166" t="s">
        <v>1361</v>
      </c>
      <c r="G382" s="166"/>
      <c r="H382" s="149">
        <v>185</v>
      </c>
      <c r="I382" s="149">
        <v>4</v>
      </c>
      <c r="J382" s="152">
        <v>8</v>
      </c>
      <c r="K382" s="149">
        <v>4</v>
      </c>
      <c r="L382" s="149">
        <v>6</v>
      </c>
      <c r="M382" s="149" t="s">
        <v>1355</v>
      </c>
      <c r="N382" s="149" t="s">
        <v>1355</v>
      </c>
      <c r="O382" s="153">
        <v>11840000</v>
      </c>
      <c r="P382" s="153">
        <v>17464000</v>
      </c>
      <c r="Q382" s="153">
        <v>0</v>
      </c>
      <c r="R382" s="153">
        <f>P382+O382</f>
        <v>29304000</v>
      </c>
      <c r="S382" s="154" t="s">
        <v>1343</v>
      </c>
      <c r="T382" s="155" t="s">
        <v>1362</v>
      </c>
      <c r="U382" s="156"/>
      <c r="V382" s="89"/>
      <c r="W382" s="90"/>
      <c r="X382" s="81"/>
      <c r="Y382" s="81"/>
      <c r="Z382" s="81"/>
      <c r="AA382" s="81"/>
      <c r="AB382" s="81"/>
      <c r="AC382" s="81"/>
      <c r="AD382" s="81"/>
      <c r="AE382" s="81"/>
    </row>
    <row r="383" spans="1:31" s="1" customFormat="1" ht="27">
      <c r="A383" s="147">
        <v>382</v>
      </c>
      <c r="B383" s="148">
        <v>109</v>
      </c>
      <c r="C383" s="149" t="s">
        <v>178</v>
      </c>
      <c r="D383" s="149" t="s">
        <v>160</v>
      </c>
      <c r="E383" s="166" t="s">
        <v>1363</v>
      </c>
      <c r="F383" s="166" t="s">
        <v>1364</v>
      </c>
      <c r="G383" s="166" t="s">
        <v>1365</v>
      </c>
      <c r="H383" s="149">
        <v>928</v>
      </c>
      <c r="I383" s="149" t="s">
        <v>140</v>
      </c>
      <c r="J383" s="152">
        <v>8</v>
      </c>
      <c r="K383" s="149">
        <v>9</v>
      </c>
      <c r="L383" s="149">
        <v>0</v>
      </c>
      <c r="M383" s="149">
        <v>0</v>
      </c>
      <c r="N383" s="149">
        <v>1</v>
      </c>
      <c r="O383" s="153">
        <v>59392000</v>
      </c>
      <c r="P383" s="153">
        <v>0</v>
      </c>
      <c r="Q383" s="153">
        <v>0</v>
      </c>
      <c r="R383" s="153">
        <f>O383+P383</f>
        <v>59392000</v>
      </c>
      <c r="S383" s="154" t="s">
        <v>1366</v>
      </c>
      <c r="T383" s="155" t="s">
        <v>1367</v>
      </c>
      <c r="U383" s="156"/>
      <c r="V383" s="89"/>
      <c r="W383" s="90"/>
      <c r="X383" s="81"/>
      <c r="Y383" s="81"/>
      <c r="Z383" s="81"/>
      <c r="AA383" s="81"/>
      <c r="AB383" s="81"/>
      <c r="AC383" s="81"/>
      <c r="AD383" s="81"/>
      <c r="AE383" s="81"/>
    </row>
    <row r="384" spans="1:31" s="1" customFormat="1" ht="27">
      <c r="A384" s="147">
        <v>383</v>
      </c>
      <c r="B384" s="148">
        <v>109</v>
      </c>
      <c r="C384" s="149" t="s">
        <v>178</v>
      </c>
      <c r="D384" s="149" t="s">
        <v>56</v>
      </c>
      <c r="E384" s="166" t="s">
        <v>1368</v>
      </c>
      <c r="F384" s="166" t="s">
        <v>1369</v>
      </c>
      <c r="G384" s="166" t="s">
        <v>1370</v>
      </c>
      <c r="H384" s="149">
        <v>650</v>
      </c>
      <c r="I384" s="149" t="s">
        <v>427</v>
      </c>
      <c r="J384" s="152">
        <v>10</v>
      </c>
      <c r="K384" s="149">
        <v>6</v>
      </c>
      <c r="L384" s="149">
        <v>33</v>
      </c>
      <c r="M384" s="149">
        <v>0</v>
      </c>
      <c r="N384" s="149">
        <v>0</v>
      </c>
      <c r="O384" s="153">
        <v>49600000</v>
      </c>
      <c r="P384" s="153">
        <v>12660804</v>
      </c>
      <c r="Q384" s="153">
        <v>0</v>
      </c>
      <c r="R384" s="153">
        <f t="shared" ref="R384:R392" si="6">SUM(O384:Q384)</f>
        <v>62260804</v>
      </c>
      <c r="S384" s="154" t="s">
        <v>1366</v>
      </c>
      <c r="T384" s="169" t="s">
        <v>1371</v>
      </c>
      <c r="U384" s="170"/>
      <c r="V384" s="89"/>
      <c r="W384" s="90"/>
      <c r="X384" s="81"/>
      <c r="Y384" s="81"/>
      <c r="Z384" s="81"/>
      <c r="AA384" s="81"/>
      <c r="AB384" s="81"/>
      <c r="AC384" s="81"/>
      <c r="AD384" s="81"/>
      <c r="AE384" s="81"/>
    </row>
    <row r="385" spans="1:31" s="1" customFormat="1" ht="40.5">
      <c r="A385" s="147">
        <v>384</v>
      </c>
      <c r="B385" s="148">
        <v>109</v>
      </c>
      <c r="C385" s="149" t="s">
        <v>178</v>
      </c>
      <c r="D385" s="149" t="s">
        <v>108</v>
      </c>
      <c r="E385" s="166" t="s">
        <v>1372</v>
      </c>
      <c r="F385" s="166" t="s">
        <v>1373</v>
      </c>
      <c r="G385" s="166" t="s">
        <v>514</v>
      </c>
      <c r="H385" s="149">
        <v>650</v>
      </c>
      <c r="I385" s="149">
        <v>3</v>
      </c>
      <c r="J385" s="152">
        <v>8</v>
      </c>
      <c r="K385" s="149">
        <v>21</v>
      </c>
      <c r="L385" s="149">
        <v>55</v>
      </c>
      <c r="M385" s="149">
        <v>0</v>
      </c>
      <c r="N385" s="149">
        <v>0</v>
      </c>
      <c r="O385" s="153">
        <v>33029808</v>
      </c>
      <c r="P385" s="153">
        <v>79853085</v>
      </c>
      <c r="Q385" s="153">
        <v>1529026</v>
      </c>
      <c r="R385" s="153">
        <f t="shared" si="6"/>
        <v>114411919</v>
      </c>
      <c r="S385" s="154" t="s">
        <v>1343</v>
      </c>
      <c r="T385" s="155" t="s">
        <v>1374</v>
      </c>
      <c r="U385" s="156"/>
      <c r="V385" s="89"/>
      <c r="W385" s="90" t="s">
        <v>1375</v>
      </c>
      <c r="X385" s="81"/>
      <c r="Y385" s="81"/>
      <c r="Z385" s="81"/>
      <c r="AA385" s="81"/>
      <c r="AB385" s="81"/>
      <c r="AC385" s="81"/>
      <c r="AD385" s="81"/>
      <c r="AE385" s="81"/>
    </row>
    <row r="386" spans="1:31" s="1" customFormat="1" ht="27">
      <c r="A386" s="147">
        <v>385</v>
      </c>
      <c r="B386" s="148">
        <v>109</v>
      </c>
      <c r="C386" s="149" t="s">
        <v>178</v>
      </c>
      <c r="D386" s="149" t="s">
        <v>121</v>
      </c>
      <c r="E386" s="166" t="s">
        <v>1376</v>
      </c>
      <c r="F386" s="166" t="s">
        <v>1377</v>
      </c>
      <c r="G386" s="166" t="s">
        <v>1378</v>
      </c>
      <c r="H386" s="149">
        <v>50</v>
      </c>
      <c r="I386" s="149">
        <v>8</v>
      </c>
      <c r="J386" s="152">
        <v>20</v>
      </c>
      <c r="K386" s="149">
        <v>4</v>
      </c>
      <c r="L386" s="149">
        <v>0</v>
      </c>
      <c r="M386" s="149">
        <v>2</v>
      </c>
      <c r="N386" s="149">
        <v>0</v>
      </c>
      <c r="O386" s="153">
        <v>8000000</v>
      </c>
      <c r="P386" s="153">
        <v>0</v>
      </c>
      <c r="Q386" s="153">
        <v>2000000</v>
      </c>
      <c r="R386" s="153">
        <f t="shared" si="6"/>
        <v>10000000</v>
      </c>
      <c r="S386" s="154" t="s">
        <v>1335</v>
      </c>
      <c r="T386" s="155" t="s">
        <v>1379</v>
      </c>
      <c r="U386" s="156" t="s">
        <v>1380</v>
      </c>
      <c r="V386" s="89"/>
      <c r="W386" s="90" t="s">
        <v>1381</v>
      </c>
      <c r="X386" s="81"/>
      <c r="Y386" s="81"/>
      <c r="Z386" s="81"/>
      <c r="AA386" s="81"/>
      <c r="AB386" s="81"/>
      <c r="AC386" s="81"/>
      <c r="AD386" s="81"/>
      <c r="AE386" s="81"/>
    </row>
    <row r="387" spans="1:31" s="1" customFormat="1" ht="54">
      <c r="A387" s="147">
        <v>386</v>
      </c>
      <c r="B387" s="148">
        <v>109</v>
      </c>
      <c r="C387" s="149" t="s">
        <v>178</v>
      </c>
      <c r="D387" s="149" t="s">
        <v>121</v>
      </c>
      <c r="E387" s="166" t="s">
        <v>1382</v>
      </c>
      <c r="F387" s="166" t="s">
        <v>1383</v>
      </c>
      <c r="G387" s="166" t="s">
        <v>1384</v>
      </c>
      <c r="H387" s="149">
        <v>250</v>
      </c>
      <c r="I387" s="149" t="s">
        <v>42</v>
      </c>
      <c r="J387" s="152">
        <v>8</v>
      </c>
      <c r="K387" s="149">
        <v>1</v>
      </c>
      <c r="L387" s="149">
        <v>3</v>
      </c>
      <c r="M387" s="149">
        <v>2</v>
      </c>
      <c r="N387" s="149">
        <v>2</v>
      </c>
      <c r="O387" s="153">
        <v>16000000</v>
      </c>
      <c r="P387" s="153">
        <v>0</v>
      </c>
      <c r="Q387" s="153">
        <v>25690360</v>
      </c>
      <c r="R387" s="153">
        <f t="shared" si="6"/>
        <v>41690360</v>
      </c>
      <c r="S387" s="154" t="s">
        <v>1343</v>
      </c>
      <c r="T387" s="155" t="s">
        <v>1385</v>
      </c>
      <c r="U387" s="156" t="s">
        <v>1386</v>
      </c>
      <c r="V387" s="89"/>
      <c r="W387" s="90" t="s">
        <v>1387</v>
      </c>
      <c r="X387" s="81"/>
      <c r="Y387" s="81"/>
      <c r="Z387" s="81"/>
      <c r="AA387" s="81"/>
      <c r="AB387" s="81"/>
      <c r="AC387" s="81"/>
      <c r="AD387" s="81"/>
      <c r="AE387" s="81"/>
    </row>
    <row r="388" spans="1:31" s="1" customFormat="1" ht="67.5">
      <c r="A388" s="147">
        <v>387</v>
      </c>
      <c r="B388" s="148">
        <v>109</v>
      </c>
      <c r="C388" s="149" t="s">
        <v>178</v>
      </c>
      <c r="D388" s="149" t="s">
        <v>137</v>
      </c>
      <c r="E388" s="166" t="s">
        <v>1388</v>
      </c>
      <c r="F388" s="166" t="s">
        <v>1389</v>
      </c>
      <c r="G388" s="166" t="s">
        <v>1390</v>
      </c>
      <c r="H388" s="149">
        <v>112</v>
      </c>
      <c r="I388" s="149">
        <v>0</v>
      </c>
      <c r="J388" s="152">
        <v>20</v>
      </c>
      <c r="K388" s="149">
        <v>0</v>
      </c>
      <c r="L388" s="149">
        <v>13</v>
      </c>
      <c r="M388" s="149">
        <v>0</v>
      </c>
      <c r="N388" s="149">
        <v>6</v>
      </c>
      <c r="O388" s="153">
        <v>12000000</v>
      </c>
      <c r="P388" s="153">
        <v>62000000</v>
      </c>
      <c r="Q388" s="153">
        <v>8000000</v>
      </c>
      <c r="R388" s="153">
        <f t="shared" si="6"/>
        <v>82000000</v>
      </c>
      <c r="S388" s="154" t="s">
        <v>1343</v>
      </c>
      <c r="T388" s="155" t="s">
        <v>1391</v>
      </c>
      <c r="U388" s="156"/>
      <c r="V388" s="89"/>
      <c r="W388" s="90" t="s">
        <v>1392</v>
      </c>
      <c r="X388" s="81"/>
      <c r="Y388" s="81"/>
      <c r="Z388" s="81"/>
      <c r="AA388" s="81"/>
      <c r="AB388" s="81"/>
      <c r="AC388" s="81"/>
      <c r="AD388" s="81"/>
      <c r="AE388" s="81"/>
    </row>
    <row r="389" spans="1:31" s="1" customFormat="1" ht="27">
      <c r="A389" s="147">
        <v>388</v>
      </c>
      <c r="B389" s="148">
        <v>109</v>
      </c>
      <c r="C389" s="149" t="s">
        <v>178</v>
      </c>
      <c r="D389" s="149" t="s">
        <v>133</v>
      </c>
      <c r="E389" s="166" t="s">
        <v>1393</v>
      </c>
      <c r="F389" s="166" t="s">
        <v>1394</v>
      </c>
      <c r="G389" s="166"/>
      <c r="H389" s="149">
        <v>80</v>
      </c>
      <c r="I389" s="149">
        <v>4.5</v>
      </c>
      <c r="J389" s="152">
        <v>8</v>
      </c>
      <c r="K389" s="149">
        <v>4</v>
      </c>
      <c r="L389" s="149">
        <v>8</v>
      </c>
      <c r="M389" s="149">
        <v>5</v>
      </c>
      <c r="N389" s="149">
        <v>1</v>
      </c>
      <c r="O389" s="153">
        <v>5120000</v>
      </c>
      <c r="P389" s="153">
        <v>1888000</v>
      </c>
      <c r="Q389" s="153">
        <v>5050000</v>
      </c>
      <c r="R389" s="153">
        <f t="shared" si="6"/>
        <v>12058000</v>
      </c>
      <c r="S389" s="154" t="s">
        <v>1335</v>
      </c>
      <c r="T389" s="155" t="s">
        <v>1395</v>
      </c>
      <c r="U389" s="156" t="s">
        <v>1396</v>
      </c>
      <c r="V389" s="89"/>
      <c r="W389" s="90" t="s">
        <v>1301</v>
      </c>
      <c r="X389" s="81"/>
      <c r="Y389" s="81"/>
      <c r="Z389" s="81"/>
      <c r="AA389" s="81"/>
      <c r="AB389" s="81"/>
      <c r="AC389" s="81"/>
      <c r="AD389" s="81"/>
      <c r="AE389" s="81"/>
    </row>
    <row r="390" spans="1:31" s="1" customFormat="1" ht="67.5">
      <c r="A390" s="147">
        <v>389</v>
      </c>
      <c r="B390" s="148">
        <v>109</v>
      </c>
      <c r="C390" s="149" t="s">
        <v>178</v>
      </c>
      <c r="D390" s="149" t="s">
        <v>56</v>
      </c>
      <c r="E390" s="166" t="s">
        <v>1397</v>
      </c>
      <c r="F390" s="166" t="s">
        <v>216</v>
      </c>
      <c r="G390" s="166" t="s">
        <v>217</v>
      </c>
      <c r="H390" s="149">
        <v>125</v>
      </c>
      <c r="I390" s="149">
        <v>0</v>
      </c>
      <c r="J390" s="152">
        <v>8</v>
      </c>
      <c r="K390" s="149">
        <v>1</v>
      </c>
      <c r="L390" s="149">
        <v>18</v>
      </c>
      <c r="M390" s="149">
        <v>4</v>
      </c>
      <c r="N390" s="149">
        <v>4</v>
      </c>
      <c r="O390" s="153">
        <v>7680000</v>
      </c>
      <c r="P390" s="153">
        <v>46764000</v>
      </c>
      <c r="Q390" s="153">
        <v>5892930</v>
      </c>
      <c r="R390" s="153">
        <f t="shared" si="6"/>
        <v>60336930</v>
      </c>
      <c r="S390" s="154" t="s">
        <v>1343</v>
      </c>
      <c r="T390" s="155" t="s">
        <v>1398</v>
      </c>
      <c r="U390" s="156"/>
      <c r="V390" s="89"/>
      <c r="W390" s="90" t="s">
        <v>1399</v>
      </c>
      <c r="X390" s="81"/>
      <c r="Y390" s="81"/>
      <c r="Z390" s="81"/>
      <c r="AA390" s="81"/>
      <c r="AB390" s="81"/>
      <c r="AC390" s="81"/>
      <c r="AD390" s="81"/>
      <c r="AE390" s="81"/>
    </row>
    <row r="391" spans="1:31" s="1" customFormat="1" ht="40.5">
      <c r="A391" s="147">
        <v>390</v>
      </c>
      <c r="B391" s="148">
        <v>109</v>
      </c>
      <c r="C391" s="149" t="s">
        <v>178</v>
      </c>
      <c r="D391" s="149" t="s">
        <v>56</v>
      </c>
      <c r="E391" s="166" t="s">
        <v>1400</v>
      </c>
      <c r="F391" s="166" t="s">
        <v>1401</v>
      </c>
      <c r="G391" s="166" t="s">
        <v>1402</v>
      </c>
      <c r="H391" s="149">
        <v>230</v>
      </c>
      <c r="I391" s="149" t="s">
        <v>1403</v>
      </c>
      <c r="J391" s="152">
        <v>6</v>
      </c>
      <c r="K391" s="149">
        <v>5</v>
      </c>
      <c r="L391" s="149">
        <v>21</v>
      </c>
      <c r="M391" s="149">
        <v>0</v>
      </c>
      <c r="N391" s="149">
        <v>0</v>
      </c>
      <c r="O391" s="153">
        <v>30000000</v>
      </c>
      <c r="P391" s="153">
        <v>27000000</v>
      </c>
      <c r="Q391" s="153">
        <v>0</v>
      </c>
      <c r="R391" s="153">
        <f t="shared" si="6"/>
        <v>57000000</v>
      </c>
      <c r="S391" s="154" t="s">
        <v>1343</v>
      </c>
      <c r="T391" s="155" t="s">
        <v>1404</v>
      </c>
      <c r="U391" s="156"/>
      <c r="V391" s="89"/>
      <c r="W391" s="90" t="s">
        <v>1028</v>
      </c>
      <c r="X391" s="81"/>
      <c r="Y391" s="81"/>
      <c r="Z391" s="81"/>
      <c r="AA391" s="81"/>
      <c r="AB391" s="81"/>
      <c r="AC391" s="81"/>
      <c r="AD391" s="81"/>
      <c r="AE391" s="81"/>
    </row>
    <row r="392" spans="1:31" s="1" customFormat="1" ht="40.5">
      <c r="A392" s="147">
        <v>391</v>
      </c>
      <c r="B392" s="148">
        <v>109</v>
      </c>
      <c r="C392" s="149" t="s">
        <v>178</v>
      </c>
      <c r="D392" s="149" t="s">
        <v>83</v>
      </c>
      <c r="E392" s="166" t="s">
        <v>1405</v>
      </c>
      <c r="F392" s="166" t="s">
        <v>1406</v>
      </c>
      <c r="G392" s="166" t="s">
        <v>245</v>
      </c>
      <c r="H392" s="149">
        <v>153</v>
      </c>
      <c r="I392" s="149" t="s">
        <v>206</v>
      </c>
      <c r="J392" s="152">
        <v>15</v>
      </c>
      <c r="K392" s="149">
        <v>5</v>
      </c>
      <c r="L392" s="149">
        <v>0</v>
      </c>
      <c r="M392" s="149">
        <v>0</v>
      </c>
      <c r="N392" s="149">
        <v>0</v>
      </c>
      <c r="O392" s="153">
        <v>9200000</v>
      </c>
      <c r="P392" s="153">
        <v>0</v>
      </c>
      <c r="Q392" s="153">
        <v>1300000</v>
      </c>
      <c r="R392" s="153">
        <f t="shared" si="6"/>
        <v>10500000</v>
      </c>
      <c r="S392" s="154" t="s">
        <v>1335</v>
      </c>
      <c r="T392" s="155" t="s">
        <v>1407</v>
      </c>
      <c r="U392" s="156"/>
      <c r="V392" s="89"/>
      <c r="W392" s="90" t="s">
        <v>1408</v>
      </c>
      <c r="X392" s="81"/>
      <c r="Y392" s="81"/>
      <c r="Z392" s="81"/>
      <c r="AA392" s="81"/>
      <c r="AB392" s="81"/>
      <c r="AC392" s="81"/>
      <c r="AD392" s="81"/>
      <c r="AE392" s="81"/>
    </row>
    <row r="393" spans="1:31" s="1" customFormat="1" ht="40.5">
      <c r="A393" s="147">
        <v>392</v>
      </c>
      <c r="B393" s="148">
        <v>109</v>
      </c>
      <c r="C393" s="149" t="s">
        <v>178</v>
      </c>
      <c r="D393" s="149" t="s">
        <v>83</v>
      </c>
      <c r="E393" s="166" t="s">
        <v>1409</v>
      </c>
      <c r="F393" s="150" t="s">
        <v>1410</v>
      </c>
      <c r="G393" s="150" t="s">
        <v>1411</v>
      </c>
      <c r="H393" s="149">
        <v>870</v>
      </c>
      <c r="I393" s="149" t="s">
        <v>1412</v>
      </c>
      <c r="J393" s="152">
        <v>4</v>
      </c>
      <c r="K393" s="149">
        <v>18</v>
      </c>
      <c r="L393" s="149">
        <v>23</v>
      </c>
      <c r="M393" s="149">
        <v>4</v>
      </c>
      <c r="N393" s="149">
        <v>0</v>
      </c>
      <c r="O393" s="153">
        <v>27840000</v>
      </c>
      <c r="P393" s="153">
        <v>42852720</v>
      </c>
      <c r="Q393" s="153">
        <v>638724</v>
      </c>
      <c r="R393" s="153">
        <f>O393+P393+Q393</f>
        <v>71331444</v>
      </c>
      <c r="S393" s="154" t="s">
        <v>1343</v>
      </c>
      <c r="T393" s="155" t="s">
        <v>1413</v>
      </c>
      <c r="U393" s="156"/>
      <c r="V393" s="89"/>
      <c r="W393" s="90" t="s">
        <v>1246</v>
      </c>
      <c r="X393" s="81"/>
      <c r="Y393" s="81"/>
      <c r="Z393" s="81"/>
      <c r="AA393" s="81"/>
      <c r="AB393" s="81"/>
      <c r="AC393" s="81"/>
      <c r="AD393" s="81"/>
      <c r="AE393" s="81"/>
    </row>
    <row r="394" spans="1:31" s="1" customFormat="1" ht="27">
      <c r="A394" s="147">
        <v>393</v>
      </c>
      <c r="B394" s="148">
        <v>109</v>
      </c>
      <c r="C394" s="149" t="s">
        <v>178</v>
      </c>
      <c r="D394" s="149" t="s">
        <v>117</v>
      </c>
      <c r="E394" s="166" t="s">
        <v>1414</v>
      </c>
      <c r="F394" s="166" t="s">
        <v>1415</v>
      </c>
      <c r="G394" s="166" t="s">
        <v>1416</v>
      </c>
      <c r="H394" s="149">
        <v>170</v>
      </c>
      <c r="I394" s="149" t="s">
        <v>254</v>
      </c>
      <c r="J394" s="152">
        <v>10</v>
      </c>
      <c r="K394" s="149">
        <v>1</v>
      </c>
      <c r="L394" s="149">
        <v>2</v>
      </c>
      <c r="M394" s="149">
        <v>0</v>
      </c>
      <c r="N394" s="149">
        <v>0</v>
      </c>
      <c r="O394" s="153">
        <v>6800000</v>
      </c>
      <c r="P394" s="153">
        <v>12580000</v>
      </c>
      <c r="Q394" s="153">
        <v>0</v>
      </c>
      <c r="R394" s="153">
        <f t="shared" ref="R394:R437" si="7">SUM(O394:Q394)</f>
        <v>19380000</v>
      </c>
      <c r="S394" s="154" t="s">
        <v>1343</v>
      </c>
      <c r="T394" s="155" t="s">
        <v>1417</v>
      </c>
      <c r="U394" s="156"/>
      <c r="V394" s="89"/>
      <c r="W394" s="90" t="s">
        <v>1293</v>
      </c>
      <c r="X394" s="81"/>
      <c r="Y394" s="81"/>
      <c r="Z394" s="81"/>
      <c r="AA394" s="81"/>
      <c r="AB394" s="81"/>
      <c r="AC394" s="81"/>
      <c r="AD394" s="81"/>
      <c r="AE394" s="81"/>
    </row>
    <row r="395" spans="1:31" s="1" customFormat="1" ht="27">
      <c r="A395" s="147">
        <v>394</v>
      </c>
      <c r="B395" s="148">
        <v>109</v>
      </c>
      <c r="C395" s="149" t="s">
        <v>178</v>
      </c>
      <c r="D395" s="149" t="s">
        <v>160</v>
      </c>
      <c r="E395" s="166" t="s">
        <v>1418</v>
      </c>
      <c r="F395" s="166" t="s">
        <v>798</v>
      </c>
      <c r="G395" s="166" t="s">
        <v>1419</v>
      </c>
      <c r="H395" s="149">
        <v>60</v>
      </c>
      <c r="I395" s="149" t="s">
        <v>254</v>
      </c>
      <c r="J395" s="152">
        <v>8</v>
      </c>
      <c r="K395" s="149">
        <v>1</v>
      </c>
      <c r="L395" s="149">
        <v>0</v>
      </c>
      <c r="M395" s="149">
        <v>0</v>
      </c>
      <c r="N395" s="149">
        <v>3</v>
      </c>
      <c r="O395" s="153">
        <v>1920000</v>
      </c>
      <c r="P395" s="153">
        <v>0</v>
      </c>
      <c r="Q395" s="153">
        <v>484800</v>
      </c>
      <c r="R395" s="153">
        <f t="shared" si="7"/>
        <v>2404800</v>
      </c>
      <c r="S395" s="154" t="s">
        <v>1335</v>
      </c>
      <c r="T395" s="155" t="s">
        <v>1420</v>
      </c>
      <c r="U395" s="156" t="s">
        <v>1421</v>
      </c>
      <c r="V395" s="89"/>
      <c r="W395" s="90" t="s">
        <v>918</v>
      </c>
      <c r="X395" s="81"/>
      <c r="Y395" s="81"/>
      <c r="Z395" s="81"/>
      <c r="AA395" s="81"/>
      <c r="AB395" s="81"/>
      <c r="AC395" s="81"/>
      <c r="AD395" s="81"/>
      <c r="AE395" s="81"/>
    </row>
    <row r="396" spans="1:31" s="1" customFormat="1" ht="40.5">
      <c r="A396" s="147">
        <v>395</v>
      </c>
      <c r="B396" s="148">
        <v>109</v>
      </c>
      <c r="C396" s="149" t="s">
        <v>178</v>
      </c>
      <c r="D396" s="149" t="s">
        <v>160</v>
      </c>
      <c r="E396" s="166" t="s">
        <v>1422</v>
      </c>
      <c r="F396" s="166" t="s">
        <v>1423</v>
      </c>
      <c r="G396" s="166" t="s">
        <v>1424</v>
      </c>
      <c r="H396" s="149">
        <v>221</v>
      </c>
      <c r="I396" s="149" t="s">
        <v>42</v>
      </c>
      <c r="J396" s="152">
        <v>8</v>
      </c>
      <c r="K396" s="149">
        <v>23</v>
      </c>
      <c r="L396" s="149">
        <v>8</v>
      </c>
      <c r="M396" s="149">
        <v>1</v>
      </c>
      <c r="N396" s="149">
        <v>0</v>
      </c>
      <c r="O396" s="153">
        <v>14144000</v>
      </c>
      <c r="P396" s="153">
        <v>7124692</v>
      </c>
      <c r="Q396" s="153">
        <v>242992</v>
      </c>
      <c r="R396" s="153">
        <f t="shared" si="7"/>
        <v>21511684</v>
      </c>
      <c r="S396" s="154" t="s">
        <v>1343</v>
      </c>
      <c r="T396" s="155" t="s">
        <v>1425</v>
      </c>
      <c r="U396" s="156"/>
      <c r="V396" s="89"/>
      <c r="W396" s="90" t="s">
        <v>1426</v>
      </c>
      <c r="X396" s="81"/>
      <c r="Y396" s="81"/>
      <c r="Z396" s="81"/>
      <c r="AA396" s="81"/>
      <c r="AB396" s="81"/>
      <c r="AC396" s="81"/>
      <c r="AD396" s="81"/>
      <c r="AE396" s="81"/>
    </row>
    <row r="397" spans="1:31" s="1" customFormat="1" ht="40.5">
      <c r="A397" s="147">
        <v>396</v>
      </c>
      <c r="B397" s="148">
        <v>109</v>
      </c>
      <c r="C397" s="149" t="s">
        <v>178</v>
      </c>
      <c r="D397" s="149" t="s">
        <v>1427</v>
      </c>
      <c r="E397" s="166" t="s">
        <v>1428</v>
      </c>
      <c r="F397" s="166" t="s">
        <v>1429</v>
      </c>
      <c r="G397" s="166"/>
      <c r="H397" s="149">
        <v>255</v>
      </c>
      <c r="I397" s="149">
        <v>8</v>
      </c>
      <c r="J397" s="152">
        <v>12</v>
      </c>
      <c r="K397" s="149" t="s">
        <v>1430</v>
      </c>
      <c r="L397" s="149">
        <v>27</v>
      </c>
      <c r="M397" s="149">
        <v>0</v>
      </c>
      <c r="N397" s="149">
        <v>0</v>
      </c>
      <c r="O397" s="153">
        <v>12240000</v>
      </c>
      <c r="P397" s="153">
        <v>7130000</v>
      </c>
      <c r="Q397" s="153">
        <v>2310000</v>
      </c>
      <c r="R397" s="153">
        <f t="shared" si="7"/>
        <v>21680000</v>
      </c>
      <c r="S397" s="154" t="s">
        <v>1343</v>
      </c>
      <c r="T397" s="169" t="s">
        <v>1431</v>
      </c>
      <c r="U397" s="170"/>
      <c r="V397" s="89"/>
      <c r="W397" s="90" t="s">
        <v>1432</v>
      </c>
      <c r="X397" s="81"/>
      <c r="Y397" s="81"/>
      <c r="Z397" s="81"/>
      <c r="AA397" s="81"/>
      <c r="AB397" s="81"/>
      <c r="AC397" s="81"/>
      <c r="AD397" s="81"/>
      <c r="AE397" s="81"/>
    </row>
    <row r="398" spans="1:31" s="1" customFormat="1" ht="40.5">
      <c r="A398" s="147">
        <v>397</v>
      </c>
      <c r="B398" s="148">
        <v>109</v>
      </c>
      <c r="C398" s="149" t="s">
        <v>39</v>
      </c>
      <c r="D398" s="149" t="s">
        <v>40</v>
      </c>
      <c r="E398" s="166" t="s">
        <v>1433</v>
      </c>
      <c r="F398" s="166" t="s">
        <v>727</v>
      </c>
      <c r="G398" s="166" t="s">
        <v>444</v>
      </c>
      <c r="H398" s="149">
        <v>115</v>
      </c>
      <c r="I398" s="149" t="s">
        <v>728</v>
      </c>
      <c r="J398" s="152">
        <v>7</v>
      </c>
      <c r="K398" s="149">
        <v>5</v>
      </c>
      <c r="L398" s="149">
        <v>2</v>
      </c>
      <c r="M398" s="149" t="s">
        <v>606</v>
      </c>
      <c r="N398" s="149">
        <v>0</v>
      </c>
      <c r="O398" s="153">
        <v>6440000</v>
      </c>
      <c r="P398" s="153">
        <v>9326304</v>
      </c>
      <c r="Q398" s="153">
        <v>0</v>
      </c>
      <c r="R398" s="153">
        <f t="shared" si="7"/>
        <v>15766304</v>
      </c>
      <c r="S398" s="154" t="s">
        <v>1335</v>
      </c>
      <c r="T398" s="155" t="s">
        <v>1434</v>
      </c>
      <c r="U398" s="156" t="s">
        <v>1435</v>
      </c>
      <c r="V398" s="89"/>
      <c r="W398" s="90" t="s">
        <v>1436</v>
      </c>
      <c r="X398" s="81"/>
      <c r="Y398" s="81"/>
      <c r="Z398" s="81"/>
      <c r="AA398" s="81"/>
      <c r="AB398" s="81"/>
      <c r="AC398" s="81"/>
      <c r="AD398" s="81"/>
      <c r="AE398" s="81"/>
    </row>
    <row r="399" spans="1:31" s="1" customFormat="1" ht="15.75">
      <c r="A399" s="147">
        <v>398</v>
      </c>
      <c r="B399" s="148">
        <v>109</v>
      </c>
      <c r="C399" s="149" t="s">
        <v>39</v>
      </c>
      <c r="D399" s="149" t="s">
        <v>56</v>
      </c>
      <c r="E399" s="166" t="s">
        <v>1218</v>
      </c>
      <c r="F399" s="166" t="s">
        <v>1219</v>
      </c>
      <c r="G399" s="166" t="s">
        <v>1220</v>
      </c>
      <c r="H399" s="149">
        <v>42</v>
      </c>
      <c r="I399" s="149" t="s">
        <v>42</v>
      </c>
      <c r="J399" s="152">
        <v>10</v>
      </c>
      <c r="K399" s="149">
        <v>0</v>
      </c>
      <c r="L399" s="149">
        <v>9</v>
      </c>
      <c r="M399" s="149">
        <v>0</v>
      </c>
      <c r="N399" s="149">
        <v>0</v>
      </c>
      <c r="O399" s="153">
        <v>2688000</v>
      </c>
      <c r="P399" s="153">
        <v>16701710</v>
      </c>
      <c r="Q399" s="153">
        <v>0</v>
      </c>
      <c r="R399" s="153">
        <f t="shared" si="7"/>
        <v>19389710</v>
      </c>
      <c r="S399" s="154"/>
      <c r="T399" s="155" t="s">
        <v>1437</v>
      </c>
      <c r="U399" s="156" t="s">
        <v>1222</v>
      </c>
      <c r="V399" s="89"/>
      <c r="W399" s="90" t="s">
        <v>1438</v>
      </c>
      <c r="X399" s="81"/>
      <c r="Y399" s="81"/>
      <c r="Z399" s="81"/>
      <c r="AA399" s="81"/>
      <c r="AB399" s="81"/>
      <c r="AC399" s="81"/>
      <c r="AD399" s="81"/>
      <c r="AE399" s="81"/>
    </row>
    <row r="400" spans="1:31" s="1" customFormat="1" ht="15.75">
      <c r="A400" s="147">
        <v>399</v>
      </c>
      <c r="B400" s="148">
        <v>109</v>
      </c>
      <c r="C400" s="149" t="s">
        <v>39</v>
      </c>
      <c r="D400" s="149" t="s">
        <v>83</v>
      </c>
      <c r="E400" s="166" t="s">
        <v>1251</v>
      </c>
      <c r="F400" s="166" t="s">
        <v>1252</v>
      </c>
      <c r="G400" s="166" t="s">
        <v>1253</v>
      </c>
      <c r="H400" s="149">
        <v>30</v>
      </c>
      <c r="I400" s="149" t="s">
        <v>42</v>
      </c>
      <c r="J400" s="152">
        <v>8</v>
      </c>
      <c r="K400" s="149">
        <v>4</v>
      </c>
      <c r="L400" s="149">
        <v>4</v>
      </c>
      <c r="M400" s="149">
        <v>0</v>
      </c>
      <c r="N400" s="149">
        <v>1</v>
      </c>
      <c r="O400" s="153">
        <v>1920000</v>
      </c>
      <c r="P400" s="153">
        <v>18171000</v>
      </c>
      <c r="Q400" s="153">
        <v>303000</v>
      </c>
      <c r="R400" s="153">
        <f t="shared" si="7"/>
        <v>20394000</v>
      </c>
      <c r="S400" s="154"/>
      <c r="T400" s="155" t="s">
        <v>1439</v>
      </c>
      <c r="U400" s="156"/>
      <c r="V400" s="89"/>
      <c r="W400" s="90" t="s">
        <v>1246</v>
      </c>
      <c r="X400" s="81"/>
      <c r="Y400" s="81"/>
      <c r="Z400" s="81"/>
      <c r="AA400" s="81"/>
      <c r="AB400" s="81"/>
      <c r="AC400" s="81"/>
      <c r="AD400" s="81"/>
      <c r="AE400" s="81"/>
    </row>
    <row r="401" spans="1:31" s="1" customFormat="1" ht="15.75">
      <c r="A401" s="147">
        <v>400</v>
      </c>
      <c r="B401" s="148">
        <v>109</v>
      </c>
      <c r="C401" s="149" t="s">
        <v>39</v>
      </c>
      <c r="D401" s="149" t="s">
        <v>83</v>
      </c>
      <c r="E401" s="166" t="s">
        <v>1440</v>
      </c>
      <c r="F401" s="166" t="s">
        <v>1256</v>
      </c>
      <c r="G401" s="166" t="s">
        <v>1257</v>
      </c>
      <c r="H401" s="149">
        <v>25</v>
      </c>
      <c r="I401" s="149" t="s">
        <v>42</v>
      </c>
      <c r="J401" s="152">
        <v>8</v>
      </c>
      <c r="K401" s="149">
        <v>5</v>
      </c>
      <c r="L401" s="149">
        <v>4</v>
      </c>
      <c r="M401" s="149">
        <v>4</v>
      </c>
      <c r="N401" s="149">
        <v>0</v>
      </c>
      <c r="O401" s="153">
        <v>3037713</v>
      </c>
      <c r="P401" s="153">
        <v>4166400</v>
      </c>
      <c r="Q401" s="153">
        <v>11918000</v>
      </c>
      <c r="R401" s="153">
        <f t="shared" si="7"/>
        <v>19122113</v>
      </c>
      <c r="S401" s="154"/>
      <c r="T401" s="155" t="s">
        <v>1441</v>
      </c>
      <c r="U401" s="156"/>
      <c r="V401" s="89"/>
      <c r="W401" s="90" t="s">
        <v>1259</v>
      </c>
      <c r="X401" s="81"/>
      <c r="Y401" s="81"/>
      <c r="Z401" s="81"/>
      <c r="AA401" s="81"/>
      <c r="AB401" s="81"/>
      <c r="AC401" s="81"/>
      <c r="AD401" s="81"/>
      <c r="AE401" s="81"/>
    </row>
    <row r="402" spans="1:31" s="1" customFormat="1" ht="15.75">
      <c r="A402" s="147">
        <v>401</v>
      </c>
      <c r="B402" s="148">
        <v>109</v>
      </c>
      <c r="C402" s="149" t="s">
        <v>39</v>
      </c>
      <c r="D402" s="149" t="s">
        <v>117</v>
      </c>
      <c r="E402" s="166" t="s">
        <v>1288</v>
      </c>
      <c r="F402" s="166" t="s">
        <v>1289</v>
      </c>
      <c r="G402" s="166" t="s">
        <v>1442</v>
      </c>
      <c r="H402" s="149">
        <v>34</v>
      </c>
      <c r="I402" s="149">
        <v>3.5</v>
      </c>
      <c r="J402" s="152">
        <v>8</v>
      </c>
      <c r="K402" s="149">
        <v>11</v>
      </c>
      <c r="L402" s="149">
        <v>6</v>
      </c>
      <c r="M402" s="149">
        <v>0</v>
      </c>
      <c r="N402" s="149">
        <v>0</v>
      </c>
      <c r="O402" s="153">
        <v>2176000</v>
      </c>
      <c r="P402" s="153">
        <v>4204800</v>
      </c>
      <c r="Q402" s="153">
        <v>400000</v>
      </c>
      <c r="R402" s="153">
        <f t="shared" si="7"/>
        <v>6780800</v>
      </c>
      <c r="S402" s="154"/>
      <c r="T402" s="155" t="s">
        <v>1443</v>
      </c>
      <c r="U402" s="156"/>
      <c r="V402" s="89"/>
      <c r="W402" s="90" t="s">
        <v>1444</v>
      </c>
      <c r="X402" s="81"/>
      <c r="Y402" s="81"/>
      <c r="Z402" s="81"/>
      <c r="AA402" s="81"/>
      <c r="AB402" s="81"/>
      <c r="AC402" s="81"/>
      <c r="AD402" s="81"/>
      <c r="AE402" s="81"/>
    </row>
    <row r="403" spans="1:31" s="1" customFormat="1" ht="15.75">
      <c r="A403" s="147">
        <v>402</v>
      </c>
      <c r="B403" s="148">
        <v>109</v>
      </c>
      <c r="C403" s="149" t="s">
        <v>39</v>
      </c>
      <c r="D403" s="149" t="s">
        <v>133</v>
      </c>
      <c r="E403" s="166" t="s">
        <v>1445</v>
      </c>
      <c r="F403" s="166" t="s">
        <v>1299</v>
      </c>
      <c r="G403" s="166"/>
      <c r="H403" s="149">
        <v>180</v>
      </c>
      <c r="I403" s="149">
        <v>6</v>
      </c>
      <c r="J403" s="152">
        <v>8</v>
      </c>
      <c r="K403" s="149">
        <v>16</v>
      </c>
      <c r="L403" s="149">
        <v>0</v>
      </c>
      <c r="M403" s="149">
        <v>0</v>
      </c>
      <c r="N403" s="149">
        <v>0</v>
      </c>
      <c r="O403" s="153">
        <v>23400000</v>
      </c>
      <c r="P403" s="153">
        <v>0</v>
      </c>
      <c r="Q403" s="153">
        <v>0</v>
      </c>
      <c r="R403" s="153">
        <f t="shared" si="7"/>
        <v>23400000</v>
      </c>
      <c r="S403" s="154"/>
      <c r="T403" s="155" t="s">
        <v>1446</v>
      </c>
      <c r="U403" s="156"/>
      <c r="V403" s="89"/>
      <c r="W403" s="90" t="s">
        <v>1301</v>
      </c>
      <c r="X403" s="81"/>
      <c r="Y403" s="81"/>
      <c r="Z403" s="81"/>
      <c r="AA403" s="81"/>
      <c r="AB403" s="81"/>
      <c r="AC403" s="81"/>
      <c r="AD403" s="81"/>
      <c r="AE403" s="81"/>
    </row>
    <row r="404" spans="1:31" s="1" customFormat="1" ht="15.75">
      <c r="A404" s="147">
        <v>403</v>
      </c>
      <c r="B404" s="148">
        <v>109</v>
      </c>
      <c r="C404" s="149" t="s">
        <v>178</v>
      </c>
      <c r="D404" s="149" t="s">
        <v>40</v>
      </c>
      <c r="E404" s="166" t="s">
        <v>1447</v>
      </c>
      <c r="F404" s="166" t="s">
        <v>1448</v>
      </c>
      <c r="G404" s="166" t="s">
        <v>1449</v>
      </c>
      <c r="H404" s="149">
        <v>881</v>
      </c>
      <c r="I404" s="149" t="s">
        <v>42</v>
      </c>
      <c r="J404" s="152">
        <v>20</v>
      </c>
      <c r="K404" s="149">
        <v>29</v>
      </c>
      <c r="L404" s="149">
        <v>40</v>
      </c>
      <c r="M404" s="149">
        <v>8</v>
      </c>
      <c r="N404" s="149">
        <v>7</v>
      </c>
      <c r="O404" s="153">
        <v>80434587</v>
      </c>
      <c r="P404" s="153">
        <v>107121815</v>
      </c>
      <c r="Q404" s="153">
        <v>44952200</v>
      </c>
      <c r="R404" s="153">
        <f t="shared" si="7"/>
        <v>232508602</v>
      </c>
      <c r="S404" s="154"/>
      <c r="T404" s="155" t="s">
        <v>1450</v>
      </c>
      <c r="U404" s="156"/>
      <c r="V404" s="89"/>
      <c r="W404" s="90" t="s">
        <v>970</v>
      </c>
      <c r="X404" s="81"/>
      <c r="Y404" s="81"/>
      <c r="Z404" s="81"/>
      <c r="AA404" s="81"/>
      <c r="AB404" s="81"/>
      <c r="AC404" s="81"/>
      <c r="AD404" s="81"/>
      <c r="AE404" s="81"/>
    </row>
    <row r="405" spans="1:31" s="1" customFormat="1" ht="15.75">
      <c r="A405" s="147">
        <v>404</v>
      </c>
      <c r="B405" s="148">
        <v>109</v>
      </c>
      <c r="C405" s="149" t="s">
        <v>178</v>
      </c>
      <c r="D405" s="149" t="s">
        <v>40</v>
      </c>
      <c r="E405" s="166" t="s">
        <v>1451</v>
      </c>
      <c r="F405" s="166" t="s">
        <v>1452</v>
      </c>
      <c r="G405" s="166" t="s">
        <v>1453</v>
      </c>
      <c r="H405" s="149">
        <v>400</v>
      </c>
      <c r="I405" s="149" t="s">
        <v>42</v>
      </c>
      <c r="J405" s="152">
        <v>10</v>
      </c>
      <c r="K405" s="149">
        <v>18</v>
      </c>
      <c r="L405" s="149">
        <v>1</v>
      </c>
      <c r="M405" s="149">
        <v>0</v>
      </c>
      <c r="N405" s="149">
        <v>1</v>
      </c>
      <c r="O405" s="153">
        <v>15600000</v>
      </c>
      <c r="P405" s="153">
        <v>30000000</v>
      </c>
      <c r="Q405" s="153">
        <v>600000</v>
      </c>
      <c r="R405" s="153">
        <f t="shared" si="7"/>
        <v>46200000</v>
      </c>
      <c r="S405" s="154"/>
      <c r="T405" s="155" t="s">
        <v>1454</v>
      </c>
      <c r="U405" s="156"/>
      <c r="V405" s="89"/>
      <c r="W405" s="90" t="s">
        <v>1455</v>
      </c>
      <c r="X405" s="81"/>
      <c r="Y405" s="81"/>
      <c r="Z405" s="81"/>
      <c r="AA405" s="81"/>
      <c r="AB405" s="81"/>
      <c r="AC405" s="81"/>
      <c r="AD405" s="81"/>
      <c r="AE405" s="81"/>
    </row>
    <row r="406" spans="1:31" s="1" customFormat="1" ht="15.75">
      <c r="A406" s="147">
        <v>405</v>
      </c>
      <c r="B406" s="148">
        <v>109</v>
      </c>
      <c r="C406" s="149" t="s">
        <v>178</v>
      </c>
      <c r="D406" s="149" t="s">
        <v>147</v>
      </c>
      <c r="E406" s="166" t="s">
        <v>1166</v>
      </c>
      <c r="F406" s="166" t="s">
        <v>332</v>
      </c>
      <c r="G406" s="166" t="s">
        <v>333</v>
      </c>
      <c r="H406" s="149">
        <v>150</v>
      </c>
      <c r="I406" s="149">
        <v>3</v>
      </c>
      <c r="J406" s="152">
        <v>12</v>
      </c>
      <c r="K406" s="149">
        <v>0</v>
      </c>
      <c r="L406" s="149">
        <v>5</v>
      </c>
      <c r="M406" s="149">
        <v>0</v>
      </c>
      <c r="N406" s="149">
        <v>1</v>
      </c>
      <c r="O406" s="153">
        <v>15080000</v>
      </c>
      <c r="P406" s="153">
        <v>56260000</v>
      </c>
      <c r="Q406" s="153">
        <v>2500000</v>
      </c>
      <c r="R406" s="153">
        <f t="shared" si="7"/>
        <v>73840000</v>
      </c>
      <c r="S406" s="154"/>
      <c r="T406" s="155" t="s">
        <v>1456</v>
      </c>
      <c r="U406" s="156"/>
      <c r="V406" s="89"/>
      <c r="W406" s="90" t="s">
        <v>889</v>
      </c>
      <c r="X406" s="81"/>
      <c r="Y406" s="81"/>
      <c r="Z406" s="81"/>
      <c r="AA406" s="81"/>
      <c r="AB406" s="81"/>
      <c r="AC406" s="81"/>
      <c r="AD406" s="81"/>
      <c r="AE406" s="81"/>
    </row>
    <row r="407" spans="1:31" s="1" customFormat="1" ht="15.75">
      <c r="A407" s="147">
        <v>406</v>
      </c>
      <c r="B407" s="148">
        <v>109</v>
      </c>
      <c r="C407" s="149" t="s">
        <v>178</v>
      </c>
      <c r="D407" s="149" t="s">
        <v>137</v>
      </c>
      <c r="E407" s="166" t="s">
        <v>1457</v>
      </c>
      <c r="F407" s="166" t="s">
        <v>635</v>
      </c>
      <c r="G407" s="166" t="s">
        <v>1458</v>
      </c>
      <c r="H407" s="149">
        <v>780</v>
      </c>
      <c r="I407" s="149">
        <v>5</v>
      </c>
      <c r="J407" s="152">
        <v>12</v>
      </c>
      <c r="K407" s="149">
        <v>3</v>
      </c>
      <c r="L407" s="149">
        <v>56</v>
      </c>
      <c r="M407" s="149">
        <v>0</v>
      </c>
      <c r="N407" s="149">
        <v>0</v>
      </c>
      <c r="O407" s="153">
        <v>37440000</v>
      </c>
      <c r="P407" s="153">
        <v>73000000</v>
      </c>
      <c r="Q407" s="153">
        <v>1000000</v>
      </c>
      <c r="R407" s="153">
        <f t="shared" si="7"/>
        <v>111440000</v>
      </c>
      <c r="S407" s="154"/>
      <c r="T407" s="155" t="s">
        <v>1459</v>
      </c>
      <c r="U407" s="156"/>
      <c r="V407" s="89"/>
      <c r="W407" s="90" t="s">
        <v>143</v>
      </c>
      <c r="X407" s="81"/>
      <c r="Y407" s="81"/>
      <c r="Z407" s="81"/>
      <c r="AA407" s="81"/>
      <c r="AB407" s="81"/>
      <c r="AC407" s="81"/>
      <c r="AD407" s="81"/>
      <c r="AE407" s="81"/>
    </row>
    <row r="408" spans="1:31" s="1" customFormat="1" ht="15.75">
      <c r="A408" s="147">
        <v>407</v>
      </c>
      <c r="B408" s="148">
        <v>109</v>
      </c>
      <c r="C408" s="149" t="s">
        <v>178</v>
      </c>
      <c r="D408" s="149" t="s">
        <v>137</v>
      </c>
      <c r="E408" s="166" t="s">
        <v>1460</v>
      </c>
      <c r="F408" s="166" t="s">
        <v>1461</v>
      </c>
      <c r="G408" s="166" t="s">
        <v>1462</v>
      </c>
      <c r="H408" s="149">
        <v>620</v>
      </c>
      <c r="I408" s="149">
        <v>5</v>
      </c>
      <c r="J408" s="152">
        <v>12</v>
      </c>
      <c r="K408" s="149">
        <v>3</v>
      </c>
      <c r="L408" s="149">
        <v>41</v>
      </c>
      <c r="M408" s="149">
        <v>1</v>
      </c>
      <c r="N408" s="149">
        <v>6</v>
      </c>
      <c r="O408" s="153">
        <v>39680000</v>
      </c>
      <c r="P408" s="153">
        <v>67000000</v>
      </c>
      <c r="Q408" s="153">
        <v>17614400</v>
      </c>
      <c r="R408" s="153">
        <f t="shared" si="7"/>
        <v>124294400</v>
      </c>
      <c r="S408" s="154"/>
      <c r="T408" s="155" t="s">
        <v>1459</v>
      </c>
      <c r="U408" s="156"/>
      <c r="V408" s="89"/>
      <c r="W408" s="90" t="s">
        <v>143</v>
      </c>
      <c r="X408" s="81"/>
      <c r="Y408" s="81"/>
      <c r="Z408" s="81"/>
      <c r="AA408" s="81"/>
      <c r="AB408" s="81"/>
      <c r="AC408" s="81"/>
      <c r="AD408" s="81"/>
      <c r="AE408" s="81"/>
    </row>
    <row r="409" spans="1:31" s="1" customFormat="1" ht="15.75">
      <c r="A409" s="147">
        <v>408</v>
      </c>
      <c r="B409" s="148">
        <v>109</v>
      </c>
      <c r="C409" s="149" t="s">
        <v>178</v>
      </c>
      <c r="D409" s="149" t="s">
        <v>137</v>
      </c>
      <c r="E409" s="166" t="s">
        <v>1463</v>
      </c>
      <c r="F409" s="166" t="s">
        <v>1464</v>
      </c>
      <c r="G409" s="166" t="s">
        <v>1465</v>
      </c>
      <c r="H409" s="149">
        <v>1698</v>
      </c>
      <c r="I409" s="149">
        <v>5</v>
      </c>
      <c r="J409" s="152">
        <v>12</v>
      </c>
      <c r="K409" s="149">
        <v>20</v>
      </c>
      <c r="L409" s="149">
        <v>114</v>
      </c>
      <c r="M409" s="149">
        <v>3</v>
      </c>
      <c r="N409" s="149">
        <v>2</v>
      </c>
      <c r="O409" s="153">
        <v>81500000</v>
      </c>
      <c r="P409" s="153">
        <v>160000000</v>
      </c>
      <c r="Q409" s="153">
        <v>10000000</v>
      </c>
      <c r="R409" s="153">
        <f t="shared" si="7"/>
        <v>251500000</v>
      </c>
      <c r="S409" s="154"/>
      <c r="T409" s="155" t="s">
        <v>1459</v>
      </c>
      <c r="U409" s="156"/>
      <c r="V409" s="89"/>
      <c r="W409" s="90" t="s">
        <v>143</v>
      </c>
      <c r="X409" s="81"/>
      <c r="Y409" s="81"/>
      <c r="Z409" s="81"/>
      <c r="AA409" s="81"/>
      <c r="AB409" s="81"/>
      <c r="AC409" s="81"/>
      <c r="AD409" s="81"/>
      <c r="AE409" s="81"/>
    </row>
    <row r="410" spans="1:31" s="1" customFormat="1" ht="15.75">
      <c r="A410" s="147">
        <v>409</v>
      </c>
      <c r="B410" s="148">
        <v>109</v>
      </c>
      <c r="C410" s="149" t="s">
        <v>178</v>
      </c>
      <c r="D410" s="149" t="s">
        <v>83</v>
      </c>
      <c r="E410" s="166" t="s">
        <v>1466</v>
      </c>
      <c r="F410" s="166" t="s">
        <v>1467</v>
      </c>
      <c r="G410" s="166" t="s">
        <v>1468</v>
      </c>
      <c r="H410" s="149">
        <v>100</v>
      </c>
      <c r="I410" s="149" t="s">
        <v>1469</v>
      </c>
      <c r="J410" s="152">
        <v>15</v>
      </c>
      <c r="K410" s="149">
        <v>4</v>
      </c>
      <c r="L410" s="149">
        <v>0</v>
      </c>
      <c r="M410" s="149">
        <v>3</v>
      </c>
      <c r="N410" s="149">
        <v>2</v>
      </c>
      <c r="O410" s="153">
        <v>12000000</v>
      </c>
      <c r="P410" s="153">
        <v>0</v>
      </c>
      <c r="Q410" s="153">
        <v>8888000</v>
      </c>
      <c r="R410" s="153">
        <f t="shared" si="7"/>
        <v>20888000</v>
      </c>
      <c r="S410" s="154"/>
      <c r="T410" s="155" t="s">
        <v>1470</v>
      </c>
      <c r="U410" s="156"/>
      <c r="V410" s="89"/>
      <c r="W410" s="90" t="s">
        <v>1471</v>
      </c>
      <c r="X410" s="81"/>
      <c r="Y410" s="81"/>
      <c r="Z410" s="81"/>
      <c r="AA410" s="81"/>
      <c r="AB410" s="81"/>
      <c r="AC410" s="81"/>
      <c r="AD410" s="81"/>
      <c r="AE410" s="81"/>
    </row>
    <row r="411" spans="1:31" s="1" customFormat="1" ht="15.75">
      <c r="A411" s="147">
        <v>410</v>
      </c>
      <c r="B411" s="148">
        <v>109</v>
      </c>
      <c r="C411" s="149" t="s">
        <v>178</v>
      </c>
      <c r="D411" s="149" t="s">
        <v>83</v>
      </c>
      <c r="E411" s="166" t="s">
        <v>1472</v>
      </c>
      <c r="F411" s="166" t="s">
        <v>444</v>
      </c>
      <c r="G411" s="166" t="s">
        <v>1473</v>
      </c>
      <c r="H411" s="149">
        <v>50</v>
      </c>
      <c r="I411" s="149" t="s">
        <v>243</v>
      </c>
      <c r="J411" s="152">
        <v>15</v>
      </c>
      <c r="K411" s="149">
        <v>0</v>
      </c>
      <c r="L411" s="149">
        <v>17</v>
      </c>
      <c r="M411" s="149">
        <v>9</v>
      </c>
      <c r="N411" s="149">
        <v>2</v>
      </c>
      <c r="O411" s="153">
        <v>4000000</v>
      </c>
      <c r="P411" s="153">
        <v>16013388</v>
      </c>
      <c r="Q411" s="153">
        <v>4003347</v>
      </c>
      <c r="R411" s="153">
        <f t="shared" si="7"/>
        <v>24016735</v>
      </c>
      <c r="S411" s="154"/>
      <c r="T411" s="155" t="s">
        <v>1474</v>
      </c>
      <c r="U411" s="156"/>
      <c r="V411" s="89"/>
      <c r="W411" s="90" t="s">
        <v>1475</v>
      </c>
      <c r="X411" s="81"/>
      <c r="Y411" s="81"/>
      <c r="Z411" s="81"/>
      <c r="AA411" s="81"/>
      <c r="AB411" s="81"/>
      <c r="AC411" s="81"/>
      <c r="AD411" s="81"/>
      <c r="AE411" s="81"/>
    </row>
    <row r="412" spans="1:31" s="1" customFormat="1" ht="15.75">
      <c r="A412" s="147">
        <v>411</v>
      </c>
      <c r="B412" s="148">
        <v>109</v>
      </c>
      <c r="C412" s="149" t="s">
        <v>178</v>
      </c>
      <c r="D412" s="149" t="s">
        <v>173</v>
      </c>
      <c r="E412" s="166" t="s">
        <v>1476</v>
      </c>
      <c r="F412" s="166" t="s">
        <v>1477</v>
      </c>
      <c r="G412" s="166" t="s">
        <v>1478</v>
      </c>
      <c r="H412" s="149" t="s">
        <v>1479</v>
      </c>
      <c r="I412" s="149" t="s">
        <v>417</v>
      </c>
      <c r="J412" s="152">
        <v>12</v>
      </c>
      <c r="K412" s="149">
        <v>2</v>
      </c>
      <c r="L412" s="149">
        <v>10</v>
      </c>
      <c r="M412" s="149">
        <v>6</v>
      </c>
      <c r="N412" s="149">
        <v>0</v>
      </c>
      <c r="O412" s="153">
        <v>10880000</v>
      </c>
      <c r="P412" s="153">
        <v>22304000</v>
      </c>
      <c r="Q412" s="153">
        <v>13837000</v>
      </c>
      <c r="R412" s="153">
        <f t="shared" si="7"/>
        <v>47021000</v>
      </c>
      <c r="S412" s="154"/>
      <c r="T412" s="155" t="s">
        <v>1480</v>
      </c>
      <c r="U412" s="156"/>
      <c r="V412" s="89"/>
      <c r="W412" s="90" t="s">
        <v>1028</v>
      </c>
      <c r="X412" s="81"/>
      <c r="Y412" s="81"/>
      <c r="Z412" s="81"/>
      <c r="AA412" s="81"/>
      <c r="AB412" s="81"/>
      <c r="AC412" s="81"/>
      <c r="AD412" s="81"/>
      <c r="AE412" s="81"/>
    </row>
    <row r="413" spans="1:31" s="1" customFormat="1" ht="15.75">
      <c r="A413" s="147">
        <v>412</v>
      </c>
      <c r="B413" s="148">
        <v>109</v>
      </c>
      <c r="C413" s="149" t="s">
        <v>178</v>
      </c>
      <c r="D413" s="149" t="s">
        <v>133</v>
      </c>
      <c r="E413" s="166" t="s">
        <v>1481</v>
      </c>
      <c r="F413" s="166" t="s">
        <v>1482</v>
      </c>
      <c r="G413" s="166" t="s">
        <v>1483</v>
      </c>
      <c r="H413" s="149">
        <v>600</v>
      </c>
      <c r="I413" s="149" t="s">
        <v>1484</v>
      </c>
      <c r="J413" s="152">
        <v>8</v>
      </c>
      <c r="K413" s="149">
        <v>0</v>
      </c>
      <c r="L413" s="149">
        <v>26</v>
      </c>
      <c r="M413" s="149">
        <v>0</v>
      </c>
      <c r="N413" s="149">
        <v>0</v>
      </c>
      <c r="O413" s="153">
        <v>115200000</v>
      </c>
      <c r="P413" s="153">
        <v>19200000</v>
      </c>
      <c r="Q413" s="153">
        <v>0</v>
      </c>
      <c r="R413" s="153">
        <f t="shared" si="7"/>
        <v>134400000</v>
      </c>
      <c r="S413" s="154"/>
      <c r="T413" s="155" t="s">
        <v>1485</v>
      </c>
      <c r="U413" s="156"/>
      <c r="V413" s="89"/>
      <c r="W413" s="90" t="s">
        <v>1486</v>
      </c>
      <c r="X413" s="81"/>
      <c r="Y413" s="81"/>
      <c r="Z413" s="81"/>
      <c r="AA413" s="81"/>
      <c r="AB413" s="81"/>
      <c r="AC413" s="81"/>
      <c r="AD413" s="81"/>
      <c r="AE413" s="81"/>
    </row>
    <row r="414" spans="1:31" s="1" customFormat="1" ht="15.75">
      <c r="A414" s="147">
        <v>413</v>
      </c>
      <c r="B414" s="148">
        <v>109</v>
      </c>
      <c r="C414" s="149" t="s">
        <v>178</v>
      </c>
      <c r="D414" s="149" t="s">
        <v>56</v>
      </c>
      <c r="E414" s="166" t="s">
        <v>1487</v>
      </c>
      <c r="F414" s="166"/>
      <c r="G414" s="166"/>
      <c r="H414" s="149">
        <v>340</v>
      </c>
      <c r="I414" s="149" t="s">
        <v>1057</v>
      </c>
      <c r="J414" s="152">
        <v>10</v>
      </c>
      <c r="K414" s="149">
        <v>3</v>
      </c>
      <c r="L414" s="149">
        <v>4</v>
      </c>
      <c r="M414" s="149">
        <v>1</v>
      </c>
      <c r="N414" s="149">
        <v>2</v>
      </c>
      <c r="O414" s="153">
        <v>14000000</v>
      </c>
      <c r="P414" s="153">
        <v>15170000</v>
      </c>
      <c r="Q414" s="153">
        <v>1500000</v>
      </c>
      <c r="R414" s="153">
        <f t="shared" si="7"/>
        <v>30670000</v>
      </c>
      <c r="S414" s="154"/>
      <c r="T414" s="155" t="s">
        <v>1480</v>
      </c>
      <c r="U414" s="156"/>
      <c r="V414" s="89"/>
      <c r="W414" s="90" t="s">
        <v>1028</v>
      </c>
      <c r="X414" s="81"/>
      <c r="Y414" s="81"/>
      <c r="Z414" s="81"/>
      <c r="AA414" s="81"/>
      <c r="AB414" s="81"/>
      <c r="AC414" s="81"/>
      <c r="AD414" s="81"/>
      <c r="AE414" s="81"/>
    </row>
    <row r="415" spans="1:31" s="1" customFormat="1" ht="15.75">
      <c r="A415" s="147">
        <v>414</v>
      </c>
      <c r="B415" s="148">
        <v>109</v>
      </c>
      <c r="C415" s="149" t="s">
        <v>178</v>
      </c>
      <c r="D415" s="149" t="s">
        <v>56</v>
      </c>
      <c r="E415" s="166" t="s">
        <v>236</v>
      </c>
      <c r="F415" s="166"/>
      <c r="G415" s="166"/>
      <c r="H415" s="149">
        <v>70</v>
      </c>
      <c r="I415" s="149" t="s">
        <v>243</v>
      </c>
      <c r="J415" s="152">
        <v>8</v>
      </c>
      <c r="K415" s="149">
        <v>1</v>
      </c>
      <c r="L415" s="149">
        <v>9</v>
      </c>
      <c r="M415" s="149">
        <v>0</v>
      </c>
      <c r="N415" s="149">
        <v>1</v>
      </c>
      <c r="O415" s="153">
        <v>2240000</v>
      </c>
      <c r="P415" s="153">
        <v>30574800</v>
      </c>
      <c r="Q415" s="153">
        <v>1212000</v>
      </c>
      <c r="R415" s="153">
        <f t="shared" si="7"/>
        <v>34026800</v>
      </c>
      <c r="S415" s="154"/>
      <c r="T415" s="155" t="s">
        <v>1488</v>
      </c>
      <c r="U415" s="156"/>
      <c r="V415" s="89"/>
      <c r="W415" s="90" t="s">
        <v>1489</v>
      </c>
      <c r="X415" s="81"/>
      <c r="Y415" s="81"/>
      <c r="Z415" s="81"/>
      <c r="AA415" s="81"/>
      <c r="AB415" s="81"/>
      <c r="AC415" s="81"/>
      <c r="AD415" s="81"/>
      <c r="AE415" s="81"/>
    </row>
    <row r="416" spans="1:31" s="1" customFormat="1" ht="15.75">
      <c r="A416" s="147">
        <v>415</v>
      </c>
      <c r="B416" s="148">
        <v>109</v>
      </c>
      <c r="C416" s="149" t="s">
        <v>178</v>
      </c>
      <c r="D416" s="149" t="s">
        <v>56</v>
      </c>
      <c r="E416" s="166" t="s">
        <v>1490</v>
      </c>
      <c r="F416" s="166"/>
      <c r="G416" s="166"/>
      <c r="H416" s="149">
        <v>650</v>
      </c>
      <c r="I416" s="149" t="s">
        <v>427</v>
      </c>
      <c r="J416" s="152">
        <v>10</v>
      </c>
      <c r="K416" s="149">
        <v>6</v>
      </c>
      <c r="L416" s="149">
        <v>33</v>
      </c>
      <c r="M416" s="149">
        <v>0</v>
      </c>
      <c r="N416" s="149">
        <v>0</v>
      </c>
      <c r="O416" s="153">
        <v>49600000</v>
      </c>
      <c r="P416" s="153">
        <v>12660804</v>
      </c>
      <c r="Q416" s="153">
        <v>0</v>
      </c>
      <c r="R416" s="153">
        <f t="shared" si="7"/>
        <v>62260804</v>
      </c>
      <c r="S416" s="154"/>
      <c r="T416" s="155" t="s">
        <v>1480</v>
      </c>
      <c r="U416" s="156"/>
      <c r="V416" s="89"/>
      <c r="W416" s="90" t="s">
        <v>1028</v>
      </c>
      <c r="X416" s="81"/>
      <c r="Y416" s="81"/>
      <c r="Z416" s="81"/>
      <c r="AA416" s="81"/>
      <c r="AB416" s="81"/>
      <c r="AC416" s="81"/>
      <c r="AD416" s="81"/>
      <c r="AE416" s="81"/>
    </row>
    <row r="417" spans="1:31" s="1" customFormat="1" ht="15.75">
      <c r="A417" s="147">
        <v>416</v>
      </c>
      <c r="B417" s="148">
        <v>109</v>
      </c>
      <c r="C417" s="149" t="s">
        <v>178</v>
      </c>
      <c r="D417" s="149" t="s">
        <v>56</v>
      </c>
      <c r="E417" s="166" t="s">
        <v>1000</v>
      </c>
      <c r="F417" s="166"/>
      <c r="G417" s="166"/>
      <c r="H417" s="149">
        <v>133</v>
      </c>
      <c r="I417" s="149" t="s">
        <v>42</v>
      </c>
      <c r="J417" s="152">
        <v>10</v>
      </c>
      <c r="K417" s="149">
        <v>2</v>
      </c>
      <c r="L417" s="149">
        <v>2</v>
      </c>
      <c r="M417" s="149">
        <v>0</v>
      </c>
      <c r="N417" s="149">
        <v>0</v>
      </c>
      <c r="O417" s="153">
        <v>5320000</v>
      </c>
      <c r="P417" s="153">
        <v>70000000</v>
      </c>
      <c r="Q417" s="153">
        <v>0</v>
      </c>
      <c r="R417" s="153">
        <f t="shared" si="7"/>
        <v>75320000</v>
      </c>
      <c r="S417" s="154"/>
      <c r="T417" s="155" t="s">
        <v>1491</v>
      </c>
      <c r="U417" s="156"/>
      <c r="V417" s="89"/>
      <c r="W417" s="90" t="s">
        <v>1492</v>
      </c>
      <c r="X417" s="81"/>
      <c r="Y417" s="81"/>
      <c r="Z417" s="81"/>
      <c r="AA417" s="81"/>
      <c r="AB417" s="81"/>
      <c r="AC417" s="81"/>
      <c r="AD417" s="81"/>
      <c r="AE417" s="81"/>
    </row>
    <row r="418" spans="1:31" s="1" customFormat="1" ht="27">
      <c r="A418" s="147">
        <v>417</v>
      </c>
      <c r="B418" s="148">
        <v>109</v>
      </c>
      <c r="C418" s="149" t="s">
        <v>178</v>
      </c>
      <c r="D418" s="149" t="s">
        <v>56</v>
      </c>
      <c r="E418" s="166" t="s">
        <v>1493</v>
      </c>
      <c r="F418" s="166"/>
      <c r="G418" s="166"/>
      <c r="H418" s="149">
        <v>340</v>
      </c>
      <c r="I418" s="149" t="s">
        <v>42</v>
      </c>
      <c r="J418" s="152">
        <v>15</v>
      </c>
      <c r="K418" s="149">
        <v>40</v>
      </c>
      <c r="L418" s="149">
        <v>113</v>
      </c>
      <c r="M418" s="149">
        <v>0</v>
      </c>
      <c r="N418" s="149">
        <v>0</v>
      </c>
      <c r="O418" s="153">
        <v>30464000</v>
      </c>
      <c r="P418" s="153">
        <v>27501416</v>
      </c>
      <c r="Q418" s="153">
        <v>266829678</v>
      </c>
      <c r="R418" s="153">
        <f t="shared" si="7"/>
        <v>324795094</v>
      </c>
      <c r="S418" s="154"/>
      <c r="T418" s="155" t="s">
        <v>1494</v>
      </c>
      <c r="U418" s="156"/>
      <c r="V418" s="89"/>
      <c r="W418" s="90" t="s">
        <v>1495</v>
      </c>
      <c r="X418" s="81"/>
      <c r="Y418" s="81"/>
      <c r="Z418" s="81"/>
      <c r="AA418" s="81"/>
      <c r="AB418" s="81"/>
      <c r="AC418" s="81"/>
      <c r="AD418" s="81"/>
      <c r="AE418" s="81"/>
    </row>
    <row r="419" spans="1:31" s="1" customFormat="1" ht="15.75">
      <c r="A419" s="147">
        <v>418</v>
      </c>
      <c r="B419" s="148">
        <v>109</v>
      </c>
      <c r="C419" s="149" t="s">
        <v>178</v>
      </c>
      <c r="D419" s="149" t="s">
        <v>83</v>
      </c>
      <c r="E419" s="166" t="s">
        <v>1496</v>
      </c>
      <c r="F419" s="166"/>
      <c r="G419" s="166"/>
      <c r="H419" s="149">
        <v>260</v>
      </c>
      <c r="I419" s="149" t="s">
        <v>1469</v>
      </c>
      <c r="J419" s="152">
        <v>15</v>
      </c>
      <c r="K419" s="149">
        <v>12</v>
      </c>
      <c r="L419" s="149">
        <v>21</v>
      </c>
      <c r="M419" s="149">
        <v>27</v>
      </c>
      <c r="N419" s="149"/>
      <c r="O419" s="153">
        <v>31200000</v>
      </c>
      <c r="P419" s="153">
        <v>4050400</v>
      </c>
      <c r="Q419" s="153">
        <v>105040000</v>
      </c>
      <c r="R419" s="153">
        <f t="shared" si="7"/>
        <v>140290400</v>
      </c>
      <c r="S419" s="154"/>
      <c r="T419" s="155" t="s">
        <v>1470</v>
      </c>
      <c r="U419" s="156"/>
      <c r="V419" s="89"/>
      <c r="W419" s="90" t="s">
        <v>1497</v>
      </c>
      <c r="X419" s="81"/>
      <c r="Y419" s="81"/>
      <c r="Z419" s="81"/>
      <c r="AA419" s="81"/>
      <c r="AB419" s="81"/>
      <c r="AC419" s="81"/>
      <c r="AD419" s="81"/>
      <c r="AE419" s="81"/>
    </row>
    <row r="420" spans="1:31" s="1" customFormat="1" ht="15.75">
      <c r="A420" s="147">
        <v>419</v>
      </c>
      <c r="B420" s="148">
        <v>109</v>
      </c>
      <c r="C420" s="149" t="s">
        <v>178</v>
      </c>
      <c r="D420" s="149" t="s">
        <v>56</v>
      </c>
      <c r="E420" s="166" t="s">
        <v>1498</v>
      </c>
      <c r="F420" s="166"/>
      <c r="G420" s="166"/>
      <c r="H420" s="149">
        <v>380</v>
      </c>
      <c r="I420" s="149" t="s">
        <v>42</v>
      </c>
      <c r="J420" s="152">
        <v>15</v>
      </c>
      <c r="K420" s="149">
        <v>1</v>
      </c>
      <c r="L420" s="149">
        <v>8</v>
      </c>
      <c r="M420" s="149">
        <v>0</v>
      </c>
      <c r="N420" s="149">
        <v>0</v>
      </c>
      <c r="O420" s="153">
        <v>45600000</v>
      </c>
      <c r="P420" s="153">
        <v>132959246</v>
      </c>
      <c r="Q420" s="153">
        <v>0</v>
      </c>
      <c r="R420" s="153">
        <f t="shared" si="7"/>
        <v>178559246</v>
      </c>
      <c r="S420" s="154"/>
      <c r="T420" s="155" t="s">
        <v>1499</v>
      </c>
      <c r="U420" s="156"/>
      <c r="V420" s="89"/>
      <c r="W420" s="90" t="s">
        <v>1500</v>
      </c>
      <c r="X420" s="81"/>
      <c r="Y420" s="81"/>
      <c r="Z420" s="81"/>
      <c r="AA420" s="81"/>
      <c r="AB420" s="81"/>
      <c r="AC420" s="81"/>
      <c r="AD420" s="81"/>
      <c r="AE420" s="81"/>
    </row>
    <row r="421" spans="1:31" s="1" customFormat="1" ht="15.75">
      <c r="A421" s="147">
        <v>420</v>
      </c>
      <c r="B421" s="148">
        <v>109</v>
      </c>
      <c r="C421" s="149" t="s">
        <v>178</v>
      </c>
      <c r="D421" s="149" t="s">
        <v>83</v>
      </c>
      <c r="E421" s="166" t="s">
        <v>1501</v>
      </c>
      <c r="F421" s="166"/>
      <c r="G421" s="166"/>
      <c r="H421" s="149">
        <v>360</v>
      </c>
      <c r="I421" s="149" t="s">
        <v>42</v>
      </c>
      <c r="J421" s="152">
        <v>15</v>
      </c>
      <c r="K421" s="149">
        <v>0</v>
      </c>
      <c r="L421" s="149">
        <v>14</v>
      </c>
      <c r="M421" s="149">
        <v>0</v>
      </c>
      <c r="N421" s="149">
        <v>2</v>
      </c>
      <c r="O421" s="153">
        <v>43200000</v>
      </c>
      <c r="P421" s="153">
        <v>258900000</v>
      </c>
      <c r="Q421" s="153">
        <v>7272000</v>
      </c>
      <c r="R421" s="153">
        <f t="shared" si="7"/>
        <v>309372000</v>
      </c>
      <c r="S421" s="154"/>
      <c r="T421" s="155" t="s">
        <v>1439</v>
      </c>
      <c r="U421" s="156"/>
      <c r="V421" s="89"/>
      <c r="W421" s="90" t="s">
        <v>1071</v>
      </c>
      <c r="X421" s="81"/>
      <c r="Y421" s="81"/>
      <c r="Z421" s="81"/>
      <c r="AA421" s="81"/>
      <c r="AB421" s="81"/>
      <c r="AC421" s="81"/>
      <c r="AD421" s="81"/>
      <c r="AE421" s="81"/>
    </row>
    <row r="422" spans="1:31" s="1" customFormat="1" ht="15.75">
      <c r="A422" s="147">
        <v>421</v>
      </c>
      <c r="B422" s="148">
        <v>109</v>
      </c>
      <c r="C422" s="149" t="s">
        <v>178</v>
      </c>
      <c r="D422" s="149" t="s">
        <v>83</v>
      </c>
      <c r="E422" s="166" t="s">
        <v>1502</v>
      </c>
      <c r="F422" s="166"/>
      <c r="G422" s="166"/>
      <c r="H422" s="149">
        <v>300</v>
      </c>
      <c r="I422" s="149" t="s">
        <v>404</v>
      </c>
      <c r="J422" s="152">
        <v>8</v>
      </c>
      <c r="K422" s="149">
        <v>6</v>
      </c>
      <c r="L422" s="149" t="s">
        <v>1503</v>
      </c>
      <c r="M422" s="149">
        <v>1</v>
      </c>
      <c r="N422" s="149">
        <v>15</v>
      </c>
      <c r="O422" s="153">
        <v>14400000</v>
      </c>
      <c r="P422" s="153">
        <v>141538541</v>
      </c>
      <c r="Q422" s="153">
        <v>5696400</v>
      </c>
      <c r="R422" s="153">
        <f t="shared" si="7"/>
        <v>161634941</v>
      </c>
      <c r="S422" s="154"/>
      <c r="T422" s="155" t="s">
        <v>1439</v>
      </c>
      <c r="U422" s="156"/>
      <c r="V422" s="89"/>
      <c r="W422" s="90" t="s">
        <v>1071</v>
      </c>
      <c r="X422" s="81"/>
      <c r="Y422" s="81"/>
      <c r="Z422" s="81"/>
      <c r="AA422" s="81"/>
      <c r="AB422" s="81"/>
      <c r="AC422" s="81"/>
      <c r="AD422" s="81"/>
      <c r="AE422" s="81"/>
    </row>
    <row r="423" spans="1:31" s="1" customFormat="1" ht="15.75">
      <c r="A423" s="147">
        <v>422</v>
      </c>
      <c r="B423" s="148">
        <v>109</v>
      </c>
      <c r="C423" s="149" t="s">
        <v>178</v>
      </c>
      <c r="D423" s="149" t="s">
        <v>83</v>
      </c>
      <c r="E423" s="166" t="s">
        <v>267</v>
      </c>
      <c r="F423" s="166"/>
      <c r="G423" s="166"/>
      <c r="H423" s="149">
        <v>1840</v>
      </c>
      <c r="I423" s="149">
        <v>15</v>
      </c>
      <c r="J423" s="152">
        <v>20</v>
      </c>
      <c r="K423" s="149">
        <v>19</v>
      </c>
      <c r="L423" s="149">
        <v>35</v>
      </c>
      <c r="M423" s="149">
        <v>26</v>
      </c>
      <c r="N423" s="149">
        <v>5</v>
      </c>
      <c r="O423" s="153">
        <v>147200000</v>
      </c>
      <c r="P423" s="153">
        <v>614126541</v>
      </c>
      <c r="Q423" s="153">
        <v>32724000</v>
      </c>
      <c r="R423" s="153">
        <f t="shared" si="7"/>
        <v>794050541</v>
      </c>
      <c r="S423" s="154"/>
      <c r="T423" s="155" t="s">
        <v>1504</v>
      </c>
      <c r="U423" s="156"/>
      <c r="V423" s="89"/>
      <c r="W423" s="90" t="s">
        <v>1505</v>
      </c>
      <c r="X423" s="81"/>
      <c r="Y423" s="81"/>
      <c r="Z423" s="81"/>
      <c r="AA423" s="81"/>
      <c r="AB423" s="81"/>
      <c r="AC423" s="81"/>
      <c r="AD423" s="81"/>
      <c r="AE423" s="81"/>
    </row>
    <row r="424" spans="1:31" s="1" customFormat="1" ht="15.75">
      <c r="A424" s="147">
        <v>423</v>
      </c>
      <c r="B424" s="148">
        <v>109</v>
      </c>
      <c r="C424" s="149" t="s">
        <v>178</v>
      </c>
      <c r="D424" s="149" t="s">
        <v>83</v>
      </c>
      <c r="E424" s="166" t="s">
        <v>1506</v>
      </c>
      <c r="F424" s="166"/>
      <c r="G424" s="166"/>
      <c r="H424" s="149">
        <v>1765</v>
      </c>
      <c r="I424" s="149" t="s">
        <v>1507</v>
      </c>
      <c r="J424" s="152">
        <v>14</v>
      </c>
      <c r="K424" s="149">
        <v>34</v>
      </c>
      <c r="L424" s="149" t="s">
        <v>1508</v>
      </c>
      <c r="M424" s="149">
        <v>15</v>
      </c>
      <c r="N424" s="149">
        <v>22</v>
      </c>
      <c r="O424" s="153">
        <v>200000000</v>
      </c>
      <c r="P424" s="153">
        <v>171454418</v>
      </c>
      <c r="Q424" s="153">
        <v>45086400</v>
      </c>
      <c r="R424" s="153">
        <f t="shared" si="7"/>
        <v>416540818</v>
      </c>
      <c r="S424" s="154"/>
      <c r="T424" s="155" t="s">
        <v>1509</v>
      </c>
      <c r="U424" s="156"/>
      <c r="V424" s="89"/>
      <c r="W424" s="90" t="s">
        <v>1510</v>
      </c>
      <c r="X424" s="81"/>
      <c r="Y424" s="81"/>
      <c r="Z424" s="81"/>
      <c r="AA424" s="81"/>
      <c r="AB424" s="81"/>
      <c r="AC424" s="81"/>
      <c r="AD424" s="81"/>
      <c r="AE424" s="81"/>
    </row>
    <row r="425" spans="1:31" s="1" customFormat="1" ht="15.75">
      <c r="A425" s="147">
        <v>424</v>
      </c>
      <c r="B425" s="148">
        <v>109</v>
      </c>
      <c r="C425" s="149" t="s">
        <v>178</v>
      </c>
      <c r="D425" s="149" t="s">
        <v>83</v>
      </c>
      <c r="E425" s="166" t="s">
        <v>1511</v>
      </c>
      <c r="F425" s="166"/>
      <c r="G425" s="166"/>
      <c r="H425" s="149">
        <v>159</v>
      </c>
      <c r="I425" s="149" t="s">
        <v>1057</v>
      </c>
      <c r="J425" s="152">
        <v>12</v>
      </c>
      <c r="K425" s="149">
        <v>2</v>
      </c>
      <c r="L425" s="149">
        <v>15</v>
      </c>
      <c r="M425" s="149">
        <v>0</v>
      </c>
      <c r="N425" s="149">
        <v>3</v>
      </c>
      <c r="O425" s="153">
        <v>7632000</v>
      </c>
      <c r="P425" s="153">
        <v>54476871</v>
      </c>
      <c r="Q425" s="153">
        <v>1437772</v>
      </c>
      <c r="R425" s="153">
        <f t="shared" si="7"/>
        <v>63546643</v>
      </c>
      <c r="S425" s="154"/>
      <c r="T425" s="155" t="s">
        <v>1512</v>
      </c>
      <c r="U425" s="156"/>
      <c r="V425" s="89"/>
      <c r="W425" s="90" t="s">
        <v>1513</v>
      </c>
      <c r="X425" s="81"/>
      <c r="Y425" s="81"/>
      <c r="Z425" s="81"/>
      <c r="AA425" s="81"/>
      <c r="AB425" s="81"/>
      <c r="AC425" s="81"/>
      <c r="AD425" s="81"/>
      <c r="AE425" s="81"/>
    </row>
    <row r="426" spans="1:31" s="1" customFormat="1" ht="15.75">
      <c r="A426" s="147">
        <v>425</v>
      </c>
      <c r="B426" s="148">
        <v>109</v>
      </c>
      <c r="C426" s="149" t="s">
        <v>178</v>
      </c>
      <c r="D426" s="149" t="s">
        <v>83</v>
      </c>
      <c r="E426" s="166" t="s">
        <v>1514</v>
      </c>
      <c r="F426" s="166"/>
      <c r="G426" s="166"/>
      <c r="H426" s="149">
        <v>1150</v>
      </c>
      <c r="I426" s="149" t="s">
        <v>243</v>
      </c>
      <c r="J426" s="152">
        <v>12</v>
      </c>
      <c r="K426" s="149">
        <v>10</v>
      </c>
      <c r="L426" s="149">
        <v>36</v>
      </c>
      <c r="M426" s="149">
        <v>0</v>
      </c>
      <c r="N426" s="149">
        <v>10</v>
      </c>
      <c r="O426" s="153">
        <v>111000000</v>
      </c>
      <c r="P426" s="153">
        <v>62000000</v>
      </c>
      <c r="Q426" s="153">
        <v>18180000</v>
      </c>
      <c r="R426" s="153">
        <f t="shared" si="7"/>
        <v>191180000</v>
      </c>
      <c r="S426" s="154"/>
      <c r="T426" s="155" t="s">
        <v>1515</v>
      </c>
      <c r="U426" s="156"/>
      <c r="V426" s="89"/>
      <c r="W426" s="90" t="s">
        <v>95</v>
      </c>
      <c r="X426" s="81"/>
      <c r="Y426" s="81"/>
      <c r="Z426" s="81"/>
      <c r="AA426" s="81"/>
      <c r="AB426" s="81"/>
      <c r="AC426" s="81"/>
      <c r="AD426" s="81"/>
      <c r="AE426" s="81"/>
    </row>
    <row r="427" spans="1:31" s="1" customFormat="1" ht="15.75">
      <c r="A427" s="147">
        <v>426</v>
      </c>
      <c r="B427" s="148">
        <v>109</v>
      </c>
      <c r="C427" s="149" t="s">
        <v>178</v>
      </c>
      <c r="D427" s="149" t="s">
        <v>83</v>
      </c>
      <c r="E427" s="166" t="s">
        <v>1516</v>
      </c>
      <c r="F427" s="166"/>
      <c r="G427" s="166"/>
      <c r="H427" s="149">
        <v>236</v>
      </c>
      <c r="I427" s="149" t="s">
        <v>1517</v>
      </c>
      <c r="J427" s="152">
        <v>10</v>
      </c>
      <c r="K427" s="149">
        <v>4</v>
      </c>
      <c r="L427" s="149">
        <v>8</v>
      </c>
      <c r="M427" s="149">
        <v>0</v>
      </c>
      <c r="N427" s="149">
        <v>1</v>
      </c>
      <c r="O427" s="153">
        <v>18880000</v>
      </c>
      <c r="P427" s="153">
        <v>108500000</v>
      </c>
      <c r="Q427" s="153">
        <v>1696800</v>
      </c>
      <c r="R427" s="153">
        <f t="shared" si="7"/>
        <v>129076800</v>
      </c>
      <c r="S427" s="154"/>
      <c r="T427" s="155"/>
      <c r="U427" s="156"/>
      <c r="V427" s="89"/>
      <c r="W427" s="90"/>
      <c r="X427" s="81"/>
      <c r="Y427" s="81"/>
      <c r="Z427" s="81"/>
      <c r="AA427" s="81"/>
      <c r="AB427" s="81"/>
      <c r="AC427" s="81"/>
      <c r="AD427" s="81"/>
      <c r="AE427" s="81"/>
    </row>
    <row r="428" spans="1:31" s="1" customFormat="1" ht="15.75">
      <c r="A428" s="147">
        <v>427</v>
      </c>
      <c r="B428" s="148">
        <v>109</v>
      </c>
      <c r="C428" s="149" t="s">
        <v>178</v>
      </c>
      <c r="D428" s="149" t="s">
        <v>108</v>
      </c>
      <c r="E428" s="166" t="s">
        <v>1518</v>
      </c>
      <c r="F428" s="166"/>
      <c r="G428" s="166"/>
      <c r="H428" s="149">
        <v>340</v>
      </c>
      <c r="I428" s="149" t="s">
        <v>42</v>
      </c>
      <c r="J428" s="152">
        <v>20</v>
      </c>
      <c r="K428" s="149">
        <v>2</v>
      </c>
      <c r="L428" s="149">
        <v>12</v>
      </c>
      <c r="M428" s="149">
        <v>0</v>
      </c>
      <c r="N428" s="149">
        <v>2</v>
      </c>
      <c r="O428" s="153">
        <v>54400000</v>
      </c>
      <c r="P428" s="153">
        <v>510020000</v>
      </c>
      <c r="Q428" s="153">
        <v>8484000</v>
      </c>
      <c r="R428" s="153">
        <f t="shared" si="7"/>
        <v>572904000</v>
      </c>
      <c r="S428" s="154"/>
      <c r="T428" s="155" t="s">
        <v>1519</v>
      </c>
      <c r="U428" s="156"/>
      <c r="V428" s="89"/>
      <c r="W428" s="90" t="s">
        <v>1520</v>
      </c>
      <c r="X428" s="81"/>
      <c r="Y428" s="81"/>
      <c r="Z428" s="81"/>
      <c r="AA428" s="81"/>
      <c r="AB428" s="81"/>
      <c r="AC428" s="81"/>
      <c r="AD428" s="81"/>
      <c r="AE428" s="81"/>
    </row>
    <row r="429" spans="1:31" s="1" customFormat="1" ht="15.75">
      <c r="A429" s="147">
        <v>428</v>
      </c>
      <c r="B429" s="148">
        <v>109</v>
      </c>
      <c r="C429" s="149" t="s">
        <v>178</v>
      </c>
      <c r="D429" s="149" t="s">
        <v>117</v>
      </c>
      <c r="E429" s="166" t="s">
        <v>1521</v>
      </c>
      <c r="F429" s="166"/>
      <c r="G429" s="166"/>
      <c r="H429" s="149">
        <v>300</v>
      </c>
      <c r="I429" s="149">
        <v>8</v>
      </c>
      <c r="J429" s="152">
        <v>12</v>
      </c>
      <c r="K429" s="149">
        <v>2</v>
      </c>
      <c r="L429" s="149">
        <v>15</v>
      </c>
      <c r="M429" s="149">
        <v>0</v>
      </c>
      <c r="N429" s="149">
        <v>0</v>
      </c>
      <c r="O429" s="153">
        <v>14400000</v>
      </c>
      <c r="P429" s="153">
        <v>64210000</v>
      </c>
      <c r="Q429" s="153">
        <v>0</v>
      </c>
      <c r="R429" s="153">
        <f t="shared" si="7"/>
        <v>78610000</v>
      </c>
      <c r="S429" s="154"/>
      <c r="T429" s="155" t="s">
        <v>1522</v>
      </c>
      <c r="U429" s="156"/>
      <c r="V429" s="89"/>
      <c r="W429" s="90" t="s">
        <v>1523</v>
      </c>
      <c r="X429" s="81"/>
      <c r="Y429" s="81"/>
      <c r="Z429" s="81"/>
      <c r="AA429" s="81"/>
      <c r="AB429" s="81"/>
      <c r="AC429" s="81"/>
      <c r="AD429" s="81"/>
      <c r="AE429" s="81"/>
    </row>
    <row r="430" spans="1:31" s="1" customFormat="1" ht="15.75">
      <c r="A430" s="147">
        <v>429</v>
      </c>
      <c r="B430" s="148">
        <v>109</v>
      </c>
      <c r="C430" s="149" t="s">
        <v>178</v>
      </c>
      <c r="D430" s="149" t="s">
        <v>117</v>
      </c>
      <c r="E430" s="166" t="s">
        <v>1524</v>
      </c>
      <c r="F430" s="166"/>
      <c r="G430" s="166"/>
      <c r="H430" s="149">
        <v>380</v>
      </c>
      <c r="I430" s="149" t="s">
        <v>1525</v>
      </c>
      <c r="J430" s="152">
        <v>12</v>
      </c>
      <c r="K430" s="149">
        <v>2</v>
      </c>
      <c r="L430" s="149">
        <v>14</v>
      </c>
      <c r="M430" s="149">
        <v>1</v>
      </c>
      <c r="N430" s="149">
        <v>3</v>
      </c>
      <c r="O430" s="153">
        <v>18240000</v>
      </c>
      <c r="P430" s="153">
        <v>37018080</v>
      </c>
      <c r="Q430" s="153">
        <v>9799929</v>
      </c>
      <c r="R430" s="153">
        <f t="shared" si="7"/>
        <v>65058009</v>
      </c>
      <c r="S430" s="154"/>
      <c r="T430" s="155" t="s">
        <v>1526</v>
      </c>
      <c r="U430" s="156"/>
      <c r="V430" s="89"/>
      <c r="W430" s="90" t="s">
        <v>1293</v>
      </c>
      <c r="X430" s="81"/>
      <c r="Y430" s="81"/>
      <c r="Z430" s="81"/>
      <c r="AA430" s="81"/>
      <c r="AB430" s="81"/>
      <c r="AC430" s="81"/>
      <c r="AD430" s="81"/>
      <c r="AE430" s="81"/>
    </row>
    <row r="431" spans="1:31" s="1" customFormat="1" ht="15.75">
      <c r="A431" s="147">
        <v>430</v>
      </c>
      <c r="B431" s="148">
        <v>109</v>
      </c>
      <c r="C431" s="149" t="s">
        <v>178</v>
      </c>
      <c r="D431" s="149" t="s">
        <v>133</v>
      </c>
      <c r="E431" s="166" t="s">
        <v>1527</v>
      </c>
      <c r="F431" s="166"/>
      <c r="G431" s="166"/>
      <c r="H431" s="149">
        <v>180</v>
      </c>
      <c r="I431" s="149">
        <v>6</v>
      </c>
      <c r="J431" s="152">
        <v>8</v>
      </c>
      <c r="K431" s="149">
        <v>16</v>
      </c>
      <c r="L431" s="149">
        <v>0</v>
      </c>
      <c r="M431" s="149">
        <v>0</v>
      </c>
      <c r="N431" s="149">
        <v>0</v>
      </c>
      <c r="O431" s="153">
        <v>30090000</v>
      </c>
      <c r="P431" s="153">
        <v>0</v>
      </c>
      <c r="Q431" s="153">
        <v>0</v>
      </c>
      <c r="R431" s="153">
        <f t="shared" si="7"/>
        <v>30090000</v>
      </c>
      <c r="S431" s="154"/>
      <c r="T431" s="155" t="s">
        <v>1446</v>
      </c>
      <c r="U431" s="156"/>
      <c r="V431" s="89"/>
      <c r="W431" s="90" t="s">
        <v>1301</v>
      </c>
      <c r="X431" s="81"/>
      <c r="Y431" s="81"/>
      <c r="Z431" s="81"/>
      <c r="AA431" s="81"/>
      <c r="AB431" s="81"/>
      <c r="AC431" s="81"/>
      <c r="AD431" s="81"/>
      <c r="AE431" s="81"/>
    </row>
    <row r="432" spans="1:31" s="1" customFormat="1" ht="15.75">
      <c r="A432" s="147">
        <v>431</v>
      </c>
      <c r="B432" s="148">
        <v>109</v>
      </c>
      <c r="C432" s="149" t="s">
        <v>178</v>
      </c>
      <c r="D432" s="149" t="s">
        <v>137</v>
      </c>
      <c r="E432" s="166" t="s">
        <v>1528</v>
      </c>
      <c r="F432" s="166"/>
      <c r="G432" s="166"/>
      <c r="H432" s="149" t="s">
        <v>1529</v>
      </c>
      <c r="I432" s="149" t="s">
        <v>1530</v>
      </c>
      <c r="J432" s="152" t="s">
        <v>1531</v>
      </c>
      <c r="K432" s="149">
        <v>0</v>
      </c>
      <c r="L432" s="149">
        <v>7</v>
      </c>
      <c r="M432" s="149">
        <v>1</v>
      </c>
      <c r="N432" s="149">
        <v>0</v>
      </c>
      <c r="O432" s="153">
        <v>10600000</v>
      </c>
      <c r="P432" s="153">
        <v>45630000</v>
      </c>
      <c r="Q432" s="153">
        <v>3600000</v>
      </c>
      <c r="R432" s="153">
        <f t="shared" si="7"/>
        <v>59830000</v>
      </c>
      <c r="S432" s="154"/>
      <c r="T432" s="155" t="s">
        <v>1532</v>
      </c>
      <c r="U432" s="156"/>
      <c r="V432" s="89"/>
      <c r="W432" s="90" t="s">
        <v>918</v>
      </c>
      <c r="X432" s="81"/>
      <c r="Y432" s="81"/>
      <c r="Z432" s="81"/>
      <c r="AA432" s="81"/>
      <c r="AB432" s="81"/>
      <c r="AC432" s="81"/>
      <c r="AD432" s="81"/>
      <c r="AE432" s="81"/>
    </row>
    <row r="433" spans="1:31" s="1" customFormat="1" ht="15.75">
      <c r="A433" s="147">
        <v>432</v>
      </c>
      <c r="B433" s="148">
        <v>109</v>
      </c>
      <c r="C433" s="149" t="s">
        <v>178</v>
      </c>
      <c r="D433" s="149" t="s">
        <v>160</v>
      </c>
      <c r="E433" s="166" t="s">
        <v>1533</v>
      </c>
      <c r="F433" s="166"/>
      <c r="G433" s="166"/>
      <c r="H433" s="149">
        <v>3950</v>
      </c>
      <c r="I433" s="149" t="s">
        <v>728</v>
      </c>
      <c r="J433" s="152">
        <v>8</v>
      </c>
      <c r="K433" s="149">
        <v>90</v>
      </c>
      <c r="L433" s="149">
        <v>204</v>
      </c>
      <c r="M433" s="149">
        <v>5</v>
      </c>
      <c r="N433" s="149">
        <v>9</v>
      </c>
      <c r="O433" s="153">
        <v>252800000</v>
      </c>
      <c r="P433" s="153">
        <v>281100919</v>
      </c>
      <c r="Q433" s="153">
        <v>3106206</v>
      </c>
      <c r="R433" s="153">
        <f t="shared" si="7"/>
        <v>537007125</v>
      </c>
      <c r="S433" s="154"/>
      <c r="T433" s="155" t="s">
        <v>1534</v>
      </c>
      <c r="U433" s="156"/>
      <c r="V433" s="89"/>
      <c r="W433" s="90" t="s">
        <v>1535</v>
      </c>
      <c r="X433" s="81"/>
      <c r="Y433" s="81"/>
      <c r="Z433" s="81"/>
      <c r="AA433" s="81"/>
      <c r="AB433" s="81"/>
      <c r="AC433" s="81"/>
      <c r="AD433" s="81"/>
      <c r="AE433" s="81"/>
    </row>
    <row r="434" spans="1:31" s="1" customFormat="1" ht="15.75">
      <c r="A434" s="147">
        <v>433</v>
      </c>
      <c r="B434" s="148">
        <v>109</v>
      </c>
      <c r="C434" s="149" t="s">
        <v>178</v>
      </c>
      <c r="D434" s="149" t="s">
        <v>160</v>
      </c>
      <c r="E434" s="166" t="s">
        <v>1536</v>
      </c>
      <c r="F434" s="166"/>
      <c r="G434" s="166"/>
      <c r="H434" s="149">
        <v>2080</v>
      </c>
      <c r="I434" s="149" t="s">
        <v>140</v>
      </c>
      <c r="J434" s="152">
        <v>12</v>
      </c>
      <c r="K434" s="149">
        <v>43</v>
      </c>
      <c r="L434" s="149">
        <v>284</v>
      </c>
      <c r="M434" s="149">
        <v>152</v>
      </c>
      <c r="N434" s="149">
        <v>7</v>
      </c>
      <c r="O434" s="153">
        <v>99840000</v>
      </c>
      <c r="P434" s="153">
        <v>720120000</v>
      </c>
      <c r="Q434" s="153">
        <v>116230800</v>
      </c>
      <c r="R434" s="153">
        <f t="shared" si="7"/>
        <v>936190800</v>
      </c>
      <c r="S434" s="154"/>
      <c r="T434" s="155" t="s">
        <v>1537</v>
      </c>
      <c r="U434" s="156"/>
      <c r="V434" s="89"/>
      <c r="W434" s="90" t="s">
        <v>1538</v>
      </c>
      <c r="X434" s="81"/>
      <c r="Y434" s="81"/>
      <c r="Z434" s="81"/>
      <c r="AA434" s="81"/>
      <c r="AB434" s="81"/>
      <c r="AC434" s="81"/>
      <c r="AD434" s="81"/>
      <c r="AE434" s="81"/>
    </row>
    <row r="435" spans="1:31" s="1" customFormat="1" ht="15.75">
      <c r="A435" s="147">
        <v>434</v>
      </c>
      <c r="B435" s="148">
        <v>109</v>
      </c>
      <c r="C435" s="149" t="s">
        <v>178</v>
      </c>
      <c r="D435" s="149" t="s">
        <v>160</v>
      </c>
      <c r="E435" s="166" t="s">
        <v>1539</v>
      </c>
      <c r="F435" s="166"/>
      <c r="G435" s="166"/>
      <c r="H435" s="149">
        <v>930</v>
      </c>
      <c r="I435" s="149" t="s">
        <v>42</v>
      </c>
      <c r="J435" s="152">
        <v>8</v>
      </c>
      <c r="K435" s="149">
        <v>17</v>
      </c>
      <c r="L435" s="149">
        <v>54</v>
      </c>
      <c r="M435" s="149">
        <v>0</v>
      </c>
      <c r="N435" s="149">
        <v>0</v>
      </c>
      <c r="O435" s="153">
        <v>74400000</v>
      </c>
      <c r="P435" s="153">
        <v>68743416</v>
      </c>
      <c r="Q435" s="153">
        <v>0</v>
      </c>
      <c r="R435" s="153">
        <f t="shared" si="7"/>
        <v>143143416</v>
      </c>
      <c r="S435" s="154"/>
      <c r="T435" s="155" t="s">
        <v>1540</v>
      </c>
      <c r="U435" s="156"/>
      <c r="V435" s="89"/>
      <c r="W435" s="90" t="s">
        <v>1541</v>
      </c>
      <c r="X435" s="81"/>
      <c r="Y435" s="81"/>
      <c r="Z435" s="81"/>
      <c r="AA435" s="81"/>
      <c r="AB435" s="81"/>
      <c r="AC435" s="81"/>
      <c r="AD435" s="81"/>
      <c r="AE435" s="81"/>
    </row>
    <row r="436" spans="1:31" s="1" customFormat="1" ht="15.75">
      <c r="A436" s="147">
        <v>435</v>
      </c>
      <c r="B436" s="148">
        <v>109</v>
      </c>
      <c r="C436" s="149" t="s">
        <v>178</v>
      </c>
      <c r="D436" s="149" t="s">
        <v>160</v>
      </c>
      <c r="E436" s="166" t="s">
        <v>1542</v>
      </c>
      <c r="F436" s="166"/>
      <c r="G436" s="166"/>
      <c r="H436" s="149">
        <v>1588</v>
      </c>
      <c r="I436" s="149" t="s">
        <v>51</v>
      </c>
      <c r="J436" s="152">
        <v>12</v>
      </c>
      <c r="K436" s="149">
        <v>27</v>
      </c>
      <c r="L436" s="149">
        <v>70</v>
      </c>
      <c r="M436" s="149">
        <v>0</v>
      </c>
      <c r="N436" s="149">
        <v>8</v>
      </c>
      <c r="O436" s="153">
        <v>76224000</v>
      </c>
      <c r="P436" s="153">
        <v>147700280</v>
      </c>
      <c r="Q436" s="153">
        <v>5563080</v>
      </c>
      <c r="R436" s="153">
        <f t="shared" si="7"/>
        <v>229487360</v>
      </c>
      <c r="S436" s="154"/>
      <c r="T436" s="155" t="s">
        <v>1543</v>
      </c>
      <c r="U436" s="156"/>
      <c r="V436" s="89"/>
      <c r="W436" s="90" t="s">
        <v>905</v>
      </c>
      <c r="X436" s="81"/>
      <c r="Y436" s="81"/>
      <c r="Z436" s="81"/>
      <c r="AA436" s="81"/>
      <c r="AB436" s="81"/>
      <c r="AC436" s="81"/>
      <c r="AD436" s="81"/>
      <c r="AE436" s="81"/>
    </row>
    <row r="437" spans="1:31" s="1" customFormat="1" ht="15.75">
      <c r="A437" s="147">
        <v>436</v>
      </c>
      <c r="B437" s="148">
        <v>109</v>
      </c>
      <c r="C437" s="149" t="s">
        <v>178</v>
      </c>
      <c r="D437" s="149" t="s">
        <v>160</v>
      </c>
      <c r="E437" s="166" t="s">
        <v>1544</v>
      </c>
      <c r="F437" s="166"/>
      <c r="G437" s="166"/>
      <c r="H437" s="149">
        <v>555</v>
      </c>
      <c r="I437" s="149" t="s">
        <v>543</v>
      </c>
      <c r="J437" s="152">
        <v>8</v>
      </c>
      <c r="K437" s="149">
        <v>14</v>
      </c>
      <c r="L437" s="149">
        <v>103</v>
      </c>
      <c r="M437" s="149">
        <v>0</v>
      </c>
      <c r="N437" s="149">
        <v>19</v>
      </c>
      <c r="O437" s="153">
        <v>35520000</v>
      </c>
      <c r="P437" s="153">
        <v>27890237</v>
      </c>
      <c r="Q437" s="153">
        <v>5793480</v>
      </c>
      <c r="R437" s="153">
        <f t="shared" si="7"/>
        <v>69203717</v>
      </c>
      <c r="S437" s="154"/>
      <c r="T437" s="155" t="s">
        <v>1543</v>
      </c>
      <c r="U437" s="156"/>
      <c r="V437" s="89"/>
      <c r="W437" s="90" t="s">
        <v>905</v>
      </c>
      <c r="X437" s="81"/>
      <c r="Y437" s="81"/>
      <c r="Z437" s="81"/>
      <c r="AA437" s="81"/>
      <c r="AB437" s="81"/>
      <c r="AC437" s="81"/>
      <c r="AD437" s="81"/>
      <c r="AE437" s="81"/>
    </row>
    <row r="438" spans="1:31" s="1" customFormat="1" ht="15.75">
      <c r="A438" s="147">
        <v>437</v>
      </c>
      <c r="B438" s="148">
        <v>109</v>
      </c>
      <c r="C438" s="149" t="s">
        <v>178</v>
      </c>
      <c r="D438" s="149" t="s">
        <v>171</v>
      </c>
      <c r="E438" s="166" t="s">
        <v>1545</v>
      </c>
      <c r="F438" s="166"/>
      <c r="G438" s="166"/>
      <c r="H438" s="149">
        <v>2930</v>
      </c>
      <c r="I438" s="149">
        <v>10</v>
      </c>
      <c r="J438" s="152">
        <v>15</v>
      </c>
      <c r="K438" s="149">
        <v>35</v>
      </c>
      <c r="L438" s="149">
        <v>45</v>
      </c>
      <c r="M438" s="149">
        <v>54</v>
      </c>
      <c r="N438" s="149">
        <v>3</v>
      </c>
      <c r="O438" s="153">
        <v>351600000</v>
      </c>
      <c r="P438" s="153">
        <v>168491400</v>
      </c>
      <c r="Q438" s="153">
        <v>215000000</v>
      </c>
      <c r="R438" s="153">
        <v>735091400</v>
      </c>
      <c r="S438" s="154"/>
      <c r="T438" s="155" t="s">
        <v>1546</v>
      </c>
      <c r="U438" s="156"/>
      <c r="V438" s="89"/>
      <c r="W438" s="90" t="s">
        <v>1547</v>
      </c>
      <c r="X438" s="81"/>
      <c r="Y438" s="81"/>
      <c r="Z438" s="81"/>
      <c r="AA438" s="81"/>
      <c r="AB438" s="81"/>
      <c r="AC438" s="81"/>
      <c r="AD438" s="81"/>
      <c r="AE438" s="81"/>
    </row>
    <row r="439" spans="1:31" s="1" customFormat="1" ht="15.75">
      <c r="A439" s="147">
        <v>438</v>
      </c>
      <c r="B439" s="148">
        <v>109</v>
      </c>
      <c r="C439" s="149" t="s">
        <v>178</v>
      </c>
      <c r="D439" s="149" t="s">
        <v>173</v>
      </c>
      <c r="E439" s="166" t="s">
        <v>1548</v>
      </c>
      <c r="F439" s="166"/>
      <c r="G439" s="166"/>
      <c r="H439" s="149">
        <v>580</v>
      </c>
      <c r="I439" s="149" t="s">
        <v>1549</v>
      </c>
      <c r="J439" s="152">
        <v>12</v>
      </c>
      <c r="K439" s="149">
        <v>12</v>
      </c>
      <c r="L439" s="149">
        <v>34</v>
      </c>
      <c r="M439" s="149">
        <v>2</v>
      </c>
      <c r="N439" s="149">
        <v>11</v>
      </c>
      <c r="O439" s="153">
        <v>55680000</v>
      </c>
      <c r="P439" s="153">
        <v>111860000</v>
      </c>
      <c r="Q439" s="153">
        <v>6730000</v>
      </c>
      <c r="R439" s="153">
        <f>SUM(O439:Q439)</f>
        <v>174270000</v>
      </c>
      <c r="S439" s="154"/>
      <c r="T439" s="155" t="s">
        <v>1550</v>
      </c>
      <c r="U439" s="156"/>
      <c r="V439" s="89"/>
      <c r="W439" s="90" t="s">
        <v>1551</v>
      </c>
      <c r="X439" s="81"/>
      <c r="Y439" s="81"/>
      <c r="Z439" s="81"/>
      <c r="AA439" s="81"/>
      <c r="AB439" s="81"/>
      <c r="AC439" s="81"/>
      <c r="AD439" s="81"/>
      <c r="AE439" s="81"/>
    </row>
    <row r="440" spans="1:31" s="1" customFormat="1" ht="15.75">
      <c r="A440" s="147">
        <v>439</v>
      </c>
      <c r="B440" s="148">
        <v>109</v>
      </c>
      <c r="C440" s="149" t="s">
        <v>178</v>
      </c>
      <c r="D440" s="149" t="s">
        <v>171</v>
      </c>
      <c r="E440" s="166" t="s">
        <v>1552</v>
      </c>
      <c r="F440" s="166"/>
      <c r="G440" s="166"/>
      <c r="H440" s="149">
        <v>280</v>
      </c>
      <c r="I440" s="149">
        <v>15</v>
      </c>
      <c r="J440" s="152">
        <v>20</v>
      </c>
      <c r="K440" s="149">
        <v>61</v>
      </c>
      <c r="L440" s="149">
        <v>1</v>
      </c>
      <c r="M440" s="149">
        <v>33</v>
      </c>
      <c r="N440" s="149">
        <v>3</v>
      </c>
      <c r="O440" s="153">
        <v>33600000</v>
      </c>
      <c r="P440" s="153">
        <v>150480</v>
      </c>
      <c r="Q440" s="153">
        <v>34239000</v>
      </c>
      <c r="R440" s="153">
        <f>SUM(O440:Q440)</f>
        <v>67989480</v>
      </c>
      <c r="S440" s="154"/>
      <c r="T440" s="155" t="s">
        <v>1546</v>
      </c>
      <c r="U440" s="156"/>
      <c r="V440" s="89"/>
      <c r="W440" s="90" t="s">
        <v>1553</v>
      </c>
      <c r="X440" s="81"/>
      <c r="Y440" s="81"/>
      <c r="Z440" s="81"/>
      <c r="AA440" s="81"/>
      <c r="AB440" s="81"/>
      <c r="AC440" s="81"/>
      <c r="AD440" s="81"/>
      <c r="AE440" s="81"/>
    </row>
    <row r="441" spans="1:31" s="1" customFormat="1" ht="15.75">
      <c r="A441" s="147">
        <v>440</v>
      </c>
      <c r="B441" s="148">
        <v>109</v>
      </c>
      <c r="C441" s="149" t="s">
        <v>178</v>
      </c>
      <c r="D441" s="149" t="s">
        <v>56</v>
      </c>
      <c r="E441" s="166" t="s">
        <v>1554</v>
      </c>
      <c r="F441" s="166"/>
      <c r="G441" s="166"/>
      <c r="H441" s="149">
        <v>270</v>
      </c>
      <c r="I441" s="149" t="s">
        <v>1555</v>
      </c>
      <c r="J441" s="152">
        <v>8</v>
      </c>
      <c r="K441" s="149">
        <v>8</v>
      </c>
      <c r="L441" s="149">
        <v>7</v>
      </c>
      <c r="M441" s="149">
        <v>0</v>
      </c>
      <c r="N441" s="149">
        <v>13</v>
      </c>
      <c r="O441" s="153">
        <v>8000000</v>
      </c>
      <c r="P441" s="153">
        <v>82930800</v>
      </c>
      <c r="Q441" s="153">
        <v>3151200</v>
      </c>
      <c r="R441" s="153">
        <f>SUM(O441:Q441)</f>
        <v>94082000</v>
      </c>
      <c r="S441" s="154"/>
      <c r="T441" s="155" t="s">
        <v>1491</v>
      </c>
      <c r="U441" s="156"/>
      <c r="V441" s="89"/>
      <c r="W441" s="90" t="s">
        <v>70</v>
      </c>
      <c r="X441" s="81"/>
      <c r="Y441" s="81"/>
      <c r="Z441" s="81"/>
      <c r="AA441" s="81"/>
      <c r="AB441" s="81"/>
      <c r="AC441" s="81"/>
      <c r="AD441" s="81"/>
      <c r="AE441" s="81"/>
    </row>
    <row r="442" spans="1:31" s="1" customFormat="1" ht="15.75">
      <c r="A442" s="147">
        <v>441</v>
      </c>
      <c r="B442" s="148">
        <v>109</v>
      </c>
      <c r="C442" s="149" t="s">
        <v>178</v>
      </c>
      <c r="D442" s="149" t="s">
        <v>137</v>
      </c>
      <c r="E442" s="166" t="s">
        <v>1556</v>
      </c>
      <c r="F442" s="166"/>
      <c r="G442" s="166"/>
      <c r="H442" s="149">
        <v>725</v>
      </c>
      <c r="I442" s="149" t="s">
        <v>1557</v>
      </c>
      <c r="J442" s="152">
        <v>25</v>
      </c>
      <c r="K442" s="149">
        <v>38</v>
      </c>
      <c r="L442" s="149">
        <v>3</v>
      </c>
      <c r="M442" s="149">
        <v>0</v>
      </c>
      <c r="N442" s="149">
        <v>0</v>
      </c>
      <c r="O442" s="153">
        <v>145000000</v>
      </c>
      <c r="P442" s="153">
        <v>0</v>
      </c>
      <c r="Q442" s="153">
        <v>0</v>
      </c>
      <c r="R442" s="153">
        <f>SUM(O442:Q442)</f>
        <v>145000000</v>
      </c>
      <c r="S442" s="154"/>
      <c r="T442" s="155" t="s">
        <v>1459</v>
      </c>
      <c r="U442" s="156"/>
      <c r="V442" s="89"/>
      <c r="W442" s="90" t="s">
        <v>879</v>
      </c>
      <c r="X442" s="81"/>
      <c r="Y442" s="81"/>
      <c r="Z442" s="81"/>
      <c r="AA442" s="81"/>
      <c r="AB442" s="81"/>
      <c r="AC442" s="81"/>
      <c r="AD442" s="81"/>
      <c r="AE442" s="81"/>
    </row>
    <row r="443" spans="1:31" s="1" customFormat="1" ht="27">
      <c r="A443" s="171">
        <v>442</v>
      </c>
      <c r="B443" s="172">
        <v>110</v>
      </c>
      <c r="C443" s="173" t="s">
        <v>39</v>
      </c>
      <c r="D443" s="173" t="s">
        <v>1558</v>
      </c>
      <c r="E443" s="174" t="s">
        <v>1559</v>
      </c>
      <c r="F443" s="174" t="s">
        <v>1560</v>
      </c>
      <c r="G443" s="174" t="s">
        <v>212</v>
      </c>
      <c r="H443" s="175">
        <v>78</v>
      </c>
      <c r="I443" s="175">
        <v>6</v>
      </c>
      <c r="J443" s="176" t="s">
        <v>1561</v>
      </c>
      <c r="K443" s="173">
        <v>2</v>
      </c>
      <c r="L443" s="173">
        <v>2</v>
      </c>
      <c r="M443" s="173">
        <v>0</v>
      </c>
      <c r="N443" s="173">
        <v>0</v>
      </c>
      <c r="O443" s="177">
        <v>2200000</v>
      </c>
      <c r="P443" s="177">
        <v>600000</v>
      </c>
      <c r="Q443" s="177">
        <v>0</v>
      </c>
      <c r="R443" s="178">
        <f t="shared" ref="R443:R459" si="8">O443+P443+Q443</f>
        <v>2800000</v>
      </c>
      <c r="S443" s="145" t="s">
        <v>1562</v>
      </c>
      <c r="T443" s="179" t="s">
        <v>1563</v>
      </c>
      <c r="U443" s="180" t="s">
        <v>1564</v>
      </c>
      <c r="V443" s="89"/>
      <c r="W443" s="90" t="s">
        <v>813</v>
      </c>
      <c r="X443" s="81"/>
      <c r="Y443" s="81"/>
      <c r="Z443" s="81"/>
      <c r="AA443" s="81"/>
      <c r="AB443" s="81"/>
      <c r="AC443" s="81"/>
      <c r="AD443" s="81"/>
      <c r="AE443" s="81"/>
    </row>
    <row r="444" spans="1:31" s="1" customFormat="1" ht="40.5">
      <c r="A444" s="171">
        <v>443</v>
      </c>
      <c r="B444" s="172">
        <v>110</v>
      </c>
      <c r="C444" s="173" t="s">
        <v>39</v>
      </c>
      <c r="D444" s="173" t="s">
        <v>1565</v>
      </c>
      <c r="E444" s="174" t="s">
        <v>1566</v>
      </c>
      <c r="F444" s="174" t="s">
        <v>1567</v>
      </c>
      <c r="G444" s="174"/>
      <c r="H444" s="175">
        <v>45</v>
      </c>
      <c r="I444" s="175">
        <v>8</v>
      </c>
      <c r="J444" s="176">
        <v>10</v>
      </c>
      <c r="K444" s="173">
        <v>2</v>
      </c>
      <c r="L444" s="173">
        <v>0</v>
      </c>
      <c r="M444" s="173">
        <v>1</v>
      </c>
      <c r="N444" s="173">
        <v>0</v>
      </c>
      <c r="O444" s="177">
        <v>2000000</v>
      </c>
      <c r="P444" s="177">
        <v>0</v>
      </c>
      <c r="Q444" s="177">
        <v>837906</v>
      </c>
      <c r="R444" s="178">
        <f t="shared" si="8"/>
        <v>2837906</v>
      </c>
      <c r="S444" s="145" t="s">
        <v>1562</v>
      </c>
      <c r="T444" s="179" t="s">
        <v>1568</v>
      </c>
      <c r="U444" s="180" t="s">
        <v>1569</v>
      </c>
      <c r="V444" s="89"/>
      <c r="W444" s="90" t="s">
        <v>1570</v>
      </c>
      <c r="X444" s="81"/>
      <c r="Y444" s="81"/>
      <c r="Z444" s="81"/>
      <c r="AA444" s="81"/>
      <c r="AB444" s="81"/>
      <c r="AC444" s="81"/>
      <c r="AD444" s="81"/>
      <c r="AE444" s="81"/>
    </row>
    <row r="445" spans="1:31" s="1" customFormat="1" ht="40.5">
      <c r="A445" s="171">
        <v>444</v>
      </c>
      <c r="B445" s="172">
        <v>110</v>
      </c>
      <c r="C445" s="173" t="s">
        <v>39</v>
      </c>
      <c r="D445" s="173" t="s">
        <v>1571</v>
      </c>
      <c r="E445" s="174" t="s">
        <v>1572</v>
      </c>
      <c r="F445" s="174" t="s">
        <v>1178</v>
      </c>
      <c r="G445" s="174" t="s">
        <v>1179</v>
      </c>
      <c r="H445" s="175">
        <v>135</v>
      </c>
      <c r="I445" s="175" t="s">
        <v>254</v>
      </c>
      <c r="J445" s="176">
        <v>8</v>
      </c>
      <c r="K445" s="173">
        <v>1</v>
      </c>
      <c r="L445" s="173">
        <v>11</v>
      </c>
      <c r="M445" s="173">
        <v>3</v>
      </c>
      <c r="N445" s="173">
        <v>6</v>
      </c>
      <c r="O445" s="177">
        <v>2746800</v>
      </c>
      <c r="P445" s="177">
        <v>3439120</v>
      </c>
      <c r="Q445" s="177">
        <v>20325240</v>
      </c>
      <c r="R445" s="178">
        <f t="shared" si="8"/>
        <v>26511160</v>
      </c>
      <c r="S445" s="145" t="s">
        <v>1573</v>
      </c>
      <c r="T445" s="179" t="s">
        <v>1574</v>
      </c>
      <c r="U445" s="180" t="s">
        <v>1181</v>
      </c>
      <c r="V445" s="89"/>
      <c r="W445" s="90" t="s">
        <v>1575</v>
      </c>
      <c r="X445" s="81"/>
      <c r="Y445" s="81"/>
      <c r="Z445" s="81"/>
      <c r="AA445" s="81"/>
      <c r="AB445" s="81"/>
      <c r="AC445" s="81"/>
      <c r="AD445" s="81"/>
      <c r="AE445" s="81"/>
    </row>
    <row r="446" spans="1:31" s="1" customFormat="1" ht="67.5">
      <c r="A446" s="171">
        <v>445</v>
      </c>
      <c r="B446" s="172">
        <v>110</v>
      </c>
      <c r="C446" s="173" t="s">
        <v>39</v>
      </c>
      <c r="D446" s="173" t="s">
        <v>1576</v>
      </c>
      <c r="E446" s="174" t="s">
        <v>1577</v>
      </c>
      <c r="F446" s="174" t="s">
        <v>392</v>
      </c>
      <c r="G446" s="174" t="s">
        <v>1578</v>
      </c>
      <c r="H446" s="175">
        <v>200</v>
      </c>
      <c r="I446" s="175">
        <v>6</v>
      </c>
      <c r="J446" s="176">
        <v>15</v>
      </c>
      <c r="K446" s="173">
        <v>5</v>
      </c>
      <c r="L446" s="173">
        <v>1</v>
      </c>
      <c r="M446" s="173">
        <v>0</v>
      </c>
      <c r="N446" s="173">
        <v>0</v>
      </c>
      <c r="O446" s="177">
        <v>24000000</v>
      </c>
      <c r="P446" s="177">
        <f>7.5*180*29300*1.2</f>
        <v>47466000</v>
      </c>
      <c r="Q446" s="177">
        <v>0</v>
      </c>
      <c r="R446" s="178">
        <f t="shared" si="8"/>
        <v>71466000</v>
      </c>
      <c r="S446" s="145" t="s">
        <v>1579</v>
      </c>
      <c r="T446" s="179" t="s">
        <v>1580</v>
      </c>
      <c r="U446" s="180"/>
      <c r="V446" s="89"/>
      <c r="W446" s="90" t="s">
        <v>1581</v>
      </c>
      <c r="X446" s="81"/>
      <c r="Y446" s="81"/>
      <c r="Z446" s="81"/>
      <c r="AA446" s="81"/>
      <c r="AB446" s="81"/>
      <c r="AC446" s="81"/>
      <c r="AD446" s="81"/>
      <c r="AE446" s="81"/>
    </row>
    <row r="447" spans="1:31" s="1" customFormat="1" ht="40.5">
      <c r="A447" s="171">
        <v>446</v>
      </c>
      <c r="B447" s="172">
        <v>110</v>
      </c>
      <c r="C447" s="173" t="s">
        <v>39</v>
      </c>
      <c r="D447" s="173" t="s">
        <v>1576</v>
      </c>
      <c r="E447" s="174" t="s">
        <v>1582</v>
      </c>
      <c r="F447" s="174" t="s">
        <v>1219</v>
      </c>
      <c r="G447" s="174" t="s">
        <v>1220</v>
      </c>
      <c r="H447" s="175">
        <v>42</v>
      </c>
      <c r="I447" s="175" t="s">
        <v>1583</v>
      </c>
      <c r="J447" s="176">
        <v>10</v>
      </c>
      <c r="K447" s="173">
        <v>1</v>
      </c>
      <c r="L447" s="173">
        <v>9</v>
      </c>
      <c r="M447" s="173">
        <v>0</v>
      </c>
      <c r="N447" s="173">
        <v>0</v>
      </c>
      <c r="O447" s="177">
        <v>2688000</v>
      </c>
      <c r="P447" s="177">
        <v>10012800</v>
      </c>
      <c r="Q447" s="177">
        <v>0</v>
      </c>
      <c r="R447" s="178">
        <f t="shared" si="8"/>
        <v>12700800</v>
      </c>
      <c r="S447" s="145" t="s">
        <v>1562</v>
      </c>
      <c r="T447" s="179" t="s">
        <v>1584</v>
      </c>
      <c r="U447" s="180" t="s">
        <v>1396</v>
      </c>
      <c r="V447" s="89"/>
      <c r="W447" s="90" t="s">
        <v>1585</v>
      </c>
      <c r="X447" s="81"/>
      <c r="Y447" s="81"/>
      <c r="Z447" s="81"/>
      <c r="AA447" s="81"/>
      <c r="AB447" s="81"/>
      <c r="AC447" s="81"/>
      <c r="AD447" s="81"/>
      <c r="AE447" s="81"/>
    </row>
    <row r="448" spans="1:31" s="1" customFormat="1" ht="40.5">
      <c r="A448" s="171">
        <v>447</v>
      </c>
      <c r="B448" s="172">
        <v>110</v>
      </c>
      <c r="C448" s="173" t="s">
        <v>39</v>
      </c>
      <c r="D448" s="173" t="s">
        <v>1576</v>
      </c>
      <c r="E448" s="174" t="s">
        <v>1586</v>
      </c>
      <c r="F448" s="174" t="s">
        <v>1040</v>
      </c>
      <c r="G448" s="174" t="s">
        <v>1587</v>
      </c>
      <c r="H448" s="175">
        <v>135</v>
      </c>
      <c r="I448" s="175" t="s">
        <v>1588</v>
      </c>
      <c r="J448" s="176">
        <v>15</v>
      </c>
      <c r="K448" s="173">
        <v>4</v>
      </c>
      <c r="L448" s="173">
        <v>15</v>
      </c>
      <c r="M448" s="173">
        <v>0</v>
      </c>
      <c r="N448" s="173">
        <v>2</v>
      </c>
      <c r="O448" s="177">
        <v>8100000</v>
      </c>
      <c r="P448" s="177">
        <v>16263724</v>
      </c>
      <c r="Q448" s="177">
        <v>2400000</v>
      </c>
      <c r="R448" s="178">
        <f t="shared" si="8"/>
        <v>26763724</v>
      </c>
      <c r="S448" s="145" t="s">
        <v>1573</v>
      </c>
      <c r="T448" s="179" t="s">
        <v>1589</v>
      </c>
      <c r="U448" s="180"/>
      <c r="V448" s="89"/>
      <c r="W448" s="90" t="s">
        <v>1024</v>
      </c>
      <c r="X448" s="81"/>
      <c r="Y448" s="81"/>
      <c r="Z448" s="81"/>
      <c r="AA448" s="81"/>
      <c r="AB448" s="81"/>
      <c r="AC448" s="81"/>
      <c r="AD448" s="81"/>
      <c r="AE448" s="81"/>
    </row>
    <row r="449" spans="1:31" s="1" customFormat="1" ht="54">
      <c r="A449" s="171">
        <v>448</v>
      </c>
      <c r="B449" s="172">
        <v>110</v>
      </c>
      <c r="C449" s="173" t="s">
        <v>39</v>
      </c>
      <c r="D449" s="173" t="s">
        <v>1590</v>
      </c>
      <c r="E449" s="174" t="s">
        <v>1591</v>
      </c>
      <c r="F449" s="174" t="s">
        <v>1289</v>
      </c>
      <c r="G449" s="174" t="s">
        <v>1442</v>
      </c>
      <c r="H449" s="175">
        <v>34</v>
      </c>
      <c r="I449" s="175">
        <v>4</v>
      </c>
      <c r="J449" s="176">
        <v>8</v>
      </c>
      <c r="K449" s="173">
        <v>7</v>
      </c>
      <c r="L449" s="173">
        <v>4</v>
      </c>
      <c r="M449" s="173">
        <v>1</v>
      </c>
      <c r="N449" s="173">
        <v>0</v>
      </c>
      <c r="O449" s="177">
        <v>2176000</v>
      </c>
      <c r="P449" s="177">
        <v>4204800</v>
      </c>
      <c r="Q449" s="177">
        <v>400000</v>
      </c>
      <c r="R449" s="178">
        <f t="shared" si="8"/>
        <v>6780800</v>
      </c>
      <c r="S449" s="145" t="s">
        <v>1592</v>
      </c>
      <c r="T449" s="179" t="s">
        <v>1593</v>
      </c>
      <c r="U449" s="180"/>
      <c r="V449" s="89"/>
      <c r="W449" s="90" t="s">
        <v>1594</v>
      </c>
      <c r="X449" s="81"/>
      <c r="Y449" s="81"/>
      <c r="Z449" s="81"/>
      <c r="AA449" s="81"/>
      <c r="AB449" s="81"/>
      <c r="AC449" s="81"/>
      <c r="AD449" s="81"/>
      <c r="AE449" s="81"/>
    </row>
    <row r="450" spans="1:31" s="1" customFormat="1" ht="27">
      <c r="A450" s="171">
        <v>449</v>
      </c>
      <c r="B450" s="172">
        <v>110</v>
      </c>
      <c r="C450" s="173" t="s">
        <v>39</v>
      </c>
      <c r="D450" s="173" t="s">
        <v>1590</v>
      </c>
      <c r="E450" s="174" t="s">
        <v>1595</v>
      </c>
      <c r="F450" s="174" t="s">
        <v>1596</v>
      </c>
      <c r="G450" s="174"/>
      <c r="H450" s="175">
        <v>120</v>
      </c>
      <c r="I450" s="175">
        <v>8</v>
      </c>
      <c r="J450" s="176">
        <v>12</v>
      </c>
      <c r="K450" s="173">
        <v>2</v>
      </c>
      <c r="L450" s="173">
        <v>2</v>
      </c>
      <c r="M450" s="173">
        <v>0</v>
      </c>
      <c r="N450" s="173">
        <v>0</v>
      </c>
      <c r="O450" s="177">
        <v>11520000</v>
      </c>
      <c r="P450" s="177">
        <v>4817088</v>
      </c>
      <c r="Q450" s="177">
        <v>0</v>
      </c>
      <c r="R450" s="178">
        <f t="shared" si="8"/>
        <v>16337088</v>
      </c>
      <c r="S450" s="145" t="s">
        <v>1562</v>
      </c>
      <c r="T450" s="179" t="s">
        <v>1597</v>
      </c>
      <c r="U450" s="180"/>
      <c r="V450" s="89"/>
      <c r="W450" s="90" t="s">
        <v>1293</v>
      </c>
      <c r="X450" s="81"/>
      <c r="Y450" s="81"/>
      <c r="Z450" s="81"/>
      <c r="AA450" s="81"/>
      <c r="AB450" s="81"/>
      <c r="AC450" s="81"/>
      <c r="AD450" s="81"/>
      <c r="AE450" s="81"/>
    </row>
    <row r="451" spans="1:31" s="1" customFormat="1" ht="27">
      <c r="A451" s="171">
        <v>450</v>
      </c>
      <c r="B451" s="181">
        <v>110</v>
      </c>
      <c r="C451" s="182" t="s">
        <v>39</v>
      </c>
      <c r="D451" s="182" t="s">
        <v>1598</v>
      </c>
      <c r="E451" s="174" t="s">
        <v>1599</v>
      </c>
      <c r="F451" s="174" t="s">
        <v>1600</v>
      </c>
      <c r="G451" s="174" t="s">
        <v>1601</v>
      </c>
      <c r="H451" s="175">
        <v>570</v>
      </c>
      <c r="I451" s="175">
        <v>6</v>
      </c>
      <c r="J451" s="176">
        <v>8</v>
      </c>
      <c r="K451" s="173">
        <v>9</v>
      </c>
      <c r="L451" s="173">
        <v>28</v>
      </c>
      <c r="M451" s="173">
        <v>0</v>
      </c>
      <c r="N451" s="173">
        <v>0</v>
      </c>
      <c r="O451" s="177">
        <v>36480000</v>
      </c>
      <c r="P451" s="177">
        <v>21090000</v>
      </c>
      <c r="Q451" s="177">
        <v>0</v>
      </c>
      <c r="R451" s="178">
        <f t="shared" si="8"/>
        <v>57570000</v>
      </c>
      <c r="S451" s="145" t="s">
        <v>1573</v>
      </c>
      <c r="T451" s="378" t="s">
        <v>1602</v>
      </c>
      <c r="U451" s="180"/>
      <c r="V451" s="89"/>
      <c r="W451" s="90" t="s">
        <v>1603</v>
      </c>
      <c r="X451" s="81"/>
      <c r="Y451" s="81"/>
      <c r="Z451" s="81"/>
      <c r="AA451" s="81"/>
      <c r="AB451" s="81"/>
      <c r="AC451" s="81"/>
      <c r="AD451" s="81"/>
      <c r="AE451" s="81"/>
    </row>
    <row r="452" spans="1:31" s="1" customFormat="1" ht="27">
      <c r="A452" s="171">
        <v>451</v>
      </c>
      <c r="B452" s="183"/>
      <c r="C452" s="184"/>
      <c r="D452" s="184"/>
      <c r="E452" s="174" t="s">
        <v>1604</v>
      </c>
      <c r="F452" s="174" t="s">
        <v>1600</v>
      </c>
      <c r="G452" s="174" t="s">
        <v>1605</v>
      </c>
      <c r="H452" s="175">
        <v>160</v>
      </c>
      <c r="I452" s="175">
        <v>6</v>
      </c>
      <c r="J452" s="176">
        <v>8</v>
      </c>
      <c r="K452" s="173">
        <v>3</v>
      </c>
      <c r="L452" s="173">
        <v>6</v>
      </c>
      <c r="M452" s="173">
        <v>0</v>
      </c>
      <c r="N452" s="173">
        <v>0</v>
      </c>
      <c r="O452" s="177">
        <v>3400000</v>
      </c>
      <c r="P452" s="177">
        <v>1410000</v>
      </c>
      <c r="Q452" s="177">
        <v>0</v>
      </c>
      <c r="R452" s="178">
        <f t="shared" si="8"/>
        <v>4810000</v>
      </c>
      <c r="S452" s="145" t="s">
        <v>1562</v>
      </c>
      <c r="T452" s="379"/>
      <c r="U452" s="180"/>
      <c r="V452" s="89"/>
      <c r="W452" s="90" t="s">
        <v>1603</v>
      </c>
      <c r="X452" s="81"/>
      <c r="Y452" s="81"/>
      <c r="Z452" s="81"/>
      <c r="AA452" s="81"/>
      <c r="AB452" s="81"/>
      <c r="AC452" s="81"/>
      <c r="AD452" s="81"/>
      <c r="AE452" s="81"/>
    </row>
    <row r="453" spans="1:31" s="1" customFormat="1" ht="40.5">
      <c r="A453" s="171">
        <v>452</v>
      </c>
      <c r="B453" s="181">
        <v>110</v>
      </c>
      <c r="C453" s="182" t="s">
        <v>39</v>
      </c>
      <c r="D453" s="182" t="s">
        <v>1565</v>
      </c>
      <c r="E453" s="185" t="s">
        <v>1606</v>
      </c>
      <c r="F453" s="185" t="s">
        <v>1607</v>
      </c>
      <c r="G453" s="185" t="s">
        <v>1608</v>
      </c>
      <c r="H453" s="175">
        <v>135</v>
      </c>
      <c r="I453" s="175">
        <v>0</v>
      </c>
      <c r="J453" s="176">
        <v>10</v>
      </c>
      <c r="K453" s="173">
        <v>1</v>
      </c>
      <c r="L453" s="173">
        <v>4</v>
      </c>
      <c r="M453" s="173">
        <v>0</v>
      </c>
      <c r="N453" s="173">
        <v>0</v>
      </c>
      <c r="O453" s="177">
        <v>10800000</v>
      </c>
      <c r="P453" s="177">
        <v>21970000</v>
      </c>
      <c r="Q453" s="177">
        <v>0</v>
      </c>
      <c r="R453" s="178">
        <f t="shared" si="8"/>
        <v>32770000</v>
      </c>
      <c r="S453" s="145" t="s">
        <v>1573</v>
      </c>
      <c r="T453" s="186" t="s">
        <v>1609</v>
      </c>
      <c r="U453" s="180"/>
      <c r="V453" s="89"/>
      <c r="W453" s="90" t="s">
        <v>1610</v>
      </c>
      <c r="X453" s="81"/>
      <c r="Y453" s="81"/>
      <c r="Z453" s="81"/>
      <c r="AA453" s="81"/>
      <c r="AB453" s="81"/>
      <c r="AC453" s="81"/>
      <c r="AD453" s="81"/>
      <c r="AE453" s="81"/>
    </row>
    <row r="454" spans="1:31" s="1" customFormat="1" ht="27">
      <c r="A454" s="171">
        <v>453</v>
      </c>
      <c r="B454" s="183"/>
      <c r="C454" s="184"/>
      <c r="D454" s="184"/>
      <c r="E454" s="187"/>
      <c r="F454" s="187" t="s">
        <v>1607</v>
      </c>
      <c r="G454" s="187" t="s">
        <v>1611</v>
      </c>
      <c r="H454" s="175">
        <v>160</v>
      </c>
      <c r="I454" s="175">
        <v>6</v>
      </c>
      <c r="J454" s="176">
        <v>8</v>
      </c>
      <c r="K454" s="173">
        <v>1</v>
      </c>
      <c r="L454" s="173">
        <v>1</v>
      </c>
      <c r="M454" s="173">
        <v>0</v>
      </c>
      <c r="N454" s="173">
        <v>0</v>
      </c>
      <c r="O454" s="177">
        <v>5200000</v>
      </c>
      <c r="P454" s="177">
        <v>9292422</v>
      </c>
      <c r="Q454" s="177">
        <v>0</v>
      </c>
      <c r="R454" s="178">
        <f t="shared" si="8"/>
        <v>14492422</v>
      </c>
      <c r="S454" s="145" t="s">
        <v>1573</v>
      </c>
      <c r="T454" s="188"/>
      <c r="U454" s="180"/>
      <c r="V454" s="89"/>
      <c r="W454" s="90"/>
      <c r="X454" s="81"/>
      <c r="Y454" s="81"/>
      <c r="Z454" s="81"/>
      <c r="AA454" s="81"/>
      <c r="AB454" s="81"/>
      <c r="AC454" s="81"/>
      <c r="AD454" s="81"/>
      <c r="AE454" s="81"/>
    </row>
    <row r="455" spans="1:31" s="1" customFormat="1" ht="54">
      <c r="A455" s="171">
        <v>454</v>
      </c>
      <c r="B455" s="172">
        <v>110</v>
      </c>
      <c r="C455" s="175" t="s">
        <v>178</v>
      </c>
      <c r="D455" s="175" t="s">
        <v>1571</v>
      </c>
      <c r="E455" s="189" t="s">
        <v>1612</v>
      </c>
      <c r="F455" s="189" t="s">
        <v>1613</v>
      </c>
      <c r="G455" s="189" t="s">
        <v>1614</v>
      </c>
      <c r="H455" s="175">
        <v>283</v>
      </c>
      <c r="I455" s="175">
        <v>5</v>
      </c>
      <c r="J455" s="176">
        <v>8</v>
      </c>
      <c r="K455" s="173">
        <v>1</v>
      </c>
      <c r="L455" s="173">
        <v>9</v>
      </c>
      <c r="M455" s="173">
        <v>3</v>
      </c>
      <c r="N455" s="173">
        <v>1</v>
      </c>
      <c r="O455" s="177">
        <v>11251500</v>
      </c>
      <c r="P455" s="177">
        <v>6595200</v>
      </c>
      <c r="Q455" s="177">
        <v>4000000</v>
      </c>
      <c r="R455" s="178">
        <f t="shared" si="8"/>
        <v>21846700</v>
      </c>
      <c r="S455" s="145" t="s">
        <v>1562</v>
      </c>
      <c r="T455" s="146" t="s">
        <v>1615</v>
      </c>
      <c r="U455" s="190"/>
      <c r="V455" s="89"/>
      <c r="W455" s="90" t="s">
        <v>1616</v>
      </c>
      <c r="X455" s="81"/>
      <c r="Y455" s="81"/>
      <c r="Z455" s="81"/>
      <c r="AA455" s="81"/>
      <c r="AB455" s="81"/>
      <c r="AC455" s="81"/>
      <c r="AD455" s="81"/>
      <c r="AE455" s="81"/>
    </row>
    <row r="456" spans="1:31" s="1" customFormat="1" ht="40.5">
      <c r="A456" s="171">
        <v>455</v>
      </c>
      <c r="B456" s="172">
        <v>110</v>
      </c>
      <c r="C456" s="175" t="s">
        <v>178</v>
      </c>
      <c r="D456" s="175" t="s">
        <v>1576</v>
      </c>
      <c r="E456" s="189" t="s">
        <v>1617</v>
      </c>
      <c r="F456" s="189" t="s">
        <v>1618</v>
      </c>
      <c r="G456" s="189" t="s">
        <v>1619</v>
      </c>
      <c r="H456" s="175">
        <v>190</v>
      </c>
      <c r="I456" s="175">
        <v>4</v>
      </c>
      <c r="J456" s="176">
        <v>8</v>
      </c>
      <c r="K456" s="173">
        <v>3</v>
      </c>
      <c r="L456" s="173">
        <v>9</v>
      </c>
      <c r="M456" s="173">
        <v>0</v>
      </c>
      <c r="N456" s="173">
        <v>0</v>
      </c>
      <c r="O456" s="177">
        <v>12160000</v>
      </c>
      <c r="P456" s="177">
        <v>8617200</v>
      </c>
      <c r="Q456" s="177">
        <v>0</v>
      </c>
      <c r="R456" s="178">
        <f t="shared" si="8"/>
        <v>20777200</v>
      </c>
      <c r="S456" s="145" t="s">
        <v>1620</v>
      </c>
      <c r="T456" s="146" t="s">
        <v>1621</v>
      </c>
      <c r="U456" s="190" t="s">
        <v>1622</v>
      </c>
      <c r="V456" s="89"/>
      <c r="W456" s="90"/>
      <c r="X456" s="81"/>
      <c r="Y456" s="81"/>
      <c r="Z456" s="81"/>
      <c r="AA456" s="81"/>
      <c r="AB456" s="81"/>
      <c r="AC456" s="81"/>
      <c r="AD456" s="81"/>
      <c r="AE456" s="81"/>
    </row>
    <row r="457" spans="1:31" s="1" customFormat="1" ht="40.5">
      <c r="A457" s="171">
        <v>456</v>
      </c>
      <c r="B457" s="172">
        <v>110</v>
      </c>
      <c r="C457" s="175" t="s">
        <v>178</v>
      </c>
      <c r="D457" s="175" t="s">
        <v>1590</v>
      </c>
      <c r="E457" s="189" t="s">
        <v>1623</v>
      </c>
      <c r="F457" s="189" t="s">
        <v>1624</v>
      </c>
      <c r="G457" s="189" t="s">
        <v>1625</v>
      </c>
      <c r="H457" s="175">
        <v>380</v>
      </c>
      <c r="I457" s="175" t="s">
        <v>140</v>
      </c>
      <c r="J457" s="176">
        <v>12</v>
      </c>
      <c r="K457" s="173">
        <v>3</v>
      </c>
      <c r="L457" s="173">
        <v>18</v>
      </c>
      <c r="M457" s="173">
        <v>2</v>
      </c>
      <c r="N457" s="173">
        <v>4</v>
      </c>
      <c r="O457" s="177">
        <v>33600000</v>
      </c>
      <c r="P457" s="177">
        <v>37000000</v>
      </c>
      <c r="Q457" s="177">
        <v>9799929</v>
      </c>
      <c r="R457" s="178">
        <f t="shared" si="8"/>
        <v>80399929</v>
      </c>
      <c r="S457" s="145" t="s">
        <v>1579</v>
      </c>
      <c r="T457" s="146" t="s">
        <v>1626</v>
      </c>
      <c r="U457" s="190"/>
      <c r="V457" s="89"/>
      <c r="W457" s="90" t="s">
        <v>1293</v>
      </c>
      <c r="X457" s="81"/>
      <c r="Y457" s="81"/>
      <c r="Z457" s="81"/>
      <c r="AA457" s="81"/>
      <c r="AB457" s="81"/>
      <c r="AC457" s="81"/>
      <c r="AD457" s="81"/>
      <c r="AE457" s="81"/>
    </row>
    <row r="458" spans="1:31" s="1" customFormat="1" ht="40.5">
      <c r="A458" s="171">
        <v>457</v>
      </c>
      <c r="B458" s="172">
        <v>110</v>
      </c>
      <c r="C458" s="175" t="s">
        <v>178</v>
      </c>
      <c r="D458" s="175" t="s">
        <v>1627</v>
      </c>
      <c r="E458" s="189" t="s">
        <v>1628</v>
      </c>
      <c r="F458" s="189" t="s">
        <v>332</v>
      </c>
      <c r="G458" s="189" t="s">
        <v>333</v>
      </c>
      <c r="H458" s="175">
        <v>150</v>
      </c>
      <c r="I458" s="175">
        <v>3</v>
      </c>
      <c r="J458" s="176">
        <v>8</v>
      </c>
      <c r="K458" s="173">
        <v>0</v>
      </c>
      <c r="L458" s="173">
        <v>5</v>
      </c>
      <c r="M458" s="173">
        <v>0</v>
      </c>
      <c r="N458" s="173">
        <v>1</v>
      </c>
      <c r="O458" s="177">
        <v>9600000</v>
      </c>
      <c r="P458" s="177">
        <f>44000*8*150</f>
        <v>52800000</v>
      </c>
      <c r="Q458" s="177">
        <v>2500000</v>
      </c>
      <c r="R458" s="178">
        <f t="shared" si="8"/>
        <v>64900000</v>
      </c>
      <c r="S458" s="145" t="s">
        <v>1629</v>
      </c>
      <c r="T458" s="146" t="s">
        <v>1630</v>
      </c>
      <c r="U458" s="190"/>
      <c r="V458" s="89"/>
      <c r="W458" s="90" t="s">
        <v>1631</v>
      </c>
      <c r="X458" s="81"/>
      <c r="Y458" s="81"/>
      <c r="Z458" s="81"/>
      <c r="AA458" s="81"/>
      <c r="AB458" s="81"/>
      <c r="AC458" s="81"/>
      <c r="AD458" s="81"/>
      <c r="AE458" s="81"/>
    </row>
    <row r="459" spans="1:31" s="1" customFormat="1" ht="40.5">
      <c r="A459" s="171">
        <v>458</v>
      </c>
      <c r="B459" s="172">
        <v>110</v>
      </c>
      <c r="C459" s="175" t="s">
        <v>178</v>
      </c>
      <c r="D459" s="175" t="s">
        <v>1632</v>
      </c>
      <c r="E459" s="189" t="s">
        <v>1633</v>
      </c>
      <c r="F459" s="189" t="s">
        <v>1634</v>
      </c>
      <c r="G459" s="189" t="s">
        <v>1449</v>
      </c>
      <c r="H459" s="175">
        <v>881</v>
      </c>
      <c r="I459" s="175">
        <v>0</v>
      </c>
      <c r="J459" s="176">
        <v>20</v>
      </c>
      <c r="K459" s="173">
        <v>29</v>
      </c>
      <c r="L459" s="173">
        <v>40</v>
      </c>
      <c r="M459" s="173">
        <v>8</v>
      </c>
      <c r="N459" s="173">
        <v>7</v>
      </c>
      <c r="O459" s="177">
        <v>80434587</v>
      </c>
      <c r="P459" s="177">
        <v>487760000</v>
      </c>
      <c r="Q459" s="177">
        <v>44952200</v>
      </c>
      <c r="R459" s="178">
        <f t="shared" si="8"/>
        <v>613146787</v>
      </c>
      <c r="S459" s="145" t="s">
        <v>1573</v>
      </c>
      <c r="T459" s="146" t="s">
        <v>1635</v>
      </c>
      <c r="U459" s="190"/>
      <c r="V459" s="89"/>
      <c r="W459" s="90" t="s">
        <v>970</v>
      </c>
      <c r="X459" s="81"/>
      <c r="Y459" s="81"/>
      <c r="Z459" s="81"/>
      <c r="AA459" s="81"/>
      <c r="AB459" s="81"/>
      <c r="AC459" s="81"/>
      <c r="AD459" s="81"/>
      <c r="AE459" s="81"/>
    </row>
    <row r="460" spans="1:31" s="1" customFormat="1" ht="40.5">
      <c r="A460" s="171">
        <v>459</v>
      </c>
      <c r="B460" s="172">
        <v>110</v>
      </c>
      <c r="C460" s="175" t="s">
        <v>178</v>
      </c>
      <c r="D460" s="175" t="s">
        <v>1636</v>
      </c>
      <c r="E460" s="189" t="s">
        <v>1637</v>
      </c>
      <c r="F460" s="189" t="s">
        <v>1638</v>
      </c>
      <c r="G460" s="189" t="s">
        <v>1639</v>
      </c>
      <c r="H460" s="175">
        <v>1730</v>
      </c>
      <c r="I460" s="175">
        <v>10</v>
      </c>
      <c r="J460" s="176">
        <v>20</v>
      </c>
      <c r="K460" s="173">
        <v>40</v>
      </c>
      <c r="L460" s="173">
        <v>140</v>
      </c>
      <c r="M460" s="191" t="s">
        <v>1640</v>
      </c>
      <c r="N460" s="191" t="s">
        <v>1640</v>
      </c>
      <c r="O460" s="177">
        <v>276800000</v>
      </c>
      <c r="P460" s="177">
        <f>5500*1800*10</f>
        <v>99000000</v>
      </c>
      <c r="Q460" s="177" t="s">
        <v>1346</v>
      </c>
      <c r="R460" s="178">
        <f>O460+P460</f>
        <v>375800000</v>
      </c>
      <c r="S460" s="145" t="s">
        <v>1641</v>
      </c>
      <c r="T460" s="146" t="s">
        <v>1642</v>
      </c>
      <c r="U460" s="190"/>
      <c r="V460" s="89"/>
      <c r="W460" s="90" t="s">
        <v>1643</v>
      </c>
      <c r="X460" s="81"/>
      <c r="Y460" s="81"/>
      <c r="Z460" s="81"/>
      <c r="AA460" s="81"/>
      <c r="AB460" s="81"/>
      <c r="AC460" s="81"/>
      <c r="AD460" s="81"/>
      <c r="AE460" s="81"/>
    </row>
    <row r="461" spans="1:31" s="1" customFormat="1" ht="54">
      <c r="A461" s="171">
        <v>460</v>
      </c>
      <c r="B461" s="172">
        <v>110</v>
      </c>
      <c r="C461" s="175" t="s">
        <v>1100</v>
      </c>
      <c r="D461" s="175" t="s">
        <v>1636</v>
      </c>
      <c r="E461" s="189" t="s">
        <v>1644</v>
      </c>
      <c r="F461" s="189" t="s">
        <v>1477</v>
      </c>
      <c r="G461" s="189" t="s">
        <v>1478</v>
      </c>
      <c r="H461" s="175">
        <v>170</v>
      </c>
      <c r="I461" s="175" t="s">
        <v>417</v>
      </c>
      <c r="J461" s="176">
        <v>12</v>
      </c>
      <c r="K461" s="173">
        <v>2</v>
      </c>
      <c r="L461" s="173">
        <v>10</v>
      </c>
      <c r="M461" s="173">
        <v>6</v>
      </c>
      <c r="N461" s="173">
        <v>0</v>
      </c>
      <c r="O461" s="177">
        <v>10880000</v>
      </c>
      <c r="P461" s="177">
        <v>11808000</v>
      </c>
      <c r="Q461" s="177">
        <v>13837000</v>
      </c>
      <c r="R461" s="178">
        <f t="shared" ref="R461:R500" si="9">O461+P461+Q461</f>
        <v>36525000</v>
      </c>
      <c r="S461" s="145" t="s">
        <v>1620</v>
      </c>
      <c r="T461" s="146" t="s">
        <v>1645</v>
      </c>
      <c r="U461" s="190"/>
      <c r="V461" s="89"/>
      <c r="W461" s="90" t="s">
        <v>1028</v>
      </c>
      <c r="X461" s="81"/>
      <c r="Y461" s="81"/>
      <c r="Z461" s="81"/>
      <c r="AA461" s="81"/>
      <c r="AB461" s="81"/>
      <c r="AC461" s="81"/>
      <c r="AD461" s="81"/>
      <c r="AE461" s="81"/>
    </row>
    <row r="462" spans="1:31" s="1" customFormat="1" ht="40.5">
      <c r="A462" s="171">
        <v>461</v>
      </c>
      <c r="B462" s="192">
        <v>110</v>
      </c>
      <c r="C462" s="175" t="s">
        <v>178</v>
      </c>
      <c r="D462" s="193" t="s">
        <v>1598</v>
      </c>
      <c r="E462" s="194" t="s">
        <v>1646</v>
      </c>
      <c r="F462" s="194" t="s">
        <v>1647</v>
      </c>
      <c r="G462" s="194" t="s">
        <v>635</v>
      </c>
      <c r="H462" s="175">
        <v>620</v>
      </c>
      <c r="I462" s="175">
        <v>5</v>
      </c>
      <c r="J462" s="176">
        <v>12</v>
      </c>
      <c r="K462" s="173">
        <v>3</v>
      </c>
      <c r="L462" s="173">
        <v>41</v>
      </c>
      <c r="M462" s="173">
        <v>1</v>
      </c>
      <c r="N462" s="173">
        <v>6</v>
      </c>
      <c r="O462" s="177">
        <v>39680000</v>
      </c>
      <c r="P462" s="177">
        <v>67000000</v>
      </c>
      <c r="Q462" s="177">
        <v>17614400</v>
      </c>
      <c r="R462" s="178">
        <f t="shared" si="9"/>
        <v>124294400</v>
      </c>
      <c r="S462" s="145" t="s">
        <v>1573</v>
      </c>
      <c r="T462" s="195" t="s">
        <v>1648</v>
      </c>
      <c r="U462" s="190"/>
      <c r="V462" s="89"/>
      <c r="W462" s="90"/>
      <c r="X462" s="81"/>
      <c r="Y462" s="81"/>
      <c r="Z462" s="81"/>
      <c r="AA462" s="81"/>
      <c r="AB462" s="81"/>
      <c r="AC462" s="81"/>
      <c r="AD462" s="81"/>
      <c r="AE462" s="81"/>
    </row>
    <row r="463" spans="1:31" s="1" customFormat="1" ht="27">
      <c r="A463" s="171">
        <v>462</v>
      </c>
      <c r="B463" s="196"/>
      <c r="C463" s="175" t="s">
        <v>178</v>
      </c>
      <c r="D463" s="197"/>
      <c r="E463" s="198"/>
      <c r="F463" s="198" t="s">
        <v>635</v>
      </c>
      <c r="G463" s="198" t="s">
        <v>1649</v>
      </c>
      <c r="H463" s="175">
        <v>780</v>
      </c>
      <c r="I463" s="175">
        <v>5</v>
      </c>
      <c r="J463" s="176">
        <v>12</v>
      </c>
      <c r="K463" s="173">
        <v>3</v>
      </c>
      <c r="L463" s="173">
        <v>56</v>
      </c>
      <c r="M463" s="173">
        <v>0</v>
      </c>
      <c r="N463" s="173">
        <v>0</v>
      </c>
      <c r="O463" s="177">
        <v>37440000</v>
      </c>
      <c r="P463" s="177">
        <v>73000000</v>
      </c>
      <c r="Q463" s="177">
        <v>1000000</v>
      </c>
      <c r="R463" s="178">
        <f t="shared" si="9"/>
        <v>111440000</v>
      </c>
      <c r="S463" s="145" t="s">
        <v>1620</v>
      </c>
      <c r="T463" s="199"/>
      <c r="U463" s="190"/>
      <c r="V463" s="89"/>
      <c r="W463" s="90"/>
      <c r="X463" s="81"/>
      <c r="Y463" s="81"/>
      <c r="Z463" s="81"/>
      <c r="AA463" s="81"/>
      <c r="AB463" s="81"/>
      <c r="AC463" s="81"/>
      <c r="AD463" s="81"/>
      <c r="AE463" s="81"/>
    </row>
    <row r="464" spans="1:31" s="1" customFormat="1" ht="27">
      <c r="A464" s="171">
        <v>463</v>
      </c>
      <c r="B464" s="200"/>
      <c r="C464" s="175" t="s">
        <v>178</v>
      </c>
      <c r="D464" s="201"/>
      <c r="E464" s="202"/>
      <c r="F464" s="202" t="s">
        <v>1649</v>
      </c>
      <c r="G464" s="202" t="s">
        <v>1650</v>
      </c>
      <c r="H464" s="175">
        <v>1698</v>
      </c>
      <c r="I464" s="175">
        <v>5</v>
      </c>
      <c r="J464" s="176">
        <v>12</v>
      </c>
      <c r="K464" s="173">
        <v>20</v>
      </c>
      <c r="L464" s="173">
        <v>114</v>
      </c>
      <c r="M464" s="173">
        <v>3</v>
      </c>
      <c r="N464" s="173">
        <v>2</v>
      </c>
      <c r="O464" s="177">
        <v>81500000</v>
      </c>
      <c r="P464" s="177">
        <v>160000000</v>
      </c>
      <c r="Q464" s="177">
        <v>1000000</v>
      </c>
      <c r="R464" s="178">
        <f t="shared" si="9"/>
        <v>242500000</v>
      </c>
      <c r="S464" s="145" t="s">
        <v>1573</v>
      </c>
      <c r="T464" s="203"/>
      <c r="U464" s="190"/>
      <c r="V464" s="89"/>
      <c r="W464" s="90"/>
      <c r="X464" s="81"/>
      <c r="Y464" s="81"/>
      <c r="Z464" s="81"/>
      <c r="AA464" s="81"/>
      <c r="AB464" s="81"/>
      <c r="AC464" s="81"/>
      <c r="AD464" s="81"/>
      <c r="AE464" s="81"/>
    </row>
    <row r="465" spans="1:31" s="1" customFormat="1" ht="40.5">
      <c r="A465" s="171">
        <v>464</v>
      </c>
      <c r="B465" s="172">
        <v>110</v>
      </c>
      <c r="C465" s="175" t="s">
        <v>178</v>
      </c>
      <c r="D465" s="175" t="s">
        <v>1651</v>
      </c>
      <c r="E465" s="189" t="s">
        <v>1652</v>
      </c>
      <c r="F465" s="189" t="s">
        <v>1482</v>
      </c>
      <c r="G465" s="189" t="s">
        <v>1483</v>
      </c>
      <c r="H465" s="175">
        <v>600</v>
      </c>
      <c r="I465" s="175" t="s">
        <v>1484</v>
      </c>
      <c r="J465" s="176">
        <v>8</v>
      </c>
      <c r="K465" s="173">
        <v>0</v>
      </c>
      <c r="L465" s="173">
        <v>26</v>
      </c>
      <c r="M465" s="173">
        <v>0</v>
      </c>
      <c r="N465" s="173">
        <v>0</v>
      </c>
      <c r="O465" s="177">
        <v>115200000</v>
      </c>
      <c r="P465" s="177">
        <v>19200000</v>
      </c>
      <c r="Q465" s="177">
        <v>0</v>
      </c>
      <c r="R465" s="178">
        <f t="shared" si="9"/>
        <v>134400000</v>
      </c>
      <c r="S465" s="145" t="s">
        <v>1573</v>
      </c>
      <c r="T465" s="146" t="s">
        <v>1653</v>
      </c>
      <c r="U465" s="190"/>
      <c r="V465" s="89"/>
      <c r="W465" s="90" t="s">
        <v>1654</v>
      </c>
      <c r="X465" s="81"/>
      <c r="Y465" s="81"/>
      <c r="Z465" s="81"/>
      <c r="AA465" s="81"/>
      <c r="AB465" s="81"/>
      <c r="AC465" s="81"/>
      <c r="AD465" s="81"/>
      <c r="AE465" s="81"/>
    </row>
    <row r="466" spans="1:31" s="1" customFormat="1" ht="40.5">
      <c r="A466" s="171">
        <v>465</v>
      </c>
      <c r="B466" s="172">
        <v>110</v>
      </c>
      <c r="C466" s="175" t="s">
        <v>178</v>
      </c>
      <c r="D466" s="191" t="s">
        <v>1558</v>
      </c>
      <c r="E466" s="189" t="s">
        <v>1655</v>
      </c>
      <c r="F466" s="189" t="s">
        <v>1656</v>
      </c>
      <c r="G466" s="189" t="s">
        <v>1657</v>
      </c>
      <c r="H466" s="175">
        <v>210</v>
      </c>
      <c r="I466" s="191" t="s">
        <v>1658</v>
      </c>
      <c r="J466" s="204" t="s">
        <v>1659</v>
      </c>
      <c r="K466" s="173">
        <v>4</v>
      </c>
      <c r="L466" s="173">
        <v>5</v>
      </c>
      <c r="M466" s="173">
        <v>0</v>
      </c>
      <c r="N466" s="173">
        <v>0</v>
      </c>
      <c r="O466" s="178">
        <v>13440000</v>
      </c>
      <c r="P466" s="178">
        <v>16638694</v>
      </c>
      <c r="Q466" s="178">
        <v>0</v>
      </c>
      <c r="R466" s="178">
        <f t="shared" si="9"/>
        <v>30078694</v>
      </c>
      <c r="S466" s="145" t="s">
        <v>1562</v>
      </c>
      <c r="T466" s="179" t="s">
        <v>1660</v>
      </c>
      <c r="U466" s="205" t="s">
        <v>1661</v>
      </c>
      <c r="V466" s="89"/>
      <c r="W466" s="90"/>
      <c r="X466" s="81"/>
      <c r="Y466" s="81"/>
      <c r="Z466" s="81"/>
      <c r="AA466" s="81"/>
      <c r="AB466" s="81"/>
      <c r="AC466" s="81"/>
      <c r="AD466" s="81"/>
      <c r="AE466" s="81"/>
    </row>
    <row r="467" spans="1:31" s="1" customFormat="1" ht="40.5">
      <c r="A467" s="171">
        <v>466</v>
      </c>
      <c r="B467" s="172">
        <v>110</v>
      </c>
      <c r="C467" s="175" t="s">
        <v>39</v>
      </c>
      <c r="D467" s="175" t="s">
        <v>1576</v>
      </c>
      <c r="E467" s="189" t="s">
        <v>1662</v>
      </c>
      <c r="F467" s="189"/>
      <c r="G467" s="189"/>
      <c r="H467" s="175">
        <v>200</v>
      </c>
      <c r="I467" s="175">
        <v>6</v>
      </c>
      <c r="J467" s="176">
        <v>15</v>
      </c>
      <c r="K467" s="173">
        <v>5</v>
      </c>
      <c r="L467" s="173">
        <v>1</v>
      </c>
      <c r="M467" s="173">
        <v>0</v>
      </c>
      <c r="N467" s="173">
        <v>0</v>
      </c>
      <c r="O467" s="177">
        <v>24000000</v>
      </c>
      <c r="P467" s="177">
        <v>47466000</v>
      </c>
      <c r="Q467" s="177">
        <v>0</v>
      </c>
      <c r="R467" s="178">
        <f t="shared" si="9"/>
        <v>71466000</v>
      </c>
      <c r="S467" s="145" t="s">
        <v>1663</v>
      </c>
      <c r="T467" s="146" t="s">
        <v>1664</v>
      </c>
      <c r="U467" s="190"/>
      <c r="V467" s="89"/>
      <c r="W467" s="90" t="s">
        <v>1581</v>
      </c>
      <c r="X467" s="81"/>
      <c r="Y467" s="81"/>
      <c r="Z467" s="81"/>
      <c r="AA467" s="81"/>
      <c r="AB467" s="81"/>
      <c r="AC467" s="81"/>
      <c r="AD467" s="81"/>
      <c r="AE467" s="81"/>
    </row>
    <row r="468" spans="1:31" s="1" customFormat="1" ht="40.5">
      <c r="A468" s="171">
        <v>467</v>
      </c>
      <c r="B468" s="172">
        <v>110</v>
      </c>
      <c r="C468" s="175" t="s">
        <v>39</v>
      </c>
      <c r="D468" s="175" t="s">
        <v>1558</v>
      </c>
      <c r="E468" s="189" t="s">
        <v>1665</v>
      </c>
      <c r="F468" s="189" t="s">
        <v>1666</v>
      </c>
      <c r="G468" s="189" t="s">
        <v>1667</v>
      </c>
      <c r="H468" s="175">
        <v>18</v>
      </c>
      <c r="I468" s="175">
        <v>0</v>
      </c>
      <c r="J468" s="176">
        <v>8</v>
      </c>
      <c r="K468" s="173">
        <v>6</v>
      </c>
      <c r="L468" s="173">
        <v>0</v>
      </c>
      <c r="M468" s="173">
        <v>0</v>
      </c>
      <c r="N468" s="173">
        <v>0</v>
      </c>
      <c r="O468" s="177">
        <v>1152000</v>
      </c>
      <c r="P468" s="177">
        <v>0</v>
      </c>
      <c r="Q468" s="177">
        <v>0</v>
      </c>
      <c r="R468" s="178">
        <f t="shared" si="9"/>
        <v>1152000</v>
      </c>
      <c r="S468" s="145" t="s">
        <v>1668</v>
      </c>
      <c r="T468" s="146" t="s">
        <v>1669</v>
      </c>
      <c r="U468" s="190" t="s">
        <v>1670</v>
      </c>
      <c r="V468" s="89"/>
      <c r="W468" s="90" t="s">
        <v>1671</v>
      </c>
      <c r="X468" s="81"/>
      <c r="Y468" s="81"/>
      <c r="Z468" s="81"/>
      <c r="AA468" s="81"/>
      <c r="AB468" s="81"/>
      <c r="AC468" s="81"/>
      <c r="AD468" s="81"/>
      <c r="AE468" s="81"/>
    </row>
    <row r="469" spans="1:31" s="1" customFormat="1" ht="40.5">
      <c r="A469" s="171">
        <v>468</v>
      </c>
      <c r="B469" s="172">
        <v>110</v>
      </c>
      <c r="C469" s="175" t="s">
        <v>39</v>
      </c>
      <c r="D469" s="175" t="s">
        <v>1558</v>
      </c>
      <c r="E469" s="189" t="s">
        <v>1672</v>
      </c>
      <c r="F469" s="189" t="s">
        <v>1673</v>
      </c>
      <c r="G469" s="189" t="s">
        <v>1674</v>
      </c>
      <c r="H469" s="175">
        <v>40</v>
      </c>
      <c r="I469" s="175">
        <v>5</v>
      </c>
      <c r="J469" s="176">
        <v>10</v>
      </c>
      <c r="K469" s="173">
        <v>1</v>
      </c>
      <c r="L469" s="173">
        <v>2</v>
      </c>
      <c r="M469" s="173">
        <v>0</v>
      </c>
      <c r="N469" s="173">
        <v>0</v>
      </c>
      <c r="O469" s="177">
        <v>3200000</v>
      </c>
      <c r="P469" s="177">
        <v>2806376</v>
      </c>
      <c r="Q469" s="177">
        <v>0</v>
      </c>
      <c r="R469" s="178">
        <f t="shared" si="9"/>
        <v>6006376</v>
      </c>
      <c r="S469" s="145" t="s">
        <v>1668</v>
      </c>
      <c r="T469" s="146" t="s">
        <v>1675</v>
      </c>
      <c r="U469" s="190" t="s">
        <v>1564</v>
      </c>
      <c r="V469" s="89"/>
      <c r="W469" s="90" t="s">
        <v>1671</v>
      </c>
      <c r="X469" s="81"/>
      <c r="Y469" s="81"/>
      <c r="Z469" s="81"/>
      <c r="AA469" s="81"/>
      <c r="AB469" s="81"/>
      <c r="AC469" s="81"/>
      <c r="AD469" s="81"/>
      <c r="AE469" s="81"/>
    </row>
    <row r="470" spans="1:31" s="1" customFormat="1" ht="54">
      <c r="A470" s="171">
        <v>469</v>
      </c>
      <c r="B470" s="172">
        <v>110</v>
      </c>
      <c r="C470" s="175" t="s">
        <v>39</v>
      </c>
      <c r="D470" s="175" t="s">
        <v>1590</v>
      </c>
      <c r="E470" s="189" t="s">
        <v>1676</v>
      </c>
      <c r="F470" s="189" t="s">
        <v>1677</v>
      </c>
      <c r="G470" s="189" t="s">
        <v>602</v>
      </c>
      <c r="H470" s="175">
        <v>30</v>
      </c>
      <c r="I470" s="175">
        <v>0</v>
      </c>
      <c r="J470" s="176">
        <v>8</v>
      </c>
      <c r="K470" s="173">
        <v>0</v>
      </c>
      <c r="L470" s="173">
        <v>3</v>
      </c>
      <c r="M470" s="173">
        <v>0</v>
      </c>
      <c r="N470" s="173">
        <v>0</v>
      </c>
      <c r="O470" s="177">
        <v>1920000</v>
      </c>
      <c r="P470" s="177">
        <v>2153077</v>
      </c>
      <c r="Q470" s="177">
        <v>0</v>
      </c>
      <c r="R470" s="178">
        <f t="shared" si="9"/>
        <v>4073077</v>
      </c>
      <c r="S470" s="145" t="s">
        <v>1668</v>
      </c>
      <c r="T470" s="146" t="s">
        <v>1678</v>
      </c>
      <c r="U470" s="190" t="s">
        <v>1679</v>
      </c>
      <c r="V470" s="89"/>
      <c r="W470" s="90" t="s">
        <v>1317</v>
      </c>
      <c r="X470" s="81"/>
      <c r="Y470" s="81"/>
      <c r="Z470" s="81"/>
      <c r="AA470" s="81"/>
      <c r="AB470" s="81"/>
      <c r="AC470" s="81"/>
      <c r="AD470" s="81"/>
      <c r="AE470" s="81"/>
    </row>
    <row r="471" spans="1:31" s="1" customFormat="1" ht="54">
      <c r="A471" s="171">
        <v>470</v>
      </c>
      <c r="B471" s="172">
        <v>110</v>
      </c>
      <c r="C471" s="175" t="s">
        <v>39</v>
      </c>
      <c r="D471" s="175" t="s">
        <v>1590</v>
      </c>
      <c r="E471" s="189" t="s">
        <v>1680</v>
      </c>
      <c r="F471" s="189" t="s">
        <v>599</v>
      </c>
      <c r="G471" s="189" t="s">
        <v>1681</v>
      </c>
      <c r="H471" s="175">
        <v>40</v>
      </c>
      <c r="I471" s="175">
        <v>4.5</v>
      </c>
      <c r="J471" s="176">
        <v>7</v>
      </c>
      <c r="K471" s="173">
        <v>1</v>
      </c>
      <c r="L471" s="173">
        <v>0</v>
      </c>
      <c r="M471" s="173">
        <v>2</v>
      </c>
      <c r="N471" s="173">
        <v>0</v>
      </c>
      <c r="O471" s="177">
        <v>2240000</v>
      </c>
      <c r="P471" s="177">
        <v>0</v>
      </c>
      <c r="Q471" s="177">
        <v>500000</v>
      </c>
      <c r="R471" s="178">
        <f t="shared" si="9"/>
        <v>2740000</v>
      </c>
      <c r="S471" s="145" t="s">
        <v>1668</v>
      </c>
      <c r="T471" s="146" t="s">
        <v>1682</v>
      </c>
      <c r="U471" s="190"/>
      <c r="V471" s="89"/>
      <c r="W471" s="90" t="s">
        <v>1683</v>
      </c>
      <c r="X471" s="81"/>
      <c r="Y471" s="81"/>
      <c r="Z471" s="81"/>
      <c r="AA471" s="81"/>
      <c r="AB471" s="81"/>
      <c r="AC471" s="81"/>
      <c r="AD471" s="81"/>
      <c r="AE471" s="81"/>
    </row>
    <row r="472" spans="1:31" s="1" customFormat="1" ht="40.5">
      <c r="A472" s="171">
        <v>471</v>
      </c>
      <c r="B472" s="172">
        <v>110</v>
      </c>
      <c r="C472" s="175" t="s">
        <v>39</v>
      </c>
      <c r="D472" s="175" t="s">
        <v>1590</v>
      </c>
      <c r="E472" s="189" t="s">
        <v>1684</v>
      </c>
      <c r="F472" s="189" t="s">
        <v>1275</v>
      </c>
      <c r="G472" s="189" t="s">
        <v>1274</v>
      </c>
      <c r="H472" s="175">
        <v>30</v>
      </c>
      <c r="I472" s="175">
        <v>0</v>
      </c>
      <c r="J472" s="176">
        <v>8</v>
      </c>
      <c r="K472" s="173">
        <v>0</v>
      </c>
      <c r="L472" s="173">
        <v>3</v>
      </c>
      <c r="M472" s="173">
        <v>0</v>
      </c>
      <c r="N472" s="173">
        <v>0</v>
      </c>
      <c r="O472" s="177">
        <v>1920000</v>
      </c>
      <c r="P472" s="177">
        <v>8078840</v>
      </c>
      <c r="Q472" s="177">
        <v>0</v>
      </c>
      <c r="R472" s="178">
        <f t="shared" si="9"/>
        <v>9998840</v>
      </c>
      <c r="S472" s="145" t="s">
        <v>1668</v>
      </c>
      <c r="T472" s="146" t="s">
        <v>1685</v>
      </c>
      <c r="U472" s="190" t="s">
        <v>1686</v>
      </c>
      <c r="V472" s="89"/>
      <c r="W472" s="90" t="s">
        <v>1687</v>
      </c>
      <c r="X472" s="81"/>
      <c r="Y472" s="81"/>
      <c r="Z472" s="81"/>
      <c r="AA472" s="81"/>
      <c r="AB472" s="81"/>
      <c r="AC472" s="81"/>
      <c r="AD472" s="81"/>
      <c r="AE472" s="81"/>
    </row>
    <row r="473" spans="1:31" s="1" customFormat="1" ht="40.5">
      <c r="A473" s="171">
        <v>472</v>
      </c>
      <c r="B473" s="172">
        <v>110</v>
      </c>
      <c r="C473" s="175" t="s">
        <v>39</v>
      </c>
      <c r="D473" s="175" t="s">
        <v>1627</v>
      </c>
      <c r="E473" s="189" t="s">
        <v>1688</v>
      </c>
      <c r="F473" s="189" t="s">
        <v>557</v>
      </c>
      <c r="G473" s="189" t="s">
        <v>1689</v>
      </c>
      <c r="H473" s="175">
        <v>35</v>
      </c>
      <c r="I473" s="175" t="s">
        <v>1469</v>
      </c>
      <c r="J473" s="176">
        <v>12</v>
      </c>
      <c r="K473" s="173">
        <v>2</v>
      </c>
      <c r="L473" s="173">
        <v>7</v>
      </c>
      <c r="M473" s="173">
        <v>0</v>
      </c>
      <c r="N473" s="173">
        <v>0</v>
      </c>
      <c r="O473" s="177">
        <v>3360000</v>
      </c>
      <c r="P473" s="177">
        <v>323214</v>
      </c>
      <c r="Q473" s="177">
        <v>500000</v>
      </c>
      <c r="R473" s="178">
        <f t="shared" si="9"/>
        <v>4183214</v>
      </c>
      <c r="S473" s="145" t="s">
        <v>1668</v>
      </c>
      <c r="T473" s="146" t="s">
        <v>1690</v>
      </c>
      <c r="U473" s="190"/>
      <c r="V473" s="89"/>
      <c r="W473" s="90" t="s">
        <v>1691</v>
      </c>
      <c r="X473" s="81"/>
      <c r="Y473" s="81"/>
      <c r="Z473" s="81"/>
      <c r="AA473" s="81"/>
      <c r="AB473" s="81"/>
      <c r="AC473" s="81"/>
      <c r="AD473" s="81"/>
      <c r="AE473" s="81"/>
    </row>
    <row r="474" spans="1:31" s="1" customFormat="1" ht="54">
      <c r="A474" s="171">
        <v>473</v>
      </c>
      <c r="B474" s="172">
        <v>110</v>
      </c>
      <c r="C474" s="175" t="s">
        <v>39</v>
      </c>
      <c r="D474" s="175" t="s">
        <v>1571</v>
      </c>
      <c r="E474" s="189" t="s">
        <v>1692</v>
      </c>
      <c r="F474" s="189" t="s">
        <v>1693</v>
      </c>
      <c r="G474" s="189" t="s">
        <v>1694</v>
      </c>
      <c r="H474" s="175">
        <v>235</v>
      </c>
      <c r="I474" s="175">
        <v>4</v>
      </c>
      <c r="J474" s="176">
        <v>8</v>
      </c>
      <c r="K474" s="173">
        <v>3</v>
      </c>
      <c r="L474" s="173">
        <v>18</v>
      </c>
      <c r="M474" s="173">
        <v>0</v>
      </c>
      <c r="N474" s="173">
        <v>0</v>
      </c>
      <c r="O474" s="177">
        <v>15040000</v>
      </c>
      <c r="P474" s="177">
        <v>6928800</v>
      </c>
      <c r="Q474" s="177">
        <v>0</v>
      </c>
      <c r="R474" s="178">
        <f t="shared" si="9"/>
        <v>21968800</v>
      </c>
      <c r="S474" s="145" t="s">
        <v>1668</v>
      </c>
      <c r="T474" s="146" t="s">
        <v>1695</v>
      </c>
      <c r="U474" s="190"/>
      <c r="V474" s="89"/>
      <c r="W474" s="90" t="s">
        <v>1683</v>
      </c>
      <c r="X474" s="81"/>
      <c r="Y474" s="81"/>
      <c r="Z474" s="81"/>
      <c r="AA474" s="81"/>
      <c r="AB474" s="81"/>
      <c r="AC474" s="81"/>
      <c r="AD474" s="81"/>
      <c r="AE474" s="81"/>
    </row>
    <row r="475" spans="1:31" s="1" customFormat="1" ht="40.5">
      <c r="A475" s="171">
        <v>474</v>
      </c>
      <c r="B475" s="172">
        <v>110</v>
      </c>
      <c r="C475" s="175" t="s">
        <v>39</v>
      </c>
      <c r="D475" s="175" t="s">
        <v>1571</v>
      </c>
      <c r="E475" s="189" t="s">
        <v>1696</v>
      </c>
      <c r="F475" s="189" t="s">
        <v>1178</v>
      </c>
      <c r="G475" s="189" t="s">
        <v>1179</v>
      </c>
      <c r="H475" s="175">
        <v>135</v>
      </c>
      <c r="I475" s="175" t="s">
        <v>254</v>
      </c>
      <c r="J475" s="176">
        <v>8</v>
      </c>
      <c r="K475" s="173">
        <v>1</v>
      </c>
      <c r="L475" s="173">
        <v>11</v>
      </c>
      <c r="M475" s="173">
        <v>3</v>
      </c>
      <c r="N475" s="173">
        <v>6</v>
      </c>
      <c r="O475" s="177">
        <v>2746800</v>
      </c>
      <c r="P475" s="177">
        <v>3439120</v>
      </c>
      <c r="Q475" s="177">
        <v>20325240</v>
      </c>
      <c r="R475" s="178">
        <f t="shared" si="9"/>
        <v>26511160</v>
      </c>
      <c r="S475" s="145" t="s">
        <v>1697</v>
      </c>
      <c r="T475" s="146" t="s">
        <v>1698</v>
      </c>
      <c r="U475" s="190" t="s">
        <v>1181</v>
      </c>
      <c r="V475" s="89"/>
      <c r="W475" s="90" t="s">
        <v>1575</v>
      </c>
      <c r="X475" s="81"/>
      <c r="Y475" s="81"/>
      <c r="Z475" s="81"/>
      <c r="AA475" s="81"/>
      <c r="AB475" s="81"/>
      <c r="AC475" s="81"/>
      <c r="AD475" s="81"/>
      <c r="AE475" s="81"/>
    </row>
    <row r="476" spans="1:31" s="1" customFormat="1" ht="40.5">
      <c r="A476" s="171">
        <v>475</v>
      </c>
      <c r="B476" s="172">
        <v>110</v>
      </c>
      <c r="C476" s="175" t="s">
        <v>39</v>
      </c>
      <c r="D476" s="175" t="s">
        <v>1699</v>
      </c>
      <c r="E476" s="189" t="s">
        <v>1700</v>
      </c>
      <c r="F476" s="189" t="s">
        <v>303</v>
      </c>
      <c r="G476" s="189" t="s">
        <v>617</v>
      </c>
      <c r="H476" s="175">
        <v>100</v>
      </c>
      <c r="I476" s="175">
        <v>4</v>
      </c>
      <c r="J476" s="176" t="s">
        <v>1701</v>
      </c>
      <c r="K476" s="173">
        <v>10</v>
      </c>
      <c r="L476" s="173">
        <v>6</v>
      </c>
      <c r="M476" s="173">
        <v>0</v>
      </c>
      <c r="N476" s="173">
        <v>0</v>
      </c>
      <c r="O476" s="177">
        <v>6680000</v>
      </c>
      <c r="P476" s="177">
        <v>8496917</v>
      </c>
      <c r="Q476" s="177">
        <v>0</v>
      </c>
      <c r="R476" s="178">
        <f t="shared" si="9"/>
        <v>15176917</v>
      </c>
      <c r="S476" s="145" t="s">
        <v>1668</v>
      </c>
      <c r="T476" s="146" t="s">
        <v>1702</v>
      </c>
      <c r="U476" s="190" t="s">
        <v>1703</v>
      </c>
      <c r="V476" s="89"/>
      <c r="W476" s="90" t="s">
        <v>1171</v>
      </c>
      <c r="X476" s="81"/>
      <c r="Y476" s="81"/>
      <c r="Z476" s="81"/>
      <c r="AA476" s="81"/>
      <c r="AB476" s="81"/>
      <c r="AC476" s="81"/>
      <c r="AD476" s="81"/>
      <c r="AE476" s="81"/>
    </row>
    <row r="477" spans="1:31" s="1" customFormat="1" ht="40.5">
      <c r="A477" s="171">
        <v>476</v>
      </c>
      <c r="B477" s="172">
        <v>110</v>
      </c>
      <c r="C477" s="175" t="s">
        <v>39</v>
      </c>
      <c r="D477" s="175" t="s">
        <v>1699</v>
      </c>
      <c r="E477" s="189" t="s">
        <v>1704</v>
      </c>
      <c r="F477" s="189" t="s">
        <v>1705</v>
      </c>
      <c r="G477" s="189" t="s">
        <v>1706</v>
      </c>
      <c r="H477" s="175">
        <v>45</v>
      </c>
      <c r="I477" s="175">
        <v>0</v>
      </c>
      <c r="J477" s="176">
        <v>8</v>
      </c>
      <c r="K477" s="173">
        <v>0</v>
      </c>
      <c r="L477" s="173">
        <v>4</v>
      </c>
      <c r="M477" s="173">
        <v>0</v>
      </c>
      <c r="N477" s="173">
        <v>0</v>
      </c>
      <c r="O477" s="177">
        <v>2880000</v>
      </c>
      <c r="P477" s="177">
        <v>2228280</v>
      </c>
      <c r="Q477" s="177">
        <v>0</v>
      </c>
      <c r="R477" s="178">
        <f t="shared" si="9"/>
        <v>5108280</v>
      </c>
      <c r="S477" s="145" t="s">
        <v>1668</v>
      </c>
      <c r="T477" s="146" t="s">
        <v>1707</v>
      </c>
      <c r="U477" s="190" t="s">
        <v>1708</v>
      </c>
      <c r="V477" s="89"/>
      <c r="W477" s="90" t="s">
        <v>1381</v>
      </c>
      <c r="X477" s="81"/>
      <c r="Y477" s="81"/>
      <c r="Z477" s="81"/>
      <c r="AA477" s="81"/>
      <c r="AB477" s="81"/>
      <c r="AC477" s="81"/>
      <c r="AD477" s="81"/>
      <c r="AE477" s="81"/>
    </row>
    <row r="478" spans="1:31" s="1" customFormat="1" ht="54">
      <c r="A478" s="171">
        <v>477</v>
      </c>
      <c r="B478" s="172">
        <v>110</v>
      </c>
      <c r="C478" s="175" t="s">
        <v>39</v>
      </c>
      <c r="D478" s="175" t="s">
        <v>1565</v>
      </c>
      <c r="E478" s="189" t="s">
        <v>1709</v>
      </c>
      <c r="F478" s="189" t="s">
        <v>1710</v>
      </c>
      <c r="G478" s="189" t="s">
        <v>1711</v>
      </c>
      <c r="H478" s="175">
        <v>46</v>
      </c>
      <c r="I478" s="175">
        <v>4</v>
      </c>
      <c r="J478" s="176">
        <v>8</v>
      </c>
      <c r="K478" s="173">
        <v>1</v>
      </c>
      <c r="L478" s="173">
        <v>0</v>
      </c>
      <c r="M478" s="173">
        <v>1</v>
      </c>
      <c r="N478" s="173">
        <v>0</v>
      </c>
      <c r="O478" s="177">
        <v>29440000</v>
      </c>
      <c r="P478" s="177">
        <v>4135584</v>
      </c>
      <c r="Q478" s="177">
        <v>0</v>
      </c>
      <c r="R478" s="178">
        <f t="shared" si="9"/>
        <v>33575584</v>
      </c>
      <c r="S478" s="145" t="s">
        <v>1174</v>
      </c>
      <c r="T478" s="146" t="s">
        <v>1712</v>
      </c>
      <c r="U478" s="190"/>
      <c r="V478" s="89"/>
      <c r="W478" s="90" t="s">
        <v>1713</v>
      </c>
      <c r="X478" s="81"/>
      <c r="Y478" s="81"/>
      <c r="Z478" s="81"/>
      <c r="AA478" s="81"/>
      <c r="AB478" s="81"/>
      <c r="AC478" s="81"/>
      <c r="AD478" s="81"/>
      <c r="AE478" s="81"/>
    </row>
    <row r="479" spans="1:31" s="1" customFormat="1" ht="40.5">
      <c r="A479" s="171">
        <v>478</v>
      </c>
      <c r="B479" s="172">
        <v>110</v>
      </c>
      <c r="C479" s="175" t="s">
        <v>39</v>
      </c>
      <c r="D479" s="175" t="s">
        <v>1636</v>
      </c>
      <c r="E479" s="189" t="s">
        <v>1714</v>
      </c>
      <c r="F479" s="189" t="s">
        <v>1715</v>
      </c>
      <c r="G479" s="189"/>
      <c r="H479" s="175">
        <v>110</v>
      </c>
      <c r="I479" s="175">
        <v>0</v>
      </c>
      <c r="J479" s="176">
        <v>10</v>
      </c>
      <c r="K479" s="173">
        <v>2</v>
      </c>
      <c r="L479" s="173">
        <v>2</v>
      </c>
      <c r="M479" s="173">
        <v>0</v>
      </c>
      <c r="N479" s="173">
        <v>0</v>
      </c>
      <c r="O479" s="177">
        <v>8800000</v>
      </c>
      <c r="P479" s="177">
        <v>4356000</v>
      </c>
      <c r="Q479" s="177">
        <v>0</v>
      </c>
      <c r="R479" s="178">
        <f t="shared" si="9"/>
        <v>13156000</v>
      </c>
      <c r="S479" s="145" t="s">
        <v>1697</v>
      </c>
      <c r="T479" s="146" t="s">
        <v>1716</v>
      </c>
      <c r="U479" s="190"/>
      <c r="V479" s="89"/>
      <c r="W479" s="90" t="s">
        <v>1717</v>
      </c>
      <c r="X479" s="81"/>
      <c r="Y479" s="81"/>
      <c r="Z479" s="81"/>
      <c r="AA479" s="81"/>
      <c r="AB479" s="81"/>
      <c r="AC479" s="81"/>
      <c r="AD479" s="81"/>
      <c r="AE479" s="81"/>
    </row>
    <row r="480" spans="1:31" s="1" customFormat="1" ht="27">
      <c r="A480" s="171">
        <v>479</v>
      </c>
      <c r="B480" s="172">
        <v>110</v>
      </c>
      <c r="C480" s="175" t="s">
        <v>39</v>
      </c>
      <c r="D480" s="175" t="s">
        <v>1651</v>
      </c>
      <c r="E480" s="189" t="s">
        <v>1718</v>
      </c>
      <c r="F480" s="189" t="s">
        <v>1719</v>
      </c>
      <c r="G480" s="189" t="s">
        <v>1720</v>
      </c>
      <c r="H480" s="175">
        <v>30</v>
      </c>
      <c r="I480" s="175">
        <v>0</v>
      </c>
      <c r="J480" s="176">
        <v>5</v>
      </c>
      <c r="K480" s="173">
        <v>1</v>
      </c>
      <c r="L480" s="173">
        <v>3</v>
      </c>
      <c r="M480" s="173">
        <v>0</v>
      </c>
      <c r="N480" s="173">
        <v>0</v>
      </c>
      <c r="O480" s="177">
        <v>1200000</v>
      </c>
      <c r="P480" s="177">
        <v>774000</v>
      </c>
      <c r="Q480" s="177"/>
      <c r="R480" s="178">
        <f t="shared" si="9"/>
        <v>1974000</v>
      </c>
      <c r="S480" s="145" t="s">
        <v>1668</v>
      </c>
      <c r="T480" s="146" t="s">
        <v>1721</v>
      </c>
      <c r="U480" s="190"/>
      <c r="V480" s="89"/>
      <c r="W480" s="90" t="s">
        <v>1301</v>
      </c>
      <c r="X480" s="81"/>
      <c r="Y480" s="81"/>
      <c r="Z480" s="81"/>
      <c r="AA480" s="81"/>
      <c r="AB480" s="81"/>
      <c r="AC480" s="81"/>
      <c r="AD480" s="81"/>
      <c r="AE480" s="81"/>
    </row>
    <row r="481" spans="1:31" s="1" customFormat="1" ht="54">
      <c r="A481" s="171">
        <v>480</v>
      </c>
      <c r="B481" s="172">
        <v>110</v>
      </c>
      <c r="C481" s="175" t="s">
        <v>39</v>
      </c>
      <c r="D481" s="175" t="s">
        <v>1627</v>
      </c>
      <c r="E481" s="189" t="s">
        <v>1722</v>
      </c>
      <c r="F481" s="189" t="s">
        <v>1723</v>
      </c>
      <c r="G481" s="189" t="s">
        <v>1724</v>
      </c>
      <c r="H481" s="175">
        <v>50</v>
      </c>
      <c r="I481" s="175">
        <v>0</v>
      </c>
      <c r="J481" s="176">
        <v>10</v>
      </c>
      <c r="K481" s="173">
        <v>3</v>
      </c>
      <c r="L481" s="173">
        <v>4</v>
      </c>
      <c r="M481" s="173">
        <v>0</v>
      </c>
      <c r="N481" s="173">
        <v>0</v>
      </c>
      <c r="O481" s="177">
        <v>4000000</v>
      </c>
      <c r="P481" s="177">
        <v>16722240</v>
      </c>
      <c r="Q481" s="177"/>
      <c r="R481" s="178">
        <f t="shared" si="9"/>
        <v>20722240</v>
      </c>
      <c r="S481" s="145" t="s">
        <v>1668</v>
      </c>
      <c r="T481" s="146" t="s">
        <v>1725</v>
      </c>
      <c r="U481" s="190"/>
      <c r="V481" s="89"/>
      <c r="W481" s="90" t="s">
        <v>1726</v>
      </c>
      <c r="X481" s="81"/>
      <c r="Y481" s="81"/>
      <c r="Z481" s="81"/>
      <c r="AA481" s="81"/>
      <c r="AB481" s="81"/>
      <c r="AC481" s="81"/>
      <c r="AD481" s="81"/>
      <c r="AE481" s="81"/>
    </row>
    <row r="482" spans="1:31" s="1" customFormat="1" ht="40.5">
      <c r="A482" s="171">
        <v>481</v>
      </c>
      <c r="B482" s="172">
        <v>110</v>
      </c>
      <c r="C482" s="175" t="s">
        <v>39</v>
      </c>
      <c r="D482" s="175" t="s">
        <v>1571</v>
      </c>
      <c r="E482" s="189" t="s">
        <v>1727</v>
      </c>
      <c r="F482" s="189" t="s">
        <v>798</v>
      </c>
      <c r="G482" s="189" t="s">
        <v>1728</v>
      </c>
      <c r="H482" s="175">
        <v>39</v>
      </c>
      <c r="I482" s="175">
        <v>6</v>
      </c>
      <c r="J482" s="176">
        <v>8</v>
      </c>
      <c r="K482" s="173">
        <v>5</v>
      </c>
      <c r="L482" s="173">
        <v>1</v>
      </c>
      <c r="M482" s="173">
        <v>0</v>
      </c>
      <c r="N482" s="173">
        <v>0</v>
      </c>
      <c r="O482" s="177">
        <v>660000</v>
      </c>
      <c r="P482" s="177">
        <v>923580</v>
      </c>
      <c r="Q482" s="177">
        <v>0</v>
      </c>
      <c r="R482" s="178">
        <f t="shared" si="9"/>
        <v>1583580</v>
      </c>
      <c r="S482" s="145" t="s">
        <v>1668</v>
      </c>
      <c r="T482" s="146" t="s">
        <v>1729</v>
      </c>
      <c r="U482" s="190" t="s">
        <v>1730</v>
      </c>
      <c r="V482" s="89"/>
      <c r="W482" s="90" t="s">
        <v>1575</v>
      </c>
      <c r="X482" s="81"/>
      <c r="Y482" s="81"/>
      <c r="Z482" s="81"/>
      <c r="AA482" s="81"/>
      <c r="AB482" s="81"/>
      <c r="AC482" s="81"/>
      <c r="AD482" s="81"/>
      <c r="AE482" s="81"/>
    </row>
    <row r="483" spans="1:31" s="1" customFormat="1" ht="27">
      <c r="A483" s="171">
        <v>482</v>
      </c>
      <c r="B483" s="172">
        <v>110</v>
      </c>
      <c r="C483" s="175" t="s">
        <v>39</v>
      </c>
      <c r="D483" s="175" t="s">
        <v>1598</v>
      </c>
      <c r="E483" s="189" t="s">
        <v>1731</v>
      </c>
      <c r="F483" s="189" t="s">
        <v>1732</v>
      </c>
      <c r="G483" s="189"/>
      <c r="H483" s="175">
        <v>170</v>
      </c>
      <c r="I483" s="175">
        <v>4</v>
      </c>
      <c r="J483" s="176">
        <v>6</v>
      </c>
      <c r="K483" s="173">
        <v>1</v>
      </c>
      <c r="L483" s="173">
        <v>5</v>
      </c>
      <c r="M483" s="173">
        <v>0</v>
      </c>
      <c r="N483" s="173">
        <v>0</v>
      </c>
      <c r="O483" s="177">
        <v>8160000</v>
      </c>
      <c r="P483" s="177">
        <v>6528000</v>
      </c>
      <c r="Q483" s="177"/>
      <c r="R483" s="178">
        <f t="shared" si="9"/>
        <v>14688000</v>
      </c>
      <c r="S483" s="145" t="s">
        <v>1697</v>
      </c>
      <c r="T483" s="146" t="s">
        <v>1733</v>
      </c>
      <c r="U483" s="190"/>
      <c r="V483" s="89"/>
      <c r="W483" s="90" t="s">
        <v>1152</v>
      </c>
      <c r="X483" s="81"/>
      <c r="Y483" s="81"/>
      <c r="Z483" s="81"/>
      <c r="AA483" s="81"/>
      <c r="AB483" s="81"/>
      <c r="AC483" s="81"/>
      <c r="AD483" s="81"/>
      <c r="AE483" s="81"/>
    </row>
    <row r="484" spans="1:31" s="1" customFormat="1" ht="40.5">
      <c r="A484" s="171">
        <v>483</v>
      </c>
      <c r="B484" s="172">
        <v>110</v>
      </c>
      <c r="C484" s="175" t="s">
        <v>39</v>
      </c>
      <c r="D484" s="175" t="s">
        <v>1699</v>
      </c>
      <c r="E484" s="189" t="s">
        <v>1734</v>
      </c>
      <c r="F484" s="189" t="s">
        <v>1735</v>
      </c>
      <c r="G484" s="189" t="s">
        <v>1736</v>
      </c>
      <c r="H484" s="175">
        <v>16</v>
      </c>
      <c r="I484" s="175">
        <v>0</v>
      </c>
      <c r="J484" s="176">
        <v>8</v>
      </c>
      <c r="K484" s="173">
        <v>1</v>
      </c>
      <c r="L484" s="173">
        <v>1</v>
      </c>
      <c r="M484" s="173">
        <v>0</v>
      </c>
      <c r="N484" s="173">
        <v>1</v>
      </c>
      <c r="O484" s="177">
        <v>1024000</v>
      </c>
      <c r="P484" s="177">
        <v>7159370</v>
      </c>
      <c r="Q484" s="177">
        <v>80000</v>
      </c>
      <c r="R484" s="178">
        <f t="shared" si="9"/>
        <v>8263370</v>
      </c>
      <c r="S484" s="145" t="s">
        <v>1697</v>
      </c>
      <c r="T484" s="146" t="s">
        <v>1737</v>
      </c>
      <c r="U484" s="190"/>
      <c r="V484" s="89"/>
      <c r="W484" s="90" t="s">
        <v>1381</v>
      </c>
      <c r="X484" s="81"/>
      <c r="Y484" s="81"/>
      <c r="Z484" s="81"/>
      <c r="AA484" s="81"/>
      <c r="AB484" s="81"/>
      <c r="AC484" s="81"/>
      <c r="AD484" s="81"/>
      <c r="AE484" s="81"/>
    </row>
    <row r="485" spans="1:31" s="1" customFormat="1" ht="40.5">
      <c r="A485" s="171">
        <v>484</v>
      </c>
      <c r="B485" s="172">
        <v>110</v>
      </c>
      <c r="C485" s="175" t="s">
        <v>39</v>
      </c>
      <c r="D485" s="175" t="s">
        <v>1576</v>
      </c>
      <c r="E485" s="189" t="s">
        <v>1738</v>
      </c>
      <c r="F485" s="189" t="s">
        <v>487</v>
      </c>
      <c r="G485" s="189" t="s">
        <v>1739</v>
      </c>
      <c r="H485" s="175">
        <v>46</v>
      </c>
      <c r="I485" s="175">
        <v>0</v>
      </c>
      <c r="J485" s="176">
        <v>8</v>
      </c>
      <c r="K485" s="173">
        <v>6</v>
      </c>
      <c r="L485" s="173">
        <v>1</v>
      </c>
      <c r="M485" s="173">
        <v>0</v>
      </c>
      <c r="N485" s="173">
        <v>1</v>
      </c>
      <c r="O485" s="177">
        <v>2944000</v>
      </c>
      <c r="P485" s="177">
        <v>10091544</v>
      </c>
      <c r="Q485" s="177">
        <v>4444162</v>
      </c>
      <c r="R485" s="178">
        <f t="shared" si="9"/>
        <v>17479706</v>
      </c>
      <c r="S485" s="145" t="s">
        <v>1668</v>
      </c>
      <c r="T485" s="146" t="s">
        <v>1740</v>
      </c>
      <c r="U485" s="190"/>
      <c r="V485" s="89"/>
      <c r="W485" s="90" t="s">
        <v>1741</v>
      </c>
      <c r="X485" s="81"/>
      <c r="Y485" s="81"/>
      <c r="Z485" s="81"/>
      <c r="AA485" s="81"/>
      <c r="AB485" s="81"/>
      <c r="AC485" s="81"/>
      <c r="AD485" s="81"/>
      <c r="AE485" s="81"/>
    </row>
    <row r="486" spans="1:31" s="1" customFormat="1" ht="40.5">
      <c r="A486" s="171">
        <v>485</v>
      </c>
      <c r="B486" s="172">
        <v>110</v>
      </c>
      <c r="C486" s="175" t="s">
        <v>39</v>
      </c>
      <c r="D486" s="175" t="s">
        <v>1627</v>
      </c>
      <c r="E486" s="189" t="s">
        <v>1742</v>
      </c>
      <c r="F486" s="189" t="s">
        <v>1743</v>
      </c>
      <c r="G486" s="189" t="s">
        <v>1744</v>
      </c>
      <c r="H486" s="175">
        <v>165</v>
      </c>
      <c r="I486" s="175" t="s">
        <v>1745</v>
      </c>
      <c r="J486" s="176">
        <v>8</v>
      </c>
      <c r="K486" s="173">
        <v>4</v>
      </c>
      <c r="L486" s="173">
        <v>13</v>
      </c>
      <c r="M486" s="173">
        <v>0</v>
      </c>
      <c r="N486" s="173">
        <v>5</v>
      </c>
      <c r="O486" s="177">
        <v>10560000</v>
      </c>
      <c r="P486" s="177">
        <v>49982597</v>
      </c>
      <c r="Q486" s="177">
        <v>1343100</v>
      </c>
      <c r="R486" s="178">
        <f t="shared" si="9"/>
        <v>61885697</v>
      </c>
      <c r="S486" s="145" t="s">
        <v>1174</v>
      </c>
      <c r="T486" s="146" t="s">
        <v>1746</v>
      </c>
      <c r="U486" s="190"/>
      <c r="V486" s="89"/>
      <c r="W486" s="90" t="s">
        <v>1747</v>
      </c>
      <c r="X486" s="81"/>
      <c r="Y486" s="81"/>
      <c r="Z486" s="81"/>
      <c r="AA486" s="81"/>
      <c r="AB486" s="81"/>
      <c r="AC486" s="81"/>
      <c r="AD486" s="81"/>
      <c r="AE486" s="81"/>
    </row>
    <row r="487" spans="1:31" s="1" customFormat="1" ht="54">
      <c r="A487" s="171">
        <v>486</v>
      </c>
      <c r="B487" s="172">
        <v>110</v>
      </c>
      <c r="C487" s="193" t="s">
        <v>178</v>
      </c>
      <c r="D487" s="193" t="s">
        <v>1558</v>
      </c>
      <c r="E487" s="189" t="s">
        <v>1748</v>
      </c>
      <c r="F487" s="189"/>
      <c r="G487" s="189"/>
      <c r="H487" s="175">
        <v>76</v>
      </c>
      <c r="I487" s="175">
        <v>0</v>
      </c>
      <c r="J487" s="176">
        <v>8</v>
      </c>
      <c r="K487" s="173">
        <v>3</v>
      </c>
      <c r="L487" s="173">
        <v>5</v>
      </c>
      <c r="M487" s="173">
        <v>0</v>
      </c>
      <c r="N487" s="173">
        <v>0</v>
      </c>
      <c r="O487" s="177">
        <v>4864000</v>
      </c>
      <c r="P487" s="177">
        <v>64116287</v>
      </c>
      <c r="Q487" s="177">
        <v>0</v>
      </c>
      <c r="R487" s="178">
        <f t="shared" si="9"/>
        <v>68980287</v>
      </c>
      <c r="S487" s="145" t="s">
        <v>1174</v>
      </c>
      <c r="T487" s="195" t="s">
        <v>1749</v>
      </c>
      <c r="U487" s="190"/>
      <c r="V487" s="89"/>
      <c r="W487" s="90" t="s">
        <v>1750</v>
      </c>
      <c r="X487" s="81"/>
      <c r="Y487" s="81"/>
      <c r="Z487" s="81"/>
      <c r="AA487" s="81"/>
      <c r="AB487" s="81"/>
      <c r="AC487" s="81"/>
      <c r="AD487" s="81"/>
      <c r="AE487" s="81"/>
    </row>
    <row r="488" spans="1:31" s="1" customFormat="1" ht="27">
      <c r="A488" s="171">
        <v>487</v>
      </c>
      <c r="B488" s="172">
        <v>110</v>
      </c>
      <c r="C488" s="197"/>
      <c r="D488" s="197"/>
      <c r="E488" s="189" t="s">
        <v>1751</v>
      </c>
      <c r="F488" s="189"/>
      <c r="G488" s="189"/>
      <c r="H488" s="175">
        <v>94</v>
      </c>
      <c r="I488" s="175">
        <v>0</v>
      </c>
      <c r="J488" s="176">
        <v>4</v>
      </c>
      <c r="K488" s="173">
        <v>6</v>
      </c>
      <c r="L488" s="173">
        <v>4</v>
      </c>
      <c r="M488" s="173">
        <v>0</v>
      </c>
      <c r="N488" s="173">
        <v>0</v>
      </c>
      <c r="O488" s="177">
        <v>1504000</v>
      </c>
      <c r="P488" s="177">
        <v>6805467</v>
      </c>
      <c r="Q488" s="177">
        <v>0</v>
      </c>
      <c r="R488" s="178">
        <f t="shared" si="9"/>
        <v>8309467</v>
      </c>
      <c r="S488" s="145" t="s">
        <v>1174</v>
      </c>
      <c r="T488" s="199"/>
      <c r="U488" s="190"/>
      <c r="V488" s="89"/>
      <c r="W488" s="90" t="s">
        <v>1750</v>
      </c>
      <c r="X488" s="81"/>
      <c r="Y488" s="81"/>
      <c r="Z488" s="81"/>
      <c r="AA488" s="81"/>
      <c r="AB488" s="81"/>
      <c r="AC488" s="81"/>
      <c r="AD488" s="81"/>
      <c r="AE488" s="81"/>
    </row>
    <row r="489" spans="1:31" s="1" customFormat="1" ht="27">
      <c r="A489" s="171">
        <v>488</v>
      </c>
      <c r="B489" s="172">
        <v>110</v>
      </c>
      <c r="C489" s="201"/>
      <c r="D489" s="201"/>
      <c r="E489" s="189" t="s">
        <v>1752</v>
      </c>
      <c r="F489" s="189" t="s">
        <v>1753</v>
      </c>
      <c r="G489" s="189" t="s">
        <v>1754</v>
      </c>
      <c r="H489" s="175">
        <v>60</v>
      </c>
      <c r="I489" s="175">
        <v>6</v>
      </c>
      <c r="J489" s="176">
        <v>8</v>
      </c>
      <c r="K489" s="173">
        <v>4</v>
      </c>
      <c r="L489" s="173">
        <v>6</v>
      </c>
      <c r="M489" s="173">
        <v>0</v>
      </c>
      <c r="N489" s="173">
        <v>0</v>
      </c>
      <c r="O489" s="177">
        <v>3840000</v>
      </c>
      <c r="P489" s="177">
        <v>12184018</v>
      </c>
      <c r="Q489" s="177">
        <v>0</v>
      </c>
      <c r="R489" s="178">
        <f t="shared" si="9"/>
        <v>16024018</v>
      </c>
      <c r="S489" s="145" t="s">
        <v>1174</v>
      </c>
      <c r="T489" s="203"/>
      <c r="U489" s="190"/>
      <c r="V489" s="89"/>
      <c r="W489" s="90" t="s">
        <v>1750</v>
      </c>
      <c r="X489" s="81"/>
      <c r="Y489" s="81"/>
      <c r="Z489" s="81"/>
      <c r="AA489" s="81"/>
      <c r="AB489" s="81"/>
      <c r="AC489" s="81"/>
      <c r="AD489" s="81"/>
      <c r="AE489" s="81"/>
    </row>
    <row r="490" spans="1:31" s="1" customFormat="1" ht="54">
      <c r="A490" s="171">
        <v>489</v>
      </c>
      <c r="B490" s="172">
        <v>110</v>
      </c>
      <c r="C490" s="193" t="s">
        <v>178</v>
      </c>
      <c r="D490" s="193" t="s">
        <v>1632</v>
      </c>
      <c r="E490" s="189" t="s">
        <v>1755</v>
      </c>
      <c r="F490" s="189" t="s">
        <v>1756</v>
      </c>
      <c r="G490" s="189" t="s">
        <v>1757</v>
      </c>
      <c r="H490" s="175">
        <v>275</v>
      </c>
      <c r="I490" s="175">
        <v>0</v>
      </c>
      <c r="J490" s="176" t="s">
        <v>1227</v>
      </c>
      <c r="K490" s="173">
        <v>12</v>
      </c>
      <c r="L490" s="173">
        <v>12</v>
      </c>
      <c r="M490" s="173">
        <v>0</v>
      </c>
      <c r="N490" s="173">
        <v>0</v>
      </c>
      <c r="O490" s="177">
        <v>19840000</v>
      </c>
      <c r="P490" s="177">
        <v>113724445</v>
      </c>
      <c r="Q490" s="177">
        <v>0</v>
      </c>
      <c r="R490" s="178">
        <f t="shared" si="9"/>
        <v>133564445</v>
      </c>
      <c r="S490" s="145" t="s">
        <v>1697</v>
      </c>
      <c r="T490" s="195" t="s">
        <v>1758</v>
      </c>
      <c r="U490" s="190"/>
      <c r="V490" s="89"/>
      <c r="W490" s="90" t="s">
        <v>1759</v>
      </c>
      <c r="X490" s="81"/>
      <c r="Y490" s="81"/>
      <c r="Z490" s="81"/>
      <c r="AA490" s="81"/>
      <c r="AB490" s="81"/>
      <c r="AC490" s="81"/>
      <c r="AD490" s="81"/>
      <c r="AE490" s="81"/>
    </row>
    <row r="491" spans="1:31" s="1" customFormat="1" ht="27">
      <c r="A491" s="171">
        <v>490</v>
      </c>
      <c r="B491" s="172">
        <v>110</v>
      </c>
      <c r="C491" s="201"/>
      <c r="D491" s="201"/>
      <c r="E491" s="189" t="s">
        <v>1760</v>
      </c>
      <c r="F491" s="189" t="s">
        <v>1761</v>
      </c>
      <c r="G491" s="189" t="s">
        <v>928</v>
      </c>
      <c r="H491" s="175">
        <v>30</v>
      </c>
      <c r="I491" s="175">
        <v>0</v>
      </c>
      <c r="J491" s="176">
        <v>10</v>
      </c>
      <c r="K491" s="173">
        <v>1</v>
      </c>
      <c r="L491" s="173">
        <v>1</v>
      </c>
      <c r="M491" s="173">
        <v>0</v>
      </c>
      <c r="N491" s="173">
        <v>0</v>
      </c>
      <c r="O491" s="177">
        <v>2400000</v>
      </c>
      <c r="P491" s="177">
        <v>597546</v>
      </c>
      <c r="Q491" s="177">
        <v>0</v>
      </c>
      <c r="R491" s="178">
        <f t="shared" si="9"/>
        <v>2997546</v>
      </c>
      <c r="S491" s="145" t="s">
        <v>1668</v>
      </c>
      <c r="T491" s="203"/>
      <c r="U491" s="190"/>
      <c r="V491" s="89"/>
      <c r="W491" s="90" t="s">
        <v>1759</v>
      </c>
      <c r="X491" s="81"/>
      <c r="Y491" s="81"/>
      <c r="Z491" s="81"/>
      <c r="AA491" s="81"/>
      <c r="AB491" s="81"/>
      <c r="AC491" s="81"/>
      <c r="AD491" s="81"/>
      <c r="AE491" s="81"/>
    </row>
    <row r="492" spans="1:31" s="1" customFormat="1" ht="54">
      <c r="A492" s="171">
        <v>491</v>
      </c>
      <c r="B492" s="172">
        <v>110</v>
      </c>
      <c r="C492" s="175" t="s">
        <v>178</v>
      </c>
      <c r="D492" s="175" t="s">
        <v>1565</v>
      </c>
      <c r="E492" s="189" t="s">
        <v>1762</v>
      </c>
      <c r="F492" s="189" t="s">
        <v>1763</v>
      </c>
      <c r="G492" s="189" t="s">
        <v>1764</v>
      </c>
      <c r="H492" s="175">
        <v>70</v>
      </c>
      <c r="I492" s="175">
        <v>0</v>
      </c>
      <c r="J492" s="176">
        <v>8</v>
      </c>
      <c r="K492" s="173">
        <v>2</v>
      </c>
      <c r="L492" s="173">
        <v>4</v>
      </c>
      <c r="M492" s="173">
        <v>0</v>
      </c>
      <c r="N492" s="173">
        <v>1</v>
      </c>
      <c r="O492" s="177">
        <v>4480000</v>
      </c>
      <c r="P492" s="177">
        <v>15093136</v>
      </c>
      <c r="Q492" s="177">
        <v>500000</v>
      </c>
      <c r="R492" s="178">
        <f t="shared" si="9"/>
        <v>20073136</v>
      </c>
      <c r="S492" s="145" t="s">
        <v>1697</v>
      </c>
      <c r="T492" s="146" t="s">
        <v>1765</v>
      </c>
      <c r="U492" s="190"/>
      <c r="V492" s="89"/>
      <c r="W492" s="90" t="s">
        <v>1766</v>
      </c>
      <c r="X492" s="81"/>
      <c r="Y492" s="81"/>
      <c r="Z492" s="81"/>
      <c r="AA492" s="81"/>
      <c r="AB492" s="81"/>
      <c r="AC492" s="81"/>
      <c r="AD492" s="81"/>
      <c r="AE492" s="81"/>
    </row>
    <row r="493" spans="1:31" s="1" customFormat="1" ht="54">
      <c r="A493" s="171">
        <v>492</v>
      </c>
      <c r="B493" s="172">
        <v>110</v>
      </c>
      <c r="C493" s="175" t="s">
        <v>178</v>
      </c>
      <c r="D493" s="175" t="s">
        <v>1598</v>
      </c>
      <c r="E493" s="189" t="s">
        <v>1767</v>
      </c>
      <c r="F493" s="189" t="s">
        <v>1768</v>
      </c>
      <c r="G493" s="189" t="s">
        <v>1769</v>
      </c>
      <c r="H493" s="175">
        <v>290</v>
      </c>
      <c r="I493" s="175">
        <v>5</v>
      </c>
      <c r="J493" s="176">
        <v>8</v>
      </c>
      <c r="K493" s="173">
        <v>44</v>
      </c>
      <c r="L493" s="173">
        <v>51</v>
      </c>
      <c r="M493" s="173">
        <v>0</v>
      </c>
      <c r="N493" s="173">
        <v>0</v>
      </c>
      <c r="O493" s="177">
        <v>18560000</v>
      </c>
      <c r="P493" s="177">
        <f>Q493*290*2</f>
        <v>0</v>
      </c>
      <c r="Q493" s="177"/>
      <c r="R493" s="178">
        <f t="shared" si="9"/>
        <v>18560000</v>
      </c>
      <c r="S493" s="145" t="s">
        <v>1697</v>
      </c>
      <c r="T493" s="146" t="s">
        <v>1770</v>
      </c>
      <c r="U493" s="190"/>
      <c r="V493" s="89"/>
      <c r="W493" s="90" t="s">
        <v>1152</v>
      </c>
      <c r="X493" s="81"/>
      <c r="Y493" s="81"/>
      <c r="Z493" s="81"/>
      <c r="AA493" s="81"/>
      <c r="AB493" s="81"/>
      <c r="AC493" s="81"/>
      <c r="AD493" s="81"/>
      <c r="AE493" s="81"/>
    </row>
    <row r="494" spans="1:31" s="1" customFormat="1" ht="40.5">
      <c r="A494" s="171">
        <v>493</v>
      </c>
      <c r="B494" s="172">
        <v>110</v>
      </c>
      <c r="C494" s="193" t="s">
        <v>178</v>
      </c>
      <c r="D494" s="193" t="s">
        <v>1576</v>
      </c>
      <c r="E494" s="194" t="s">
        <v>1771</v>
      </c>
      <c r="F494" s="194" t="s">
        <v>1587</v>
      </c>
      <c r="G494" s="194" t="s">
        <v>1772</v>
      </c>
      <c r="H494" s="175">
        <v>25</v>
      </c>
      <c r="I494" s="175">
        <v>7</v>
      </c>
      <c r="J494" s="176">
        <v>15</v>
      </c>
      <c r="K494" s="173">
        <v>1</v>
      </c>
      <c r="L494" s="173">
        <v>4</v>
      </c>
      <c r="M494" s="173">
        <v>0</v>
      </c>
      <c r="N494" s="173">
        <v>1</v>
      </c>
      <c r="O494" s="177">
        <v>3000000</v>
      </c>
      <c r="P494" s="177">
        <v>8700000</v>
      </c>
      <c r="Q494" s="177">
        <v>250000</v>
      </c>
      <c r="R494" s="178">
        <f t="shared" si="9"/>
        <v>11950000</v>
      </c>
      <c r="S494" s="145" t="s">
        <v>1174</v>
      </c>
      <c r="T494" s="195" t="s">
        <v>1773</v>
      </c>
      <c r="U494" s="190"/>
      <c r="V494" s="89"/>
      <c r="W494" s="90" t="s">
        <v>1024</v>
      </c>
      <c r="X494" s="81"/>
      <c r="Y494" s="81"/>
      <c r="Z494" s="81"/>
      <c r="AA494" s="81"/>
      <c r="AB494" s="81"/>
      <c r="AC494" s="81"/>
      <c r="AD494" s="81"/>
      <c r="AE494" s="81"/>
    </row>
    <row r="495" spans="1:31" s="1" customFormat="1" ht="27">
      <c r="A495" s="171">
        <v>494</v>
      </c>
      <c r="B495" s="172">
        <v>110</v>
      </c>
      <c r="C495" s="201"/>
      <c r="D495" s="201"/>
      <c r="E495" s="202"/>
      <c r="F495" s="202"/>
      <c r="G495" s="202"/>
      <c r="H495" s="175">
        <v>25</v>
      </c>
      <c r="I495" s="175">
        <v>7</v>
      </c>
      <c r="J495" s="176">
        <v>15</v>
      </c>
      <c r="K495" s="173">
        <v>2</v>
      </c>
      <c r="L495" s="173">
        <v>3</v>
      </c>
      <c r="M495" s="173">
        <v>0</v>
      </c>
      <c r="N495" s="173">
        <v>2</v>
      </c>
      <c r="O495" s="177">
        <v>3000000</v>
      </c>
      <c r="P495" s="177">
        <v>3180000</v>
      </c>
      <c r="Q495" s="177">
        <v>250000</v>
      </c>
      <c r="R495" s="178">
        <f t="shared" si="9"/>
        <v>6430000</v>
      </c>
      <c r="S495" s="145" t="s">
        <v>1174</v>
      </c>
      <c r="T495" s="203"/>
      <c r="U495" s="190"/>
      <c r="V495" s="89"/>
      <c r="W495" s="90" t="s">
        <v>1024</v>
      </c>
      <c r="X495" s="81"/>
      <c r="Y495" s="81"/>
      <c r="Z495" s="81"/>
      <c r="AA495" s="81"/>
      <c r="AB495" s="81"/>
      <c r="AC495" s="81"/>
      <c r="AD495" s="81"/>
      <c r="AE495" s="81"/>
    </row>
    <row r="496" spans="1:31" s="1" customFormat="1" ht="54">
      <c r="A496" s="171">
        <v>495</v>
      </c>
      <c r="B496" s="172">
        <v>110</v>
      </c>
      <c r="C496" s="175" t="s">
        <v>178</v>
      </c>
      <c r="D496" s="175" t="s">
        <v>1576</v>
      </c>
      <c r="E496" s="189" t="s">
        <v>1774</v>
      </c>
      <c r="F496" s="189" t="s">
        <v>1775</v>
      </c>
      <c r="G496" s="189" t="s">
        <v>245</v>
      </c>
      <c r="H496" s="175">
        <v>310</v>
      </c>
      <c r="I496" s="175" t="s">
        <v>1412</v>
      </c>
      <c r="J496" s="176" t="s">
        <v>1776</v>
      </c>
      <c r="K496" s="173">
        <v>3</v>
      </c>
      <c r="L496" s="173">
        <v>6</v>
      </c>
      <c r="M496" s="173">
        <v>0</v>
      </c>
      <c r="N496" s="173">
        <v>0</v>
      </c>
      <c r="O496" s="177">
        <v>22800000</v>
      </c>
      <c r="P496" s="177">
        <v>135772794</v>
      </c>
      <c r="Q496" s="177">
        <v>0</v>
      </c>
      <c r="R496" s="178">
        <f t="shared" si="9"/>
        <v>158572794</v>
      </c>
      <c r="S496" s="145" t="s">
        <v>1174</v>
      </c>
      <c r="T496" s="146" t="s">
        <v>1777</v>
      </c>
      <c r="U496" s="190"/>
      <c r="V496" s="89"/>
      <c r="W496" s="90" t="s">
        <v>1778</v>
      </c>
      <c r="X496" s="81"/>
      <c r="Y496" s="81"/>
      <c r="Z496" s="81"/>
      <c r="AA496" s="81"/>
      <c r="AB496" s="81"/>
      <c r="AC496" s="81"/>
      <c r="AD496" s="81"/>
      <c r="AE496" s="81"/>
    </row>
    <row r="497" spans="1:31" s="1" customFormat="1" ht="40.5">
      <c r="A497" s="171">
        <v>496</v>
      </c>
      <c r="B497" s="172">
        <v>110</v>
      </c>
      <c r="C497" s="175" t="s">
        <v>178</v>
      </c>
      <c r="D497" s="175" t="s">
        <v>1627</v>
      </c>
      <c r="E497" s="189" t="s">
        <v>1779</v>
      </c>
      <c r="F497" s="189" t="s">
        <v>1780</v>
      </c>
      <c r="G497" s="189" t="s">
        <v>1169</v>
      </c>
      <c r="H497" s="175">
        <v>113</v>
      </c>
      <c r="I497" s="175">
        <v>0</v>
      </c>
      <c r="J497" s="176">
        <v>12</v>
      </c>
      <c r="K497" s="173">
        <v>0</v>
      </c>
      <c r="L497" s="173">
        <v>21</v>
      </c>
      <c r="M497" s="173">
        <v>4</v>
      </c>
      <c r="N497" s="173">
        <v>2</v>
      </c>
      <c r="O497" s="177">
        <v>10848000</v>
      </c>
      <c r="P497" s="177">
        <v>155741409</v>
      </c>
      <c r="Q497" s="177">
        <v>9776800</v>
      </c>
      <c r="R497" s="178">
        <f t="shared" si="9"/>
        <v>176366209</v>
      </c>
      <c r="S497" s="145" t="s">
        <v>1174</v>
      </c>
      <c r="T497" s="146" t="s">
        <v>1175</v>
      </c>
      <c r="U497" s="190"/>
      <c r="V497" s="89"/>
      <c r="W497" s="90" t="s">
        <v>1176</v>
      </c>
      <c r="X497" s="81"/>
      <c r="Y497" s="81"/>
      <c r="Z497" s="81"/>
      <c r="AA497" s="81"/>
      <c r="AB497" s="81"/>
      <c r="AC497" s="81"/>
      <c r="AD497" s="81"/>
      <c r="AE497" s="81"/>
    </row>
    <row r="498" spans="1:31" s="1" customFormat="1" ht="40.5">
      <c r="A498" s="171">
        <v>497</v>
      </c>
      <c r="B498" s="172">
        <v>110</v>
      </c>
      <c r="C498" s="175" t="s">
        <v>178</v>
      </c>
      <c r="D498" s="175" t="s">
        <v>1590</v>
      </c>
      <c r="E498" s="189" t="s">
        <v>1781</v>
      </c>
      <c r="F498" s="189" t="s">
        <v>850</v>
      </c>
      <c r="G498" s="189" t="s">
        <v>495</v>
      </c>
      <c r="H498" s="175">
        <v>915</v>
      </c>
      <c r="I498" s="175">
        <v>0</v>
      </c>
      <c r="J498" s="176">
        <v>15</v>
      </c>
      <c r="K498" s="173">
        <v>12</v>
      </c>
      <c r="L498" s="173">
        <v>60</v>
      </c>
      <c r="M498" s="173">
        <v>52</v>
      </c>
      <c r="N498" s="173">
        <v>14</v>
      </c>
      <c r="O498" s="177">
        <v>343125000</v>
      </c>
      <c r="P498" s="177">
        <v>247519554</v>
      </c>
      <c r="Q498" s="177">
        <v>53001972</v>
      </c>
      <c r="R498" s="178">
        <f t="shared" si="9"/>
        <v>643646526</v>
      </c>
      <c r="S498" s="145" t="s">
        <v>1697</v>
      </c>
      <c r="T498" s="146" t="s">
        <v>1782</v>
      </c>
      <c r="U498" s="190"/>
      <c r="V498" s="89"/>
      <c r="W498" s="90" t="s">
        <v>1783</v>
      </c>
      <c r="X498" s="81"/>
      <c r="Y498" s="81"/>
      <c r="Z498" s="81"/>
      <c r="AA498" s="81"/>
      <c r="AB498" s="81"/>
      <c r="AC498" s="81"/>
      <c r="AD498" s="81"/>
      <c r="AE498" s="81"/>
    </row>
    <row r="499" spans="1:31" s="1" customFormat="1" ht="54">
      <c r="A499" s="171">
        <v>498</v>
      </c>
      <c r="B499" s="172">
        <v>110</v>
      </c>
      <c r="C499" s="175" t="s">
        <v>178</v>
      </c>
      <c r="D499" s="175" t="s">
        <v>1565</v>
      </c>
      <c r="E499" s="189" t="s">
        <v>1784</v>
      </c>
      <c r="F499" s="189" t="s">
        <v>1785</v>
      </c>
      <c r="G499" s="189" t="s">
        <v>1786</v>
      </c>
      <c r="H499" s="175">
        <v>130</v>
      </c>
      <c r="I499" s="175">
        <v>7</v>
      </c>
      <c r="J499" s="176">
        <v>10</v>
      </c>
      <c r="K499" s="173">
        <v>2</v>
      </c>
      <c r="L499" s="173">
        <v>10</v>
      </c>
      <c r="M499" s="173">
        <v>0</v>
      </c>
      <c r="N499" s="173">
        <v>2</v>
      </c>
      <c r="O499" s="177">
        <v>10400000</v>
      </c>
      <c r="P499" s="177">
        <v>49257185</v>
      </c>
      <c r="Q499" s="177">
        <v>2000000</v>
      </c>
      <c r="R499" s="178">
        <f t="shared" si="9"/>
        <v>61657185</v>
      </c>
      <c r="S499" s="145" t="s">
        <v>1174</v>
      </c>
      <c r="T499" s="146" t="s">
        <v>1787</v>
      </c>
      <c r="U499" s="190"/>
      <c r="V499" s="89"/>
      <c r="W499" s="90" t="s">
        <v>1788</v>
      </c>
      <c r="X499" s="81"/>
      <c r="Y499" s="81"/>
      <c r="Z499" s="81"/>
      <c r="AA499" s="81"/>
      <c r="AB499" s="81"/>
      <c r="AC499" s="81"/>
      <c r="AD499" s="81"/>
      <c r="AE499" s="81"/>
    </row>
    <row r="500" spans="1:31" s="1" customFormat="1" ht="67.5">
      <c r="A500" s="171">
        <v>499</v>
      </c>
      <c r="B500" s="172">
        <v>110</v>
      </c>
      <c r="C500" s="175" t="s">
        <v>178</v>
      </c>
      <c r="D500" s="175" t="s">
        <v>1632</v>
      </c>
      <c r="E500" s="189" t="s">
        <v>1789</v>
      </c>
      <c r="F500" s="189" t="s">
        <v>1790</v>
      </c>
      <c r="G500" s="189" t="s">
        <v>1791</v>
      </c>
      <c r="H500" s="175">
        <v>70</v>
      </c>
      <c r="I500" s="175">
        <v>0</v>
      </c>
      <c r="J500" s="176">
        <v>8</v>
      </c>
      <c r="K500" s="173">
        <v>1</v>
      </c>
      <c r="L500" s="173">
        <v>1</v>
      </c>
      <c r="M500" s="173">
        <v>0</v>
      </c>
      <c r="N500" s="173">
        <v>0</v>
      </c>
      <c r="O500" s="177">
        <v>4480000</v>
      </c>
      <c r="P500" s="177">
        <v>1804583</v>
      </c>
      <c r="Q500" s="177">
        <v>0</v>
      </c>
      <c r="R500" s="178">
        <f t="shared" si="9"/>
        <v>6284583</v>
      </c>
      <c r="S500" s="145" t="s">
        <v>1668</v>
      </c>
      <c r="T500" s="146" t="s">
        <v>1792</v>
      </c>
      <c r="U500" s="190" t="s">
        <v>1793</v>
      </c>
      <c r="V500" s="89"/>
      <c r="W500" s="90" t="s">
        <v>710</v>
      </c>
      <c r="X500" s="81"/>
      <c r="Y500" s="81"/>
      <c r="Z500" s="81"/>
      <c r="AA500" s="81"/>
      <c r="AB500" s="81"/>
      <c r="AC500" s="81"/>
      <c r="AD500" s="81"/>
      <c r="AE500" s="81"/>
    </row>
    <row r="501" spans="1:31" s="1" customFormat="1" ht="27">
      <c r="A501" s="171">
        <v>500</v>
      </c>
      <c r="B501" s="172">
        <v>110</v>
      </c>
      <c r="C501" s="175" t="s">
        <v>178</v>
      </c>
      <c r="D501" s="175" t="s">
        <v>1598</v>
      </c>
      <c r="E501" s="189" t="s">
        <v>1794</v>
      </c>
      <c r="F501" s="189" t="s">
        <v>314</v>
      </c>
      <c r="G501" s="189" t="s">
        <v>1795</v>
      </c>
      <c r="H501" s="175">
        <v>155</v>
      </c>
      <c r="I501" s="175">
        <v>4</v>
      </c>
      <c r="J501" s="176">
        <v>10</v>
      </c>
      <c r="K501" s="173">
        <v>3</v>
      </c>
      <c r="L501" s="173">
        <v>10</v>
      </c>
      <c r="M501" s="173">
        <v>4</v>
      </c>
      <c r="N501" s="173">
        <v>1</v>
      </c>
      <c r="O501" s="177">
        <v>12400000</v>
      </c>
      <c r="P501" s="177">
        <v>50838000</v>
      </c>
      <c r="Q501" s="177" t="s">
        <v>1796</v>
      </c>
      <c r="R501" s="178">
        <f>O501+P501</f>
        <v>63238000</v>
      </c>
      <c r="S501" s="145" t="s">
        <v>1697</v>
      </c>
      <c r="T501" s="146" t="s">
        <v>1797</v>
      </c>
      <c r="U501" s="190"/>
      <c r="V501" s="89"/>
      <c r="W501" s="90" t="s">
        <v>879</v>
      </c>
      <c r="X501" s="81"/>
      <c r="Y501" s="81"/>
      <c r="Z501" s="81"/>
      <c r="AA501" s="81"/>
      <c r="AB501" s="81"/>
      <c r="AC501" s="81"/>
      <c r="AD501" s="81"/>
      <c r="AE501" s="81"/>
    </row>
    <row r="502" spans="1:31" s="1" customFormat="1" ht="40.5">
      <c r="A502" s="171">
        <v>501</v>
      </c>
      <c r="B502" s="172">
        <v>110</v>
      </c>
      <c r="C502" s="175" t="s">
        <v>178</v>
      </c>
      <c r="D502" s="175" t="s">
        <v>1590</v>
      </c>
      <c r="E502" s="189" t="s">
        <v>1798</v>
      </c>
      <c r="F502" s="189" t="s">
        <v>1799</v>
      </c>
      <c r="G502" s="189" t="s">
        <v>1800</v>
      </c>
      <c r="H502" s="175">
        <v>85</v>
      </c>
      <c r="I502" s="175">
        <v>0</v>
      </c>
      <c r="J502" s="176">
        <v>8</v>
      </c>
      <c r="K502" s="173">
        <v>1</v>
      </c>
      <c r="L502" s="173">
        <v>2</v>
      </c>
      <c r="M502" s="173">
        <v>0</v>
      </c>
      <c r="N502" s="173">
        <v>0</v>
      </c>
      <c r="O502" s="177">
        <v>5440000</v>
      </c>
      <c r="P502" s="177">
        <v>28204000</v>
      </c>
      <c r="Q502" s="177">
        <v>0</v>
      </c>
      <c r="R502" s="178">
        <f>O502+P502+Q502</f>
        <v>33644000</v>
      </c>
      <c r="S502" s="145" t="s">
        <v>1697</v>
      </c>
      <c r="T502" s="146" t="s">
        <v>1801</v>
      </c>
      <c r="U502" s="190"/>
      <c r="V502" s="89"/>
      <c r="W502" s="90" t="s">
        <v>1293</v>
      </c>
      <c r="X502" s="81"/>
      <c r="Y502" s="81"/>
      <c r="Z502" s="81"/>
      <c r="AA502" s="81"/>
      <c r="AB502" s="81"/>
      <c r="AC502" s="81"/>
      <c r="AD502" s="81"/>
      <c r="AE502" s="81"/>
    </row>
    <row r="503" spans="1:31" s="1" customFormat="1" ht="40.5">
      <c r="A503" s="171">
        <v>502</v>
      </c>
      <c r="B503" s="172">
        <v>110</v>
      </c>
      <c r="C503" s="175" t="s">
        <v>178</v>
      </c>
      <c r="D503" s="175" t="s">
        <v>1699</v>
      </c>
      <c r="E503" s="189" t="s">
        <v>1802</v>
      </c>
      <c r="F503" s="189" t="s">
        <v>1132</v>
      </c>
      <c r="G503" s="189" t="s">
        <v>862</v>
      </c>
      <c r="H503" s="175">
        <v>406</v>
      </c>
      <c r="I503" s="175">
        <v>0</v>
      </c>
      <c r="J503" s="176">
        <v>15</v>
      </c>
      <c r="K503" s="173">
        <v>9</v>
      </c>
      <c r="L503" s="173">
        <v>17</v>
      </c>
      <c r="M503" s="173">
        <v>0</v>
      </c>
      <c r="N503" s="173">
        <v>1</v>
      </c>
      <c r="O503" s="177">
        <v>48720000</v>
      </c>
      <c r="P503" s="177">
        <v>96300000</v>
      </c>
      <c r="Q503" s="177">
        <v>200000</v>
      </c>
      <c r="R503" s="178">
        <f>O503+P503+Q503</f>
        <v>145220000</v>
      </c>
      <c r="S503" s="145" t="s">
        <v>1697</v>
      </c>
      <c r="T503" s="146" t="s">
        <v>1803</v>
      </c>
      <c r="U503" s="190"/>
      <c r="V503" s="89"/>
      <c r="W503" s="90" t="s">
        <v>126</v>
      </c>
      <c r="X503" s="81"/>
      <c r="Y503" s="81"/>
      <c r="Z503" s="81"/>
      <c r="AA503" s="81"/>
      <c r="AB503" s="81"/>
      <c r="AC503" s="81"/>
      <c r="AD503" s="81"/>
      <c r="AE503" s="81"/>
    </row>
    <row r="504" spans="1:31" s="1" customFormat="1" ht="40.5">
      <c r="A504" s="171">
        <v>503</v>
      </c>
      <c r="B504" s="172">
        <v>110</v>
      </c>
      <c r="C504" s="175" t="s">
        <v>178</v>
      </c>
      <c r="D504" s="175" t="s">
        <v>1636</v>
      </c>
      <c r="E504" s="189" t="s">
        <v>1804</v>
      </c>
      <c r="F504" s="189" t="s">
        <v>1805</v>
      </c>
      <c r="G504" s="189" t="s">
        <v>1806</v>
      </c>
      <c r="H504" s="175">
        <v>2010</v>
      </c>
      <c r="I504" s="175">
        <v>6</v>
      </c>
      <c r="J504" s="176">
        <v>20</v>
      </c>
      <c r="K504" s="173">
        <v>49</v>
      </c>
      <c r="L504" s="173">
        <v>85</v>
      </c>
      <c r="M504" s="173"/>
      <c r="N504" s="173"/>
      <c r="O504" s="177">
        <v>321600000</v>
      </c>
      <c r="P504" s="177">
        <f>5400*10*2010</f>
        <v>108540000</v>
      </c>
      <c r="Q504" s="177" t="s">
        <v>1346</v>
      </c>
      <c r="R504" s="178">
        <f>O504+P504</f>
        <v>430140000</v>
      </c>
      <c r="S504" s="145" t="s">
        <v>1174</v>
      </c>
      <c r="T504" s="146" t="s">
        <v>1807</v>
      </c>
      <c r="U504" s="190"/>
      <c r="V504" s="89"/>
      <c r="W504" s="90" t="s">
        <v>1808</v>
      </c>
      <c r="X504" s="81"/>
      <c r="Y504" s="81"/>
      <c r="Z504" s="81"/>
      <c r="AA504" s="81"/>
      <c r="AB504" s="81"/>
      <c r="AC504" s="81"/>
      <c r="AD504" s="81"/>
      <c r="AE504" s="81"/>
    </row>
    <row r="505" spans="1:31" s="1" customFormat="1" ht="40.5">
      <c r="A505" s="171">
        <v>504</v>
      </c>
      <c r="B505" s="172">
        <v>110</v>
      </c>
      <c r="C505" s="175" t="s">
        <v>178</v>
      </c>
      <c r="D505" s="175" t="s">
        <v>1576</v>
      </c>
      <c r="E505" s="189" t="s">
        <v>1809</v>
      </c>
      <c r="F505" s="189" t="s">
        <v>1810</v>
      </c>
      <c r="G505" s="189" t="s">
        <v>1811</v>
      </c>
      <c r="H505" s="175">
        <v>255</v>
      </c>
      <c r="I505" s="175" t="s">
        <v>1745</v>
      </c>
      <c r="J505" s="176">
        <v>8</v>
      </c>
      <c r="K505" s="173">
        <v>4</v>
      </c>
      <c r="L505" s="173">
        <v>11</v>
      </c>
      <c r="M505" s="173">
        <v>1</v>
      </c>
      <c r="N505" s="173">
        <v>13</v>
      </c>
      <c r="O505" s="177">
        <v>16320000</v>
      </c>
      <c r="P505" s="177">
        <v>112260578</v>
      </c>
      <c r="Q505" s="177">
        <v>2384166</v>
      </c>
      <c r="R505" s="178">
        <f t="shared" ref="R505:R522" si="10">O505+P505+Q505</f>
        <v>130964744</v>
      </c>
      <c r="S505" s="145" t="s">
        <v>1697</v>
      </c>
      <c r="T505" s="146" t="s">
        <v>1812</v>
      </c>
      <c r="U505" s="190"/>
      <c r="V505" s="89"/>
      <c r="W505" s="90" t="s">
        <v>1813</v>
      </c>
      <c r="X505" s="81"/>
      <c r="Y505" s="81"/>
      <c r="Z505" s="81"/>
      <c r="AA505" s="81"/>
      <c r="AB505" s="81"/>
      <c r="AC505" s="81"/>
      <c r="AD505" s="81"/>
      <c r="AE505" s="81"/>
    </row>
    <row r="506" spans="1:31" s="1" customFormat="1" ht="40.5">
      <c r="A506" s="171">
        <v>505</v>
      </c>
      <c r="B506" s="172">
        <v>110</v>
      </c>
      <c r="C506" s="175" t="s">
        <v>1814</v>
      </c>
      <c r="D506" s="175" t="s">
        <v>1632</v>
      </c>
      <c r="E506" s="189" t="s">
        <v>1815</v>
      </c>
      <c r="F506" s="189"/>
      <c r="G506" s="189"/>
      <c r="H506" s="175">
        <v>140</v>
      </c>
      <c r="I506" s="175">
        <v>4</v>
      </c>
      <c r="J506" s="176">
        <v>12</v>
      </c>
      <c r="K506" s="173"/>
      <c r="L506" s="173"/>
      <c r="M506" s="173"/>
      <c r="N506" s="173"/>
      <c r="O506" s="177">
        <v>13440000</v>
      </c>
      <c r="P506" s="177">
        <v>432327</v>
      </c>
      <c r="Q506" s="177">
        <v>0</v>
      </c>
      <c r="R506" s="178">
        <f t="shared" si="10"/>
        <v>13872327</v>
      </c>
      <c r="S506" s="145" t="s">
        <v>1668</v>
      </c>
      <c r="T506" s="146" t="s">
        <v>1816</v>
      </c>
      <c r="U506" s="190" t="s">
        <v>1817</v>
      </c>
      <c r="V506" s="89"/>
      <c r="W506" s="90" t="s">
        <v>1818</v>
      </c>
      <c r="X506" s="81"/>
      <c r="Y506" s="81"/>
      <c r="Z506" s="81"/>
      <c r="AA506" s="81"/>
      <c r="AB506" s="81"/>
      <c r="AC506" s="81"/>
      <c r="AD506" s="81"/>
      <c r="AE506" s="81"/>
    </row>
    <row r="507" spans="1:31" s="1" customFormat="1" ht="40.5">
      <c r="A507" s="171">
        <v>506</v>
      </c>
      <c r="B507" s="172">
        <v>110</v>
      </c>
      <c r="C507" s="175" t="s">
        <v>1814</v>
      </c>
      <c r="D507" s="175" t="s">
        <v>1571</v>
      </c>
      <c r="E507" s="189" t="s">
        <v>1819</v>
      </c>
      <c r="F507" s="189"/>
      <c r="G507" s="189"/>
      <c r="H507" s="175">
        <v>145</v>
      </c>
      <c r="I507" s="175">
        <v>3</v>
      </c>
      <c r="J507" s="176">
        <v>3</v>
      </c>
      <c r="K507" s="173"/>
      <c r="L507" s="173"/>
      <c r="M507" s="173"/>
      <c r="N507" s="173"/>
      <c r="O507" s="177">
        <v>3480000</v>
      </c>
      <c r="P507" s="177">
        <v>0</v>
      </c>
      <c r="Q507" s="177">
        <v>0</v>
      </c>
      <c r="R507" s="178">
        <f t="shared" si="10"/>
        <v>3480000</v>
      </c>
      <c r="S507" s="145" t="s">
        <v>1668</v>
      </c>
      <c r="T507" s="146" t="s">
        <v>1820</v>
      </c>
      <c r="U507" s="190"/>
      <c r="V507" s="89"/>
      <c r="W507" s="90" t="s">
        <v>1821</v>
      </c>
      <c r="X507" s="81"/>
      <c r="Y507" s="81"/>
      <c r="Z507" s="81"/>
      <c r="AA507" s="81"/>
      <c r="AB507" s="81"/>
      <c r="AC507" s="81"/>
      <c r="AD507" s="81"/>
      <c r="AE507" s="81"/>
    </row>
    <row r="508" spans="1:31" s="1" customFormat="1" ht="40.5">
      <c r="A508" s="171">
        <v>507</v>
      </c>
      <c r="B508" s="172">
        <v>110</v>
      </c>
      <c r="C508" s="175" t="s">
        <v>1814</v>
      </c>
      <c r="D508" s="175" t="s">
        <v>1565</v>
      </c>
      <c r="E508" s="189" t="s">
        <v>1822</v>
      </c>
      <c r="F508" s="189"/>
      <c r="G508" s="189"/>
      <c r="H508" s="175">
        <v>28</v>
      </c>
      <c r="I508" s="175">
        <v>4</v>
      </c>
      <c r="J508" s="176">
        <v>10</v>
      </c>
      <c r="K508" s="173"/>
      <c r="L508" s="173"/>
      <c r="M508" s="173"/>
      <c r="N508" s="173"/>
      <c r="O508" s="177">
        <v>2240000</v>
      </c>
      <c r="P508" s="177">
        <v>5771614</v>
      </c>
      <c r="Q508" s="177">
        <v>0</v>
      </c>
      <c r="R508" s="178">
        <f t="shared" si="10"/>
        <v>8011614</v>
      </c>
      <c r="S508" s="145" t="s">
        <v>1668</v>
      </c>
      <c r="T508" s="146" t="s">
        <v>1823</v>
      </c>
      <c r="U508" s="145" t="s">
        <v>1824</v>
      </c>
      <c r="V508" s="89"/>
      <c r="W508" s="90" t="s">
        <v>1071</v>
      </c>
      <c r="X508" s="81"/>
      <c r="Y508" s="81"/>
      <c r="Z508" s="81"/>
      <c r="AA508" s="81"/>
      <c r="AB508" s="81"/>
      <c r="AC508" s="81"/>
      <c r="AD508" s="81"/>
      <c r="AE508" s="81"/>
    </row>
    <row r="509" spans="1:31" s="1" customFormat="1" ht="54">
      <c r="A509" s="171">
        <v>508</v>
      </c>
      <c r="B509" s="172">
        <v>110</v>
      </c>
      <c r="C509" s="175" t="s">
        <v>1814</v>
      </c>
      <c r="D509" s="175" t="s">
        <v>1565</v>
      </c>
      <c r="E509" s="189" t="s">
        <v>1825</v>
      </c>
      <c r="F509" s="189"/>
      <c r="G509" s="189"/>
      <c r="H509" s="175">
        <v>12</v>
      </c>
      <c r="I509" s="175">
        <v>6</v>
      </c>
      <c r="J509" s="176">
        <v>10</v>
      </c>
      <c r="K509" s="173"/>
      <c r="L509" s="173"/>
      <c r="M509" s="173"/>
      <c r="N509" s="173"/>
      <c r="O509" s="177">
        <v>960000</v>
      </c>
      <c r="P509" s="177">
        <v>24309040</v>
      </c>
      <c r="Q509" s="177">
        <v>500000</v>
      </c>
      <c r="R509" s="178">
        <f t="shared" si="10"/>
        <v>25769040</v>
      </c>
      <c r="S509" s="145" t="s">
        <v>1697</v>
      </c>
      <c r="T509" s="146" t="s">
        <v>1826</v>
      </c>
      <c r="U509" s="190"/>
      <c r="V509" s="89"/>
      <c r="W509" s="90" t="s">
        <v>1497</v>
      </c>
      <c r="X509" s="81"/>
      <c r="Y509" s="81"/>
      <c r="Z509" s="81"/>
      <c r="AA509" s="81"/>
      <c r="AB509" s="81"/>
      <c r="AC509" s="81"/>
      <c r="AD509" s="81"/>
      <c r="AE509" s="81"/>
    </row>
    <row r="510" spans="1:31" s="1" customFormat="1" ht="54">
      <c r="A510" s="171">
        <v>509</v>
      </c>
      <c r="B510" s="172">
        <v>110</v>
      </c>
      <c r="C510" s="175" t="s">
        <v>1814</v>
      </c>
      <c r="D510" s="175" t="s">
        <v>1598</v>
      </c>
      <c r="E510" s="189" t="s">
        <v>1827</v>
      </c>
      <c r="F510" s="189"/>
      <c r="G510" s="189"/>
      <c r="H510" s="175">
        <v>40</v>
      </c>
      <c r="I510" s="175">
        <v>0</v>
      </c>
      <c r="J510" s="176">
        <v>4</v>
      </c>
      <c r="K510" s="173"/>
      <c r="L510" s="173"/>
      <c r="M510" s="173"/>
      <c r="N510" s="173"/>
      <c r="O510" s="177">
        <v>1280000</v>
      </c>
      <c r="P510" s="177">
        <v>13514245</v>
      </c>
      <c r="Q510" s="177">
        <v>80000</v>
      </c>
      <c r="R510" s="178">
        <f t="shared" si="10"/>
        <v>14874245</v>
      </c>
      <c r="S510" s="145" t="s">
        <v>1668</v>
      </c>
      <c r="T510" s="146" t="s">
        <v>1828</v>
      </c>
      <c r="U510" s="190"/>
      <c r="V510" s="89"/>
      <c r="W510" s="90" t="s">
        <v>1829</v>
      </c>
      <c r="X510" s="81"/>
      <c r="Y510" s="81"/>
      <c r="Z510" s="81"/>
      <c r="AA510" s="81"/>
      <c r="AB510" s="81"/>
      <c r="AC510" s="81"/>
      <c r="AD510" s="81"/>
      <c r="AE510" s="81"/>
    </row>
    <row r="511" spans="1:31" s="1" customFormat="1" ht="15.75">
      <c r="A511" s="171">
        <v>510</v>
      </c>
      <c r="B511" s="172">
        <v>110</v>
      </c>
      <c r="C511" s="175" t="s">
        <v>39</v>
      </c>
      <c r="D511" s="175" t="s">
        <v>1565</v>
      </c>
      <c r="E511" s="189" t="s">
        <v>1830</v>
      </c>
      <c r="F511" s="189"/>
      <c r="G511" s="189"/>
      <c r="H511" s="175">
        <v>25</v>
      </c>
      <c r="I511" s="175">
        <v>0</v>
      </c>
      <c r="J511" s="176">
        <v>8</v>
      </c>
      <c r="K511" s="173"/>
      <c r="L511" s="173"/>
      <c r="M511" s="173"/>
      <c r="N511" s="173"/>
      <c r="O511" s="177">
        <v>1600000</v>
      </c>
      <c r="P511" s="177">
        <v>0</v>
      </c>
      <c r="Q511" s="177">
        <v>6377600</v>
      </c>
      <c r="R511" s="178">
        <f t="shared" si="10"/>
        <v>7977600</v>
      </c>
      <c r="S511" s="145"/>
      <c r="T511" s="146"/>
      <c r="U511" s="190"/>
      <c r="V511" s="89"/>
      <c r="W511" s="90"/>
      <c r="X511" s="81"/>
      <c r="Y511" s="81"/>
      <c r="Z511" s="81"/>
      <c r="AA511" s="81"/>
      <c r="AB511" s="81"/>
      <c r="AC511" s="81"/>
      <c r="AD511" s="81"/>
      <c r="AE511" s="81"/>
    </row>
    <row r="512" spans="1:31" s="1" customFormat="1" ht="15.75">
      <c r="A512" s="171">
        <v>511</v>
      </c>
      <c r="B512" s="172">
        <v>110</v>
      </c>
      <c r="C512" s="175" t="s">
        <v>39</v>
      </c>
      <c r="D512" s="175" t="s">
        <v>1558</v>
      </c>
      <c r="E512" s="189" t="s">
        <v>1831</v>
      </c>
      <c r="F512" s="189"/>
      <c r="G512" s="189"/>
      <c r="H512" s="175">
        <v>45</v>
      </c>
      <c r="I512" s="175">
        <v>0</v>
      </c>
      <c r="J512" s="176">
        <v>8</v>
      </c>
      <c r="K512" s="173"/>
      <c r="L512" s="173"/>
      <c r="M512" s="173"/>
      <c r="N512" s="173"/>
      <c r="O512" s="177">
        <v>2880000</v>
      </c>
      <c r="P512" s="177">
        <v>368752</v>
      </c>
      <c r="Q512" s="177">
        <v>0</v>
      </c>
      <c r="R512" s="178">
        <f t="shared" si="10"/>
        <v>3248752</v>
      </c>
      <c r="S512" s="145"/>
      <c r="T512" s="146" t="s">
        <v>1832</v>
      </c>
      <c r="U512" s="190"/>
      <c r="V512" s="89"/>
      <c r="W512" s="90" t="s">
        <v>813</v>
      </c>
      <c r="X512" s="81"/>
      <c r="Y512" s="81"/>
      <c r="Z512" s="81"/>
      <c r="AA512" s="81"/>
      <c r="AB512" s="81"/>
      <c r="AC512" s="81"/>
      <c r="AD512" s="81"/>
      <c r="AE512" s="81"/>
    </row>
    <row r="513" spans="1:31" s="1" customFormat="1" ht="15.75">
      <c r="A513" s="171">
        <v>512</v>
      </c>
      <c r="B513" s="172">
        <v>110</v>
      </c>
      <c r="C513" s="175" t="s">
        <v>39</v>
      </c>
      <c r="D513" s="175" t="s">
        <v>1651</v>
      </c>
      <c r="E513" s="189" t="s">
        <v>1833</v>
      </c>
      <c r="F513" s="189"/>
      <c r="G513" s="189"/>
      <c r="H513" s="175">
        <v>30</v>
      </c>
      <c r="I513" s="175">
        <v>15</v>
      </c>
      <c r="J513" s="176">
        <v>20</v>
      </c>
      <c r="K513" s="173"/>
      <c r="L513" s="173"/>
      <c r="M513" s="173"/>
      <c r="N513" s="173"/>
      <c r="O513" s="177">
        <v>1200000</v>
      </c>
      <c r="P513" s="177">
        <v>0</v>
      </c>
      <c r="Q513" s="177">
        <v>800000</v>
      </c>
      <c r="R513" s="178">
        <f t="shared" si="10"/>
        <v>2000000</v>
      </c>
      <c r="S513" s="145"/>
      <c r="T513" s="146" t="s">
        <v>1834</v>
      </c>
      <c r="U513" s="190"/>
      <c r="V513" s="89"/>
      <c r="W513" s="90" t="s">
        <v>1148</v>
      </c>
      <c r="X513" s="81"/>
      <c r="Y513" s="81"/>
      <c r="Z513" s="81"/>
      <c r="AA513" s="81"/>
      <c r="AB513" s="81"/>
      <c r="AC513" s="81"/>
      <c r="AD513" s="81"/>
      <c r="AE513" s="81"/>
    </row>
    <row r="514" spans="1:31" s="1" customFormat="1" ht="15.75">
      <c r="A514" s="171">
        <v>513</v>
      </c>
      <c r="B514" s="172">
        <v>110</v>
      </c>
      <c r="C514" s="175" t="s">
        <v>39</v>
      </c>
      <c r="D514" s="175" t="s">
        <v>1590</v>
      </c>
      <c r="E514" s="189" t="s">
        <v>1835</v>
      </c>
      <c r="F514" s="189"/>
      <c r="G514" s="189"/>
      <c r="H514" s="175">
        <v>80</v>
      </c>
      <c r="I514" s="175">
        <v>3.5</v>
      </c>
      <c r="J514" s="176">
        <v>6</v>
      </c>
      <c r="K514" s="173"/>
      <c r="L514" s="173"/>
      <c r="M514" s="173"/>
      <c r="N514" s="173"/>
      <c r="O514" s="177">
        <v>4320000</v>
      </c>
      <c r="P514" s="177">
        <v>0</v>
      </c>
      <c r="Q514" s="177">
        <v>0</v>
      </c>
      <c r="R514" s="178">
        <f t="shared" si="10"/>
        <v>4320000</v>
      </c>
      <c r="S514" s="145"/>
      <c r="T514" s="146" t="s">
        <v>1836</v>
      </c>
      <c r="U514" s="190"/>
      <c r="V514" s="89"/>
      <c r="W514" s="90" t="s">
        <v>1616</v>
      </c>
      <c r="X514" s="81"/>
      <c r="Y514" s="81"/>
      <c r="Z514" s="81"/>
      <c r="AA514" s="81"/>
      <c r="AB514" s="81"/>
      <c r="AC514" s="81"/>
      <c r="AD514" s="81"/>
      <c r="AE514" s="81"/>
    </row>
    <row r="515" spans="1:31" s="1" customFormat="1" ht="15.75">
      <c r="A515" s="171">
        <v>514</v>
      </c>
      <c r="B515" s="172">
        <v>110</v>
      </c>
      <c r="C515" s="175" t="s">
        <v>39</v>
      </c>
      <c r="D515" s="175" t="s">
        <v>1590</v>
      </c>
      <c r="E515" s="189" t="s">
        <v>1837</v>
      </c>
      <c r="F515" s="189"/>
      <c r="G515" s="189"/>
      <c r="H515" s="175">
        <v>20</v>
      </c>
      <c r="I515" s="175">
        <v>10</v>
      </c>
      <c r="J515" s="176">
        <v>35</v>
      </c>
      <c r="K515" s="173"/>
      <c r="L515" s="173"/>
      <c r="M515" s="173"/>
      <c r="N515" s="173"/>
      <c r="O515" s="177">
        <v>56000000</v>
      </c>
      <c r="P515" s="177">
        <v>0</v>
      </c>
      <c r="Q515" s="177">
        <v>0</v>
      </c>
      <c r="R515" s="178">
        <f t="shared" si="10"/>
        <v>56000000</v>
      </c>
      <c r="S515" s="145"/>
      <c r="T515" s="146" t="s">
        <v>1836</v>
      </c>
      <c r="U515" s="190"/>
      <c r="V515" s="89"/>
      <c r="W515" s="90" t="s">
        <v>1616</v>
      </c>
      <c r="X515" s="81"/>
      <c r="Y515" s="81"/>
      <c r="Z515" s="81"/>
      <c r="AA515" s="81"/>
      <c r="AB515" s="81"/>
      <c r="AC515" s="81"/>
      <c r="AD515" s="81"/>
      <c r="AE515" s="81"/>
    </row>
    <row r="516" spans="1:31" s="1" customFormat="1" ht="15.75">
      <c r="A516" s="171">
        <v>515</v>
      </c>
      <c r="B516" s="172">
        <v>110</v>
      </c>
      <c r="C516" s="175" t="s">
        <v>39</v>
      </c>
      <c r="D516" s="175" t="s">
        <v>1571</v>
      </c>
      <c r="E516" s="189" t="s">
        <v>1838</v>
      </c>
      <c r="F516" s="189"/>
      <c r="G516" s="189"/>
      <c r="H516" s="175">
        <v>110</v>
      </c>
      <c r="I516" s="175">
        <v>0</v>
      </c>
      <c r="J516" s="176">
        <v>6</v>
      </c>
      <c r="K516" s="173"/>
      <c r="L516" s="173"/>
      <c r="M516" s="173"/>
      <c r="N516" s="173"/>
      <c r="O516" s="177">
        <v>5280000</v>
      </c>
      <c r="P516" s="177">
        <f>Q516*6*110</f>
        <v>0</v>
      </c>
      <c r="Q516" s="177"/>
      <c r="R516" s="178">
        <f t="shared" si="10"/>
        <v>5280000</v>
      </c>
      <c r="S516" s="145"/>
      <c r="T516" s="146" t="s">
        <v>1839</v>
      </c>
      <c r="U516" s="190"/>
      <c r="V516" s="89"/>
      <c r="W516" s="90" t="s">
        <v>1840</v>
      </c>
      <c r="X516" s="81"/>
      <c r="Y516" s="81"/>
      <c r="Z516" s="81"/>
      <c r="AA516" s="81"/>
      <c r="AB516" s="81"/>
      <c r="AC516" s="81"/>
      <c r="AD516" s="81"/>
      <c r="AE516" s="81"/>
    </row>
    <row r="517" spans="1:31" s="1" customFormat="1" ht="15.75">
      <c r="A517" s="171">
        <v>516</v>
      </c>
      <c r="B517" s="172">
        <v>110</v>
      </c>
      <c r="C517" s="175" t="s">
        <v>39</v>
      </c>
      <c r="D517" s="175" t="s">
        <v>1627</v>
      </c>
      <c r="E517" s="189" t="s">
        <v>1841</v>
      </c>
      <c r="F517" s="189"/>
      <c r="G517" s="189"/>
      <c r="H517" s="175">
        <v>5</v>
      </c>
      <c r="I517" s="175">
        <v>0</v>
      </c>
      <c r="J517" s="176">
        <v>6</v>
      </c>
      <c r="K517" s="173"/>
      <c r="L517" s="173"/>
      <c r="M517" s="173"/>
      <c r="N517" s="173"/>
      <c r="O517" s="177">
        <v>300000</v>
      </c>
      <c r="P517" s="177">
        <v>0</v>
      </c>
      <c r="Q517" s="177">
        <v>0</v>
      </c>
      <c r="R517" s="178">
        <f t="shared" si="10"/>
        <v>300000</v>
      </c>
      <c r="S517" s="145"/>
      <c r="T517" s="146"/>
      <c r="U517" s="190"/>
      <c r="V517" s="89"/>
      <c r="W517" s="90"/>
      <c r="X517" s="81"/>
      <c r="Y517" s="81"/>
      <c r="Z517" s="81"/>
      <c r="AA517" s="81"/>
      <c r="AB517" s="81"/>
      <c r="AC517" s="81"/>
      <c r="AD517" s="81"/>
      <c r="AE517" s="81"/>
    </row>
    <row r="518" spans="1:31" s="1" customFormat="1" ht="15.75">
      <c r="A518" s="171">
        <v>517</v>
      </c>
      <c r="B518" s="172">
        <v>110</v>
      </c>
      <c r="C518" s="175" t="s">
        <v>39</v>
      </c>
      <c r="D518" s="175" t="s">
        <v>1699</v>
      </c>
      <c r="E518" s="189" t="s">
        <v>1842</v>
      </c>
      <c r="F518" s="189"/>
      <c r="G518" s="189"/>
      <c r="H518" s="175">
        <v>35</v>
      </c>
      <c r="I518" s="175">
        <v>0</v>
      </c>
      <c r="J518" s="176">
        <v>5</v>
      </c>
      <c r="K518" s="173"/>
      <c r="L518" s="173"/>
      <c r="M518" s="173"/>
      <c r="N518" s="173"/>
      <c r="O518" s="177">
        <v>1400000</v>
      </c>
      <c r="P518" s="177">
        <v>0</v>
      </c>
      <c r="Q518" s="177">
        <v>0</v>
      </c>
      <c r="R518" s="178">
        <f t="shared" si="10"/>
        <v>1400000</v>
      </c>
      <c r="S518" s="145"/>
      <c r="T518" s="146" t="s">
        <v>1843</v>
      </c>
      <c r="U518" s="190"/>
      <c r="V518" s="89"/>
      <c r="W518" s="90" t="s">
        <v>1387</v>
      </c>
      <c r="X518" s="81"/>
      <c r="Y518" s="81"/>
      <c r="Z518" s="81"/>
      <c r="AA518" s="81"/>
      <c r="AB518" s="81"/>
      <c r="AC518" s="81"/>
      <c r="AD518" s="81"/>
      <c r="AE518" s="81"/>
    </row>
    <row r="519" spans="1:31" s="1" customFormat="1" ht="15.75">
      <c r="A519" s="171">
        <v>518</v>
      </c>
      <c r="B519" s="172">
        <v>110</v>
      </c>
      <c r="C519" s="175" t="s">
        <v>39</v>
      </c>
      <c r="D519" s="175" t="s">
        <v>1636</v>
      </c>
      <c r="E519" s="189" t="s">
        <v>1844</v>
      </c>
      <c r="F519" s="189"/>
      <c r="G519" s="189"/>
      <c r="H519" s="175">
        <v>80</v>
      </c>
      <c r="I519" s="175">
        <v>4</v>
      </c>
      <c r="J519" s="176">
        <v>4</v>
      </c>
      <c r="K519" s="173"/>
      <c r="L519" s="173"/>
      <c r="M519" s="173"/>
      <c r="N519" s="173"/>
      <c r="O519" s="177">
        <v>2560000</v>
      </c>
      <c r="P519" s="177">
        <v>0</v>
      </c>
      <c r="Q519" s="177">
        <v>0</v>
      </c>
      <c r="R519" s="178">
        <f t="shared" si="10"/>
        <v>2560000</v>
      </c>
      <c r="S519" s="145"/>
      <c r="T519" s="146" t="s">
        <v>1845</v>
      </c>
      <c r="U519" s="190"/>
      <c r="V519" s="89"/>
      <c r="W519" s="90" t="s">
        <v>1846</v>
      </c>
      <c r="X519" s="81"/>
      <c r="Y519" s="81"/>
      <c r="Z519" s="81"/>
      <c r="AA519" s="81"/>
      <c r="AB519" s="81"/>
      <c r="AC519" s="81"/>
      <c r="AD519" s="81"/>
      <c r="AE519" s="81"/>
    </row>
    <row r="520" spans="1:31" s="1" customFormat="1" ht="15.75">
      <c r="A520" s="171">
        <v>519</v>
      </c>
      <c r="B520" s="172">
        <v>110</v>
      </c>
      <c r="C520" s="175" t="s">
        <v>39</v>
      </c>
      <c r="D520" s="175" t="s">
        <v>1699</v>
      </c>
      <c r="E520" s="189" t="s">
        <v>1847</v>
      </c>
      <c r="F520" s="189"/>
      <c r="G520" s="189"/>
      <c r="H520" s="175">
        <v>13</v>
      </c>
      <c r="I520" s="175">
        <v>10</v>
      </c>
      <c r="J520" s="176">
        <v>12</v>
      </c>
      <c r="K520" s="173"/>
      <c r="L520" s="173"/>
      <c r="M520" s="173"/>
      <c r="N520" s="173"/>
      <c r="O520" s="177">
        <v>1248000</v>
      </c>
      <c r="P520" s="177">
        <v>362648</v>
      </c>
      <c r="Q520" s="177">
        <v>0</v>
      </c>
      <c r="R520" s="178">
        <f t="shared" si="10"/>
        <v>1610648</v>
      </c>
      <c r="S520" s="145"/>
      <c r="T520" s="146" t="s">
        <v>1848</v>
      </c>
      <c r="U520" s="190"/>
      <c r="V520" s="89"/>
      <c r="W520" s="90" t="s">
        <v>1849</v>
      </c>
      <c r="X520" s="81"/>
      <c r="Y520" s="81"/>
      <c r="Z520" s="81"/>
      <c r="AA520" s="81"/>
      <c r="AB520" s="81"/>
      <c r="AC520" s="81"/>
      <c r="AD520" s="81"/>
      <c r="AE520" s="81"/>
    </row>
    <row r="521" spans="1:31" s="1" customFormat="1" ht="15.75">
      <c r="A521" s="171">
        <v>520</v>
      </c>
      <c r="B521" s="172">
        <v>110</v>
      </c>
      <c r="C521" s="175" t="s">
        <v>39</v>
      </c>
      <c r="D521" s="175" t="s">
        <v>1571</v>
      </c>
      <c r="E521" s="189" t="s">
        <v>1850</v>
      </c>
      <c r="F521" s="189"/>
      <c r="G521" s="189"/>
      <c r="H521" s="175">
        <v>13</v>
      </c>
      <c r="I521" s="175">
        <v>10</v>
      </c>
      <c r="J521" s="176">
        <v>15</v>
      </c>
      <c r="K521" s="173"/>
      <c r="L521" s="173"/>
      <c r="M521" s="173"/>
      <c r="N521" s="173"/>
      <c r="O521" s="177">
        <v>1560000</v>
      </c>
      <c r="P521" s="177">
        <v>484824</v>
      </c>
      <c r="Q521" s="177"/>
      <c r="R521" s="178">
        <f t="shared" si="10"/>
        <v>2044824</v>
      </c>
      <c r="S521" s="145"/>
      <c r="T521" s="146" t="s">
        <v>1851</v>
      </c>
      <c r="U521" s="190"/>
      <c r="V521" s="89"/>
      <c r="W521" s="90" t="s">
        <v>1821</v>
      </c>
      <c r="X521" s="81"/>
      <c r="Y521" s="81"/>
      <c r="Z521" s="81"/>
      <c r="AA521" s="81"/>
      <c r="AB521" s="81"/>
      <c r="AC521" s="81"/>
      <c r="AD521" s="81"/>
      <c r="AE521" s="81"/>
    </row>
    <row r="522" spans="1:31" s="1" customFormat="1" ht="15.75">
      <c r="A522" s="171">
        <v>521</v>
      </c>
      <c r="B522" s="172">
        <v>110</v>
      </c>
      <c r="C522" s="175" t="s">
        <v>39</v>
      </c>
      <c r="D522" s="175" t="s">
        <v>1576</v>
      </c>
      <c r="E522" s="189" t="s">
        <v>1852</v>
      </c>
      <c r="F522" s="189"/>
      <c r="G522" s="189"/>
      <c r="H522" s="175">
        <v>15</v>
      </c>
      <c r="I522" s="175">
        <v>0</v>
      </c>
      <c r="J522" s="176">
        <v>8</v>
      </c>
      <c r="K522" s="173"/>
      <c r="L522" s="173"/>
      <c r="M522" s="173"/>
      <c r="N522" s="173"/>
      <c r="O522" s="177">
        <v>960000</v>
      </c>
      <c r="P522" s="177">
        <v>610675</v>
      </c>
      <c r="Q522" s="177">
        <v>3572572</v>
      </c>
      <c r="R522" s="178">
        <f t="shared" si="10"/>
        <v>5143247</v>
      </c>
      <c r="S522" s="145"/>
      <c r="T522" s="146" t="s">
        <v>1853</v>
      </c>
      <c r="U522" s="190"/>
      <c r="V522" s="89"/>
      <c r="W522" s="90" t="s">
        <v>1854</v>
      </c>
      <c r="X522" s="81"/>
      <c r="Y522" s="81"/>
      <c r="Z522" s="81"/>
      <c r="AA522" s="81"/>
      <c r="AB522" s="81"/>
      <c r="AC522" s="81"/>
      <c r="AD522" s="81"/>
      <c r="AE522" s="81"/>
    </row>
    <row r="523" spans="1:31" s="1" customFormat="1" ht="27">
      <c r="A523" s="171">
        <v>522</v>
      </c>
      <c r="B523" s="172">
        <v>110</v>
      </c>
      <c r="C523" s="175" t="s">
        <v>39</v>
      </c>
      <c r="D523" s="175" t="s">
        <v>1699</v>
      </c>
      <c r="E523" s="189" t="s">
        <v>1855</v>
      </c>
      <c r="F523" s="189"/>
      <c r="G523" s="189"/>
      <c r="H523" s="175">
        <v>250</v>
      </c>
      <c r="I523" s="175">
        <v>5</v>
      </c>
      <c r="J523" s="176">
        <v>8</v>
      </c>
      <c r="K523" s="173"/>
      <c r="L523" s="173"/>
      <c r="M523" s="173"/>
      <c r="N523" s="173"/>
      <c r="O523" s="177">
        <v>16000000</v>
      </c>
      <c r="P523" s="177" t="s">
        <v>1856</v>
      </c>
      <c r="Q523" s="177"/>
      <c r="R523" s="178">
        <f>O523</f>
        <v>16000000</v>
      </c>
      <c r="S523" s="145"/>
      <c r="T523" s="146"/>
      <c r="U523" s="190"/>
      <c r="V523" s="89"/>
      <c r="W523" s="90"/>
      <c r="X523" s="81"/>
      <c r="Y523" s="81"/>
      <c r="Z523" s="81"/>
      <c r="AA523" s="81"/>
      <c r="AB523" s="81"/>
      <c r="AC523" s="81"/>
      <c r="AD523" s="81"/>
      <c r="AE523" s="81"/>
    </row>
    <row r="524" spans="1:31" s="1" customFormat="1" ht="27">
      <c r="A524" s="171">
        <v>523</v>
      </c>
      <c r="B524" s="172">
        <v>110</v>
      </c>
      <c r="C524" s="175" t="s">
        <v>39</v>
      </c>
      <c r="D524" s="175" t="s">
        <v>1576</v>
      </c>
      <c r="E524" s="189" t="s">
        <v>1857</v>
      </c>
      <c r="F524" s="189"/>
      <c r="G524" s="189"/>
      <c r="H524" s="175">
        <v>40</v>
      </c>
      <c r="I524" s="175">
        <v>0</v>
      </c>
      <c r="J524" s="176">
        <v>6</v>
      </c>
      <c r="K524" s="173"/>
      <c r="L524" s="173"/>
      <c r="M524" s="173"/>
      <c r="N524" s="173"/>
      <c r="O524" s="177">
        <v>1920000</v>
      </c>
      <c r="P524" s="177">
        <v>1188000</v>
      </c>
      <c r="Q524" s="177"/>
      <c r="R524" s="178">
        <f t="shared" ref="R524:R568" si="11">O524+P524+Q524</f>
        <v>3108000</v>
      </c>
      <c r="S524" s="145" t="s">
        <v>1858</v>
      </c>
      <c r="T524" s="146" t="s">
        <v>1859</v>
      </c>
      <c r="U524" s="190"/>
      <c r="V524" s="89"/>
      <c r="W524" s="90" t="s">
        <v>1860</v>
      </c>
      <c r="X524" s="81"/>
      <c r="Y524" s="81"/>
      <c r="Z524" s="81"/>
      <c r="AA524" s="81"/>
      <c r="AB524" s="81"/>
      <c r="AC524" s="81"/>
      <c r="AD524" s="81"/>
      <c r="AE524" s="81"/>
    </row>
    <row r="525" spans="1:31" s="1" customFormat="1" ht="15.75">
      <c r="A525" s="171">
        <v>524</v>
      </c>
      <c r="B525" s="172">
        <v>110</v>
      </c>
      <c r="C525" s="175" t="s">
        <v>39</v>
      </c>
      <c r="D525" s="175" t="s">
        <v>1699</v>
      </c>
      <c r="E525" s="189" t="s">
        <v>1861</v>
      </c>
      <c r="F525" s="189"/>
      <c r="G525" s="189"/>
      <c r="H525" s="175">
        <v>30</v>
      </c>
      <c r="I525" s="175">
        <v>5</v>
      </c>
      <c r="J525" s="176">
        <v>8</v>
      </c>
      <c r="K525" s="173"/>
      <c r="L525" s="173"/>
      <c r="M525" s="173"/>
      <c r="N525" s="173"/>
      <c r="O525" s="177">
        <v>960000</v>
      </c>
      <c r="P525" s="177">
        <v>1258400</v>
      </c>
      <c r="Q525" s="177">
        <v>545400</v>
      </c>
      <c r="R525" s="178">
        <f t="shared" si="11"/>
        <v>2763800</v>
      </c>
      <c r="S525" s="145"/>
      <c r="T525" s="146"/>
      <c r="U525" s="190"/>
      <c r="V525" s="89"/>
      <c r="W525" s="90"/>
      <c r="X525" s="81"/>
      <c r="Y525" s="81"/>
      <c r="Z525" s="81"/>
      <c r="AA525" s="81"/>
      <c r="AB525" s="81"/>
      <c r="AC525" s="81"/>
      <c r="AD525" s="81"/>
      <c r="AE525" s="81"/>
    </row>
    <row r="526" spans="1:31" s="1" customFormat="1" ht="15.75">
      <c r="A526" s="171">
        <v>525</v>
      </c>
      <c r="B526" s="172">
        <v>110</v>
      </c>
      <c r="C526" s="175" t="s">
        <v>39</v>
      </c>
      <c r="D526" s="175" t="s">
        <v>1636</v>
      </c>
      <c r="E526" s="189" t="s">
        <v>1862</v>
      </c>
      <c r="F526" s="189"/>
      <c r="G526" s="189"/>
      <c r="H526" s="175">
        <v>20</v>
      </c>
      <c r="I526" s="175">
        <v>0</v>
      </c>
      <c r="J526" s="176">
        <v>16</v>
      </c>
      <c r="K526" s="173"/>
      <c r="L526" s="173"/>
      <c r="M526" s="173"/>
      <c r="N526" s="173"/>
      <c r="O526" s="177">
        <v>2560000</v>
      </c>
      <c r="P526" s="177">
        <v>1692108</v>
      </c>
      <c r="Q526" s="177">
        <v>0</v>
      </c>
      <c r="R526" s="178">
        <f t="shared" si="11"/>
        <v>4252108</v>
      </c>
      <c r="S526" s="145"/>
      <c r="T526" s="146" t="s">
        <v>1845</v>
      </c>
      <c r="U526" s="190"/>
      <c r="V526" s="89"/>
      <c r="W526" s="90" t="s">
        <v>1846</v>
      </c>
      <c r="X526" s="81"/>
      <c r="Y526" s="81"/>
      <c r="Z526" s="81"/>
      <c r="AA526" s="81"/>
      <c r="AB526" s="81"/>
      <c r="AC526" s="81"/>
      <c r="AD526" s="81"/>
      <c r="AE526" s="81"/>
    </row>
    <row r="527" spans="1:31" s="1" customFormat="1" ht="15.75">
      <c r="A527" s="171">
        <v>526</v>
      </c>
      <c r="B527" s="172">
        <v>110</v>
      </c>
      <c r="C527" s="175" t="s">
        <v>39</v>
      </c>
      <c r="D527" s="175" t="s">
        <v>1565</v>
      </c>
      <c r="E527" s="189" t="s">
        <v>1863</v>
      </c>
      <c r="F527" s="189"/>
      <c r="G527" s="189"/>
      <c r="H527" s="175">
        <v>5</v>
      </c>
      <c r="I527" s="175">
        <v>6</v>
      </c>
      <c r="J527" s="176">
        <v>10</v>
      </c>
      <c r="K527" s="173"/>
      <c r="L527" s="173"/>
      <c r="M527" s="173"/>
      <c r="N527" s="173"/>
      <c r="O527" s="177">
        <v>600000</v>
      </c>
      <c r="P527" s="177">
        <f>50*32452*1.2</f>
        <v>1947120</v>
      </c>
      <c r="Q527" s="177"/>
      <c r="R527" s="178">
        <f t="shared" si="11"/>
        <v>2547120</v>
      </c>
      <c r="S527" s="145"/>
      <c r="T527" s="146" t="s">
        <v>1864</v>
      </c>
      <c r="U527" s="190"/>
      <c r="V527" s="89"/>
      <c r="W527" s="90" t="s">
        <v>1497</v>
      </c>
      <c r="X527" s="81"/>
      <c r="Y527" s="81"/>
      <c r="Z527" s="81"/>
      <c r="AA527" s="81"/>
      <c r="AB527" s="81"/>
      <c r="AC527" s="81"/>
      <c r="AD527" s="81"/>
      <c r="AE527" s="81"/>
    </row>
    <row r="528" spans="1:31" s="1" customFormat="1" ht="15.75">
      <c r="A528" s="171">
        <v>527</v>
      </c>
      <c r="B528" s="172">
        <v>110</v>
      </c>
      <c r="C528" s="175" t="s">
        <v>39</v>
      </c>
      <c r="D528" s="175" t="s">
        <v>1558</v>
      </c>
      <c r="E528" s="189" t="s">
        <v>1865</v>
      </c>
      <c r="F528" s="189"/>
      <c r="G528" s="189"/>
      <c r="H528" s="175">
        <v>60</v>
      </c>
      <c r="I528" s="175">
        <v>8</v>
      </c>
      <c r="J528" s="176">
        <v>10</v>
      </c>
      <c r="K528" s="173"/>
      <c r="L528" s="173"/>
      <c r="M528" s="173"/>
      <c r="N528" s="173"/>
      <c r="O528" s="177">
        <v>4800000</v>
      </c>
      <c r="P528" s="177">
        <v>2900000</v>
      </c>
      <c r="Q528" s="177">
        <v>1000000</v>
      </c>
      <c r="R528" s="178">
        <f t="shared" si="11"/>
        <v>8700000</v>
      </c>
      <c r="S528" s="145"/>
      <c r="T528" s="146" t="s">
        <v>1866</v>
      </c>
      <c r="U528" s="190"/>
      <c r="V528" s="89"/>
      <c r="W528" s="90" t="s">
        <v>664</v>
      </c>
      <c r="X528" s="81"/>
      <c r="Y528" s="81"/>
      <c r="Z528" s="81"/>
      <c r="AA528" s="81"/>
      <c r="AB528" s="81"/>
      <c r="AC528" s="81"/>
      <c r="AD528" s="81"/>
      <c r="AE528" s="81"/>
    </row>
    <row r="529" spans="1:31" s="1" customFormat="1" ht="15.75">
      <c r="A529" s="171">
        <v>528</v>
      </c>
      <c r="B529" s="172">
        <v>110</v>
      </c>
      <c r="C529" s="175" t="s">
        <v>39</v>
      </c>
      <c r="D529" s="175" t="s">
        <v>1558</v>
      </c>
      <c r="E529" s="189" t="s">
        <v>1867</v>
      </c>
      <c r="F529" s="189"/>
      <c r="G529" s="189"/>
      <c r="H529" s="175">
        <v>40</v>
      </c>
      <c r="I529" s="175">
        <v>7</v>
      </c>
      <c r="J529" s="176">
        <v>10</v>
      </c>
      <c r="K529" s="173"/>
      <c r="L529" s="173"/>
      <c r="M529" s="173"/>
      <c r="N529" s="173"/>
      <c r="O529" s="177">
        <v>3200000</v>
      </c>
      <c r="P529" s="177">
        <v>2965011</v>
      </c>
      <c r="Q529" s="177"/>
      <c r="R529" s="178">
        <f t="shared" si="11"/>
        <v>6165011</v>
      </c>
      <c r="S529" s="145"/>
      <c r="T529" s="146" t="s">
        <v>1832</v>
      </c>
      <c r="U529" s="190"/>
      <c r="V529" s="89"/>
      <c r="W529" s="90" t="s">
        <v>813</v>
      </c>
      <c r="X529" s="81"/>
      <c r="Y529" s="81"/>
      <c r="Z529" s="81"/>
      <c r="AA529" s="81"/>
      <c r="AB529" s="81"/>
      <c r="AC529" s="81"/>
      <c r="AD529" s="81"/>
      <c r="AE529" s="81"/>
    </row>
    <row r="530" spans="1:31" s="1" customFormat="1" ht="15.75">
      <c r="A530" s="171">
        <v>529</v>
      </c>
      <c r="B530" s="172">
        <v>110</v>
      </c>
      <c r="C530" s="175" t="s">
        <v>39</v>
      </c>
      <c r="D530" s="175" t="s">
        <v>1636</v>
      </c>
      <c r="E530" s="189" t="s">
        <v>1868</v>
      </c>
      <c r="F530" s="189"/>
      <c r="G530" s="189"/>
      <c r="H530" s="175">
        <v>535</v>
      </c>
      <c r="I530" s="175">
        <v>4</v>
      </c>
      <c r="J530" s="176">
        <v>6</v>
      </c>
      <c r="K530" s="173"/>
      <c r="L530" s="173"/>
      <c r="M530" s="173"/>
      <c r="N530" s="173"/>
      <c r="O530" s="177">
        <v>25680000</v>
      </c>
      <c r="P530" s="177">
        <v>5801549</v>
      </c>
      <c r="Q530" s="177">
        <v>11190000</v>
      </c>
      <c r="R530" s="178">
        <f t="shared" si="11"/>
        <v>42671549</v>
      </c>
      <c r="S530" s="145"/>
      <c r="T530" s="146" t="s">
        <v>1845</v>
      </c>
      <c r="U530" s="190"/>
      <c r="V530" s="89"/>
      <c r="W530" s="90" t="s">
        <v>1846</v>
      </c>
      <c r="X530" s="81"/>
      <c r="Y530" s="81"/>
      <c r="Z530" s="81"/>
      <c r="AA530" s="81"/>
      <c r="AB530" s="81"/>
      <c r="AC530" s="81"/>
      <c r="AD530" s="81"/>
      <c r="AE530" s="81"/>
    </row>
    <row r="531" spans="1:31" s="1" customFormat="1" ht="15.75">
      <c r="A531" s="171">
        <v>530</v>
      </c>
      <c r="B531" s="172">
        <v>110</v>
      </c>
      <c r="C531" s="175" t="s">
        <v>39</v>
      </c>
      <c r="D531" s="175" t="s">
        <v>1565</v>
      </c>
      <c r="E531" s="189" t="s">
        <v>1869</v>
      </c>
      <c r="F531" s="189"/>
      <c r="G531" s="189"/>
      <c r="H531" s="175">
        <v>18</v>
      </c>
      <c r="I531" s="175">
        <v>0</v>
      </c>
      <c r="J531" s="176">
        <v>12</v>
      </c>
      <c r="K531" s="173"/>
      <c r="L531" s="173"/>
      <c r="M531" s="173"/>
      <c r="N531" s="173"/>
      <c r="O531" s="177">
        <v>1728000</v>
      </c>
      <c r="P531" s="177">
        <v>7406352</v>
      </c>
      <c r="Q531" s="177"/>
      <c r="R531" s="178">
        <f t="shared" si="11"/>
        <v>9134352</v>
      </c>
      <c r="S531" s="145"/>
      <c r="T531" s="146" t="s">
        <v>1864</v>
      </c>
      <c r="U531" s="190"/>
      <c r="V531" s="89"/>
      <c r="W531" s="90" t="s">
        <v>1497</v>
      </c>
      <c r="X531" s="81"/>
      <c r="Y531" s="81"/>
      <c r="Z531" s="81"/>
      <c r="AA531" s="81"/>
      <c r="AB531" s="81"/>
      <c r="AC531" s="81"/>
      <c r="AD531" s="81"/>
      <c r="AE531" s="81"/>
    </row>
    <row r="532" spans="1:31" s="1" customFormat="1" ht="15.75">
      <c r="A532" s="171">
        <v>531</v>
      </c>
      <c r="B532" s="172">
        <v>110</v>
      </c>
      <c r="C532" s="175" t="s">
        <v>39</v>
      </c>
      <c r="D532" s="175" t="s">
        <v>1558</v>
      </c>
      <c r="E532" s="189" t="s">
        <v>1870</v>
      </c>
      <c r="F532" s="189"/>
      <c r="G532" s="189"/>
      <c r="H532" s="175">
        <v>20</v>
      </c>
      <c r="I532" s="175">
        <v>0</v>
      </c>
      <c r="J532" s="176">
        <v>8</v>
      </c>
      <c r="K532" s="173"/>
      <c r="L532" s="173"/>
      <c r="M532" s="173"/>
      <c r="N532" s="173"/>
      <c r="O532" s="177">
        <v>1280000</v>
      </c>
      <c r="P532" s="177">
        <f>44100*(2.92+209.82)*1.2</f>
        <v>11258200.799999999</v>
      </c>
      <c r="Q532" s="177"/>
      <c r="R532" s="178">
        <f t="shared" si="11"/>
        <v>12538200.799999999</v>
      </c>
      <c r="S532" s="145"/>
      <c r="T532" s="146" t="s">
        <v>1871</v>
      </c>
      <c r="U532" s="190"/>
      <c r="V532" s="89"/>
      <c r="W532" s="90" t="s">
        <v>1872</v>
      </c>
      <c r="X532" s="81"/>
      <c r="Y532" s="81"/>
      <c r="Z532" s="81"/>
      <c r="AA532" s="81"/>
      <c r="AB532" s="81"/>
      <c r="AC532" s="81"/>
      <c r="AD532" s="81"/>
      <c r="AE532" s="81"/>
    </row>
    <row r="533" spans="1:31" s="1" customFormat="1" ht="15.75">
      <c r="A533" s="171">
        <v>532</v>
      </c>
      <c r="B533" s="172">
        <v>110</v>
      </c>
      <c r="C533" s="175" t="s">
        <v>39</v>
      </c>
      <c r="D533" s="175" t="s">
        <v>1590</v>
      </c>
      <c r="E533" s="189" t="s">
        <v>1873</v>
      </c>
      <c r="F533" s="189"/>
      <c r="G533" s="189"/>
      <c r="H533" s="175">
        <v>80</v>
      </c>
      <c r="I533" s="175">
        <v>0</v>
      </c>
      <c r="J533" s="176">
        <v>8</v>
      </c>
      <c r="K533" s="173"/>
      <c r="L533" s="173"/>
      <c r="M533" s="173"/>
      <c r="N533" s="173"/>
      <c r="O533" s="177">
        <v>5120000</v>
      </c>
      <c r="P533" s="177">
        <v>15228000</v>
      </c>
      <c r="Q533" s="177">
        <v>0</v>
      </c>
      <c r="R533" s="178">
        <f t="shared" si="11"/>
        <v>20348000</v>
      </c>
      <c r="S533" s="145"/>
      <c r="T533" s="146" t="s">
        <v>1874</v>
      </c>
      <c r="U533" s="190"/>
      <c r="V533" s="89"/>
      <c r="W533" s="90" t="s">
        <v>1293</v>
      </c>
      <c r="X533" s="81"/>
      <c r="Y533" s="81"/>
      <c r="Z533" s="81"/>
      <c r="AA533" s="81"/>
      <c r="AB533" s="81"/>
      <c r="AC533" s="81"/>
      <c r="AD533" s="81"/>
      <c r="AE533" s="81"/>
    </row>
    <row r="534" spans="1:31" s="1" customFormat="1" ht="15.75">
      <c r="A534" s="171">
        <v>533</v>
      </c>
      <c r="B534" s="172">
        <v>110</v>
      </c>
      <c r="C534" s="175" t="s">
        <v>39</v>
      </c>
      <c r="D534" s="175" t="s">
        <v>1558</v>
      </c>
      <c r="E534" s="189" t="s">
        <v>1875</v>
      </c>
      <c r="F534" s="189"/>
      <c r="G534" s="189"/>
      <c r="H534" s="175">
        <v>61</v>
      </c>
      <c r="I534" s="175">
        <v>0</v>
      </c>
      <c r="J534" s="176">
        <v>8</v>
      </c>
      <c r="K534" s="173"/>
      <c r="L534" s="173"/>
      <c r="M534" s="173"/>
      <c r="N534" s="173"/>
      <c r="O534" s="177">
        <v>2360000</v>
      </c>
      <c r="P534" s="177">
        <v>15324054</v>
      </c>
      <c r="Q534" s="177">
        <v>272296</v>
      </c>
      <c r="R534" s="178">
        <f t="shared" si="11"/>
        <v>17956350</v>
      </c>
      <c r="S534" s="145"/>
      <c r="T534" s="146" t="s">
        <v>1876</v>
      </c>
      <c r="U534" s="190"/>
      <c r="V534" s="89"/>
      <c r="W534" s="90" t="s">
        <v>1877</v>
      </c>
      <c r="X534" s="81"/>
      <c r="Y534" s="81"/>
      <c r="Z534" s="81"/>
      <c r="AA534" s="81"/>
      <c r="AB534" s="81"/>
      <c r="AC534" s="81"/>
      <c r="AD534" s="81"/>
      <c r="AE534" s="81"/>
    </row>
    <row r="535" spans="1:31" s="1" customFormat="1" ht="15.75">
      <c r="A535" s="171">
        <v>534</v>
      </c>
      <c r="B535" s="172">
        <v>110</v>
      </c>
      <c r="C535" s="175" t="s">
        <v>39</v>
      </c>
      <c r="D535" s="175" t="s">
        <v>1576</v>
      </c>
      <c r="E535" s="189" t="s">
        <v>1878</v>
      </c>
      <c r="F535" s="189"/>
      <c r="G535" s="189"/>
      <c r="H535" s="175">
        <v>150</v>
      </c>
      <c r="I535" s="175" t="s">
        <v>404</v>
      </c>
      <c r="J535" s="176">
        <v>15</v>
      </c>
      <c r="K535" s="173"/>
      <c r="L535" s="173"/>
      <c r="M535" s="173"/>
      <c r="N535" s="173"/>
      <c r="O535" s="177">
        <v>18000000</v>
      </c>
      <c r="P535" s="177">
        <v>16554380</v>
      </c>
      <c r="Q535" s="177"/>
      <c r="R535" s="178">
        <f t="shared" si="11"/>
        <v>34554380</v>
      </c>
      <c r="S535" s="145"/>
      <c r="T535" s="146" t="s">
        <v>1879</v>
      </c>
      <c r="U535" s="190"/>
      <c r="V535" s="89"/>
      <c r="W535" s="90" t="s">
        <v>1880</v>
      </c>
      <c r="X535" s="81"/>
      <c r="Y535" s="81"/>
      <c r="Z535" s="81"/>
      <c r="AA535" s="81"/>
      <c r="AB535" s="81"/>
      <c r="AC535" s="81"/>
      <c r="AD535" s="81"/>
      <c r="AE535" s="81"/>
    </row>
    <row r="536" spans="1:31" s="1" customFormat="1" ht="15.75">
      <c r="A536" s="171">
        <v>535</v>
      </c>
      <c r="B536" s="172">
        <v>110</v>
      </c>
      <c r="C536" s="175" t="s">
        <v>39</v>
      </c>
      <c r="D536" s="175" t="s">
        <v>1590</v>
      </c>
      <c r="E536" s="189" t="s">
        <v>1881</v>
      </c>
      <c r="F536" s="189"/>
      <c r="G536" s="189"/>
      <c r="H536" s="175">
        <v>310</v>
      </c>
      <c r="I536" s="175">
        <v>0</v>
      </c>
      <c r="J536" s="176">
        <v>12</v>
      </c>
      <c r="K536" s="173"/>
      <c r="L536" s="173"/>
      <c r="M536" s="173"/>
      <c r="N536" s="173"/>
      <c r="O536" s="177">
        <v>29760000</v>
      </c>
      <c r="P536" s="177">
        <v>21673561</v>
      </c>
      <c r="Q536" s="177"/>
      <c r="R536" s="178">
        <f t="shared" si="11"/>
        <v>51433561</v>
      </c>
      <c r="S536" s="145"/>
      <c r="T536" s="146" t="s">
        <v>1874</v>
      </c>
      <c r="U536" s="190"/>
      <c r="V536" s="89"/>
      <c r="W536" s="90" t="s">
        <v>120</v>
      </c>
      <c r="X536" s="81"/>
      <c r="Y536" s="81"/>
      <c r="Z536" s="81"/>
      <c r="AA536" s="81"/>
      <c r="AB536" s="81"/>
      <c r="AC536" s="81"/>
      <c r="AD536" s="81"/>
      <c r="AE536" s="81"/>
    </row>
    <row r="537" spans="1:31" s="1" customFormat="1" ht="15.75">
      <c r="A537" s="171">
        <v>536</v>
      </c>
      <c r="B537" s="172">
        <v>110</v>
      </c>
      <c r="C537" s="175" t="s">
        <v>39</v>
      </c>
      <c r="D537" s="175" t="s">
        <v>1576</v>
      </c>
      <c r="E537" s="189" t="s">
        <v>1882</v>
      </c>
      <c r="F537" s="189"/>
      <c r="G537" s="189"/>
      <c r="H537" s="175">
        <v>295</v>
      </c>
      <c r="I537" s="175" t="s">
        <v>254</v>
      </c>
      <c r="J537" s="176">
        <v>8</v>
      </c>
      <c r="K537" s="173"/>
      <c r="L537" s="173"/>
      <c r="M537" s="173"/>
      <c r="N537" s="173"/>
      <c r="O537" s="177">
        <v>18880000</v>
      </c>
      <c r="P537" s="177">
        <v>43607200</v>
      </c>
      <c r="Q537" s="177">
        <v>37730000</v>
      </c>
      <c r="R537" s="178">
        <f t="shared" si="11"/>
        <v>100217200</v>
      </c>
      <c r="S537" s="145"/>
      <c r="T537" s="146" t="s">
        <v>1883</v>
      </c>
      <c r="U537" s="190"/>
      <c r="V537" s="89"/>
      <c r="W537" s="90" t="s">
        <v>1884</v>
      </c>
      <c r="X537" s="81"/>
      <c r="Y537" s="81"/>
      <c r="Z537" s="81"/>
      <c r="AA537" s="81"/>
      <c r="AB537" s="81"/>
      <c r="AC537" s="81"/>
      <c r="AD537" s="81"/>
      <c r="AE537" s="81"/>
    </row>
    <row r="538" spans="1:31" s="1" customFormat="1" ht="15.75">
      <c r="A538" s="171">
        <v>537</v>
      </c>
      <c r="B538" s="172">
        <v>110</v>
      </c>
      <c r="C538" s="175" t="s">
        <v>39</v>
      </c>
      <c r="D538" s="175" t="s">
        <v>1558</v>
      </c>
      <c r="E538" s="189" t="s">
        <v>1885</v>
      </c>
      <c r="F538" s="189"/>
      <c r="G538" s="189"/>
      <c r="H538" s="175">
        <v>200</v>
      </c>
      <c r="I538" s="175">
        <v>4</v>
      </c>
      <c r="J538" s="176">
        <v>8</v>
      </c>
      <c r="K538" s="173"/>
      <c r="L538" s="173"/>
      <c r="M538" s="173"/>
      <c r="N538" s="173"/>
      <c r="O538" s="177">
        <v>12800000</v>
      </c>
      <c r="P538" s="177">
        <v>76035960</v>
      </c>
      <c r="Q538" s="177">
        <v>33280000</v>
      </c>
      <c r="R538" s="178">
        <f t="shared" si="11"/>
        <v>122115960</v>
      </c>
      <c r="S538" s="145"/>
      <c r="T538" s="146" t="s">
        <v>1886</v>
      </c>
      <c r="U538" s="190"/>
      <c r="V538" s="89"/>
      <c r="W538" s="90" t="s">
        <v>1520</v>
      </c>
      <c r="X538" s="81"/>
      <c r="Y538" s="81"/>
      <c r="Z538" s="81"/>
      <c r="AA538" s="81"/>
      <c r="AB538" s="81"/>
      <c r="AC538" s="81"/>
      <c r="AD538" s="81"/>
      <c r="AE538" s="81"/>
    </row>
    <row r="539" spans="1:31" s="1" customFormat="1" ht="15.75">
      <c r="A539" s="171">
        <v>538</v>
      </c>
      <c r="B539" s="172">
        <v>110</v>
      </c>
      <c r="C539" s="175" t="s">
        <v>39</v>
      </c>
      <c r="D539" s="175" t="s">
        <v>1576</v>
      </c>
      <c r="E539" s="189" t="s">
        <v>1887</v>
      </c>
      <c r="F539" s="189"/>
      <c r="G539" s="189"/>
      <c r="H539" s="175">
        <v>99</v>
      </c>
      <c r="I539" s="175">
        <v>0</v>
      </c>
      <c r="J539" s="176">
        <v>10</v>
      </c>
      <c r="K539" s="173"/>
      <c r="L539" s="173"/>
      <c r="M539" s="173"/>
      <c r="N539" s="173"/>
      <c r="O539" s="177">
        <v>7920000</v>
      </c>
      <c r="P539" s="177">
        <v>48385525</v>
      </c>
      <c r="Q539" s="177"/>
      <c r="R539" s="178">
        <f t="shared" si="11"/>
        <v>56305525</v>
      </c>
      <c r="S539" s="145"/>
      <c r="T539" s="146" t="s">
        <v>1888</v>
      </c>
      <c r="U539" s="190"/>
      <c r="V539" s="89"/>
      <c r="W539" s="90" t="s">
        <v>779</v>
      </c>
      <c r="X539" s="81"/>
      <c r="Y539" s="81"/>
      <c r="Z539" s="81"/>
      <c r="AA539" s="81"/>
      <c r="AB539" s="81"/>
      <c r="AC539" s="81"/>
      <c r="AD539" s="81"/>
      <c r="AE539" s="81"/>
    </row>
    <row r="540" spans="1:31" s="1" customFormat="1" ht="15.75">
      <c r="A540" s="171">
        <v>539</v>
      </c>
      <c r="B540" s="172">
        <v>110</v>
      </c>
      <c r="C540" s="175" t="s">
        <v>39</v>
      </c>
      <c r="D540" s="175" t="s">
        <v>1576</v>
      </c>
      <c r="E540" s="189" t="s">
        <v>1889</v>
      </c>
      <c r="F540" s="189"/>
      <c r="G540" s="189"/>
      <c r="H540" s="175">
        <v>192</v>
      </c>
      <c r="I540" s="175">
        <v>0</v>
      </c>
      <c r="J540" s="176">
        <v>10</v>
      </c>
      <c r="K540" s="173"/>
      <c r="L540" s="173"/>
      <c r="M540" s="173"/>
      <c r="N540" s="173"/>
      <c r="O540" s="177">
        <v>15360000</v>
      </c>
      <c r="P540" s="177">
        <v>92326061</v>
      </c>
      <c r="Q540" s="177"/>
      <c r="R540" s="178">
        <f t="shared" si="11"/>
        <v>107686061</v>
      </c>
      <c r="S540" s="145"/>
      <c r="T540" s="146" t="s">
        <v>1888</v>
      </c>
      <c r="U540" s="190"/>
      <c r="V540" s="89"/>
      <c r="W540" s="90" t="s">
        <v>779</v>
      </c>
      <c r="X540" s="81"/>
      <c r="Y540" s="81"/>
      <c r="Z540" s="81"/>
      <c r="AA540" s="81"/>
      <c r="AB540" s="81"/>
      <c r="AC540" s="81"/>
      <c r="AD540" s="81"/>
      <c r="AE540" s="81"/>
    </row>
    <row r="541" spans="1:31" s="1" customFormat="1" ht="15.75">
      <c r="A541" s="171">
        <v>540</v>
      </c>
      <c r="B541" s="172">
        <v>110</v>
      </c>
      <c r="C541" s="175" t="s">
        <v>178</v>
      </c>
      <c r="D541" s="175" t="s">
        <v>1558</v>
      </c>
      <c r="E541" s="189" t="s">
        <v>1890</v>
      </c>
      <c r="F541" s="189"/>
      <c r="G541" s="189"/>
      <c r="H541" s="175">
        <v>12</v>
      </c>
      <c r="I541" s="175">
        <v>5</v>
      </c>
      <c r="J541" s="176">
        <v>10</v>
      </c>
      <c r="K541" s="173"/>
      <c r="L541" s="173"/>
      <c r="M541" s="173"/>
      <c r="N541" s="173"/>
      <c r="O541" s="177">
        <v>2960000</v>
      </c>
      <c r="P541" s="177">
        <v>7178000</v>
      </c>
      <c r="Q541" s="177">
        <v>5600000</v>
      </c>
      <c r="R541" s="178">
        <f t="shared" si="11"/>
        <v>15738000</v>
      </c>
      <c r="S541" s="145"/>
      <c r="T541" s="146" t="s">
        <v>1876</v>
      </c>
      <c r="U541" s="190"/>
      <c r="V541" s="89"/>
      <c r="W541" s="90" t="s">
        <v>1891</v>
      </c>
      <c r="X541" s="81"/>
      <c r="Y541" s="81"/>
      <c r="Z541" s="81"/>
      <c r="AA541" s="81"/>
      <c r="AB541" s="81"/>
      <c r="AC541" s="81"/>
      <c r="AD541" s="81"/>
      <c r="AE541" s="81"/>
    </row>
    <row r="542" spans="1:31" s="1" customFormat="1" ht="15.75">
      <c r="A542" s="171">
        <v>541</v>
      </c>
      <c r="B542" s="172">
        <v>110</v>
      </c>
      <c r="C542" s="175" t="s">
        <v>178</v>
      </c>
      <c r="D542" s="175" t="s">
        <v>1632</v>
      </c>
      <c r="E542" s="189" t="s">
        <v>1892</v>
      </c>
      <c r="F542" s="189"/>
      <c r="G542" s="189"/>
      <c r="H542" s="175">
        <v>200</v>
      </c>
      <c r="I542" s="175" t="s">
        <v>1057</v>
      </c>
      <c r="J542" s="176">
        <v>10</v>
      </c>
      <c r="K542" s="173"/>
      <c r="L542" s="173"/>
      <c r="M542" s="173"/>
      <c r="N542" s="173"/>
      <c r="O542" s="177">
        <v>16000000</v>
      </c>
      <c r="P542" s="177">
        <v>92880209</v>
      </c>
      <c r="Q542" s="177">
        <v>0</v>
      </c>
      <c r="R542" s="178">
        <f t="shared" si="11"/>
        <v>108880209</v>
      </c>
      <c r="S542" s="145"/>
      <c r="T542" s="146" t="s">
        <v>1893</v>
      </c>
      <c r="U542" s="190"/>
      <c r="V542" s="89"/>
      <c r="W542" s="90" t="s">
        <v>46</v>
      </c>
      <c r="X542" s="81"/>
      <c r="Y542" s="81"/>
      <c r="Z542" s="81"/>
      <c r="AA542" s="81"/>
      <c r="AB542" s="81"/>
      <c r="AC542" s="81"/>
      <c r="AD542" s="81"/>
      <c r="AE542" s="81"/>
    </row>
    <row r="543" spans="1:31" s="1" customFormat="1" ht="54">
      <c r="A543" s="171">
        <v>542</v>
      </c>
      <c r="B543" s="172">
        <v>110</v>
      </c>
      <c r="C543" s="175" t="s">
        <v>178</v>
      </c>
      <c r="D543" s="175" t="s">
        <v>1894</v>
      </c>
      <c r="E543" s="189" t="s">
        <v>356</v>
      </c>
      <c r="F543" s="189"/>
      <c r="G543" s="189"/>
      <c r="H543" s="175">
        <v>2930</v>
      </c>
      <c r="I543" s="175">
        <v>10</v>
      </c>
      <c r="J543" s="176">
        <v>15</v>
      </c>
      <c r="K543" s="173"/>
      <c r="L543" s="173"/>
      <c r="M543" s="173"/>
      <c r="N543" s="173"/>
      <c r="O543" s="177">
        <v>351600000</v>
      </c>
      <c r="P543" s="177">
        <v>151145484</v>
      </c>
      <c r="Q543" s="177">
        <v>215000000</v>
      </c>
      <c r="R543" s="178">
        <f t="shared" si="11"/>
        <v>717745484</v>
      </c>
      <c r="S543" s="145"/>
      <c r="T543" s="146" t="s">
        <v>1895</v>
      </c>
      <c r="U543" s="190"/>
      <c r="V543" s="89"/>
      <c r="W543" s="90" t="s">
        <v>1547</v>
      </c>
      <c r="X543" s="81"/>
      <c r="Y543" s="81"/>
      <c r="Z543" s="81"/>
      <c r="AA543" s="81"/>
      <c r="AB543" s="81"/>
      <c r="AC543" s="81"/>
      <c r="AD543" s="81"/>
      <c r="AE543" s="81"/>
    </row>
    <row r="544" spans="1:31" s="1" customFormat="1" ht="15.75">
      <c r="A544" s="171">
        <v>543</v>
      </c>
      <c r="B544" s="172">
        <v>110</v>
      </c>
      <c r="C544" s="175" t="s">
        <v>178</v>
      </c>
      <c r="D544" s="175" t="s">
        <v>1576</v>
      </c>
      <c r="E544" s="189" t="s">
        <v>1896</v>
      </c>
      <c r="F544" s="189"/>
      <c r="G544" s="189"/>
      <c r="H544" s="175">
        <v>330</v>
      </c>
      <c r="I544" s="175">
        <v>0</v>
      </c>
      <c r="J544" s="176">
        <v>8</v>
      </c>
      <c r="K544" s="173"/>
      <c r="L544" s="173"/>
      <c r="M544" s="173"/>
      <c r="N544" s="173"/>
      <c r="O544" s="177">
        <v>21120000</v>
      </c>
      <c r="P544" s="177">
        <v>0</v>
      </c>
      <c r="Q544" s="177">
        <v>0</v>
      </c>
      <c r="R544" s="178">
        <f t="shared" si="11"/>
        <v>21120000</v>
      </c>
      <c r="S544" s="145"/>
      <c r="T544" s="146" t="s">
        <v>1888</v>
      </c>
      <c r="U544" s="190"/>
      <c r="V544" s="89"/>
      <c r="W544" s="90" t="s">
        <v>779</v>
      </c>
      <c r="X544" s="81"/>
      <c r="Y544" s="81"/>
      <c r="Z544" s="81"/>
      <c r="AA544" s="81"/>
      <c r="AB544" s="81"/>
      <c r="AC544" s="81"/>
      <c r="AD544" s="81"/>
      <c r="AE544" s="81"/>
    </row>
    <row r="545" spans="1:31" s="1" customFormat="1" ht="15.75">
      <c r="A545" s="171">
        <v>544</v>
      </c>
      <c r="B545" s="172">
        <v>110</v>
      </c>
      <c r="C545" s="175" t="s">
        <v>178</v>
      </c>
      <c r="D545" s="175" t="s">
        <v>1627</v>
      </c>
      <c r="E545" s="189" t="s">
        <v>1897</v>
      </c>
      <c r="F545" s="189"/>
      <c r="G545" s="189"/>
      <c r="H545" s="175">
        <v>250</v>
      </c>
      <c r="I545" s="175">
        <v>0</v>
      </c>
      <c r="J545" s="176">
        <v>12</v>
      </c>
      <c r="K545" s="173"/>
      <c r="L545" s="173"/>
      <c r="M545" s="173"/>
      <c r="N545" s="173"/>
      <c r="O545" s="177">
        <v>67618000</v>
      </c>
      <c r="P545" s="177">
        <v>0</v>
      </c>
      <c r="Q545" s="177">
        <v>2143297</v>
      </c>
      <c r="R545" s="178">
        <f t="shared" si="11"/>
        <v>69761297</v>
      </c>
      <c r="S545" s="145"/>
      <c r="T545" s="146" t="s">
        <v>1898</v>
      </c>
      <c r="U545" s="190"/>
      <c r="V545" s="89"/>
      <c r="W545" s="90" t="s">
        <v>1899</v>
      </c>
      <c r="X545" s="81"/>
      <c r="Y545" s="81"/>
      <c r="Z545" s="81"/>
      <c r="AA545" s="81"/>
      <c r="AB545" s="81"/>
      <c r="AC545" s="81"/>
      <c r="AD545" s="81"/>
      <c r="AE545" s="81"/>
    </row>
    <row r="546" spans="1:31" s="1" customFormat="1" ht="15.75">
      <c r="A546" s="171">
        <v>545</v>
      </c>
      <c r="B546" s="172">
        <v>110</v>
      </c>
      <c r="C546" s="175" t="s">
        <v>178</v>
      </c>
      <c r="D546" s="175"/>
      <c r="E546" s="189" t="s">
        <v>1900</v>
      </c>
      <c r="F546" s="189"/>
      <c r="G546" s="189"/>
      <c r="H546" s="175">
        <v>90</v>
      </c>
      <c r="I546" s="175">
        <v>0</v>
      </c>
      <c r="J546" s="176">
        <v>12</v>
      </c>
      <c r="K546" s="173"/>
      <c r="L546" s="173"/>
      <c r="M546" s="173"/>
      <c r="N546" s="173"/>
      <c r="O546" s="177">
        <v>2720000</v>
      </c>
      <c r="P546" s="177">
        <v>0</v>
      </c>
      <c r="Q546" s="177">
        <v>0</v>
      </c>
      <c r="R546" s="178">
        <f t="shared" si="11"/>
        <v>2720000</v>
      </c>
      <c r="S546" s="145"/>
      <c r="T546" s="146"/>
      <c r="U546" s="190"/>
      <c r="V546" s="89"/>
      <c r="W546" s="90"/>
      <c r="X546" s="81"/>
      <c r="Y546" s="81"/>
      <c r="Z546" s="81"/>
      <c r="AA546" s="81"/>
      <c r="AB546" s="81"/>
      <c r="AC546" s="81"/>
      <c r="AD546" s="81"/>
      <c r="AE546" s="81"/>
    </row>
    <row r="547" spans="1:31" s="1" customFormat="1" ht="15.75">
      <c r="A547" s="171">
        <v>546</v>
      </c>
      <c r="B547" s="172">
        <v>110</v>
      </c>
      <c r="C547" s="175" t="s">
        <v>178</v>
      </c>
      <c r="D547" s="175" t="s">
        <v>1571</v>
      </c>
      <c r="E547" s="189" t="s">
        <v>1901</v>
      </c>
      <c r="F547" s="189"/>
      <c r="G547" s="189"/>
      <c r="H547" s="175">
        <v>130</v>
      </c>
      <c r="I547" s="175">
        <v>4</v>
      </c>
      <c r="J547" s="176">
        <v>8</v>
      </c>
      <c r="K547" s="173"/>
      <c r="L547" s="173"/>
      <c r="M547" s="173"/>
      <c r="N547" s="173"/>
      <c r="O547" s="177">
        <v>8320000</v>
      </c>
      <c r="P547" s="177">
        <v>4968317</v>
      </c>
      <c r="Q547" s="177"/>
      <c r="R547" s="178">
        <f t="shared" si="11"/>
        <v>13288317</v>
      </c>
      <c r="S547" s="145"/>
      <c r="T547" s="146" t="s">
        <v>1851</v>
      </c>
      <c r="U547" s="190"/>
      <c r="V547" s="89"/>
      <c r="W547" s="90" t="s">
        <v>1821</v>
      </c>
      <c r="X547" s="81"/>
      <c r="Y547" s="81"/>
      <c r="Z547" s="81"/>
      <c r="AA547" s="81"/>
      <c r="AB547" s="81"/>
      <c r="AC547" s="81"/>
      <c r="AD547" s="81"/>
      <c r="AE547" s="81"/>
    </row>
    <row r="548" spans="1:31" s="1" customFormat="1" ht="15.75">
      <c r="A548" s="171">
        <v>547</v>
      </c>
      <c r="B548" s="172">
        <v>110</v>
      </c>
      <c r="C548" s="175" t="s">
        <v>178</v>
      </c>
      <c r="D548" s="175" t="s">
        <v>1571</v>
      </c>
      <c r="E548" s="189" t="s">
        <v>1902</v>
      </c>
      <c r="F548" s="189"/>
      <c r="G548" s="189"/>
      <c r="H548" s="175">
        <v>155</v>
      </c>
      <c r="I548" s="175">
        <v>0</v>
      </c>
      <c r="J548" s="176">
        <v>6</v>
      </c>
      <c r="K548" s="173"/>
      <c r="L548" s="173"/>
      <c r="M548" s="173"/>
      <c r="N548" s="173"/>
      <c r="O548" s="177">
        <v>7440000</v>
      </c>
      <c r="P548" s="177">
        <v>5443600</v>
      </c>
      <c r="Q548" s="177"/>
      <c r="R548" s="178">
        <f t="shared" si="11"/>
        <v>12883600</v>
      </c>
      <c r="S548" s="145"/>
      <c r="T548" s="146" t="s">
        <v>1903</v>
      </c>
      <c r="U548" s="190"/>
      <c r="V548" s="89"/>
      <c r="W548" s="90" t="s">
        <v>1904</v>
      </c>
      <c r="X548" s="81"/>
      <c r="Y548" s="81"/>
      <c r="Z548" s="81"/>
      <c r="AA548" s="81"/>
      <c r="AB548" s="81"/>
      <c r="AC548" s="81"/>
      <c r="AD548" s="81"/>
      <c r="AE548" s="81"/>
    </row>
    <row r="549" spans="1:31" s="1" customFormat="1" ht="15.75">
      <c r="A549" s="171">
        <v>548</v>
      </c>
      <c r="B549" s="172">
        <v>110</v>
      </c>
      <c r="C549" s="175" t="s">
        <v>178</v>
      </c>
      <c r="D549" s="175" t="s">
        <v>1571</v>
      </c>
      <c r="E549" s="189" t="s">
        <v>1905</v>
      </c>
      <c r="F549" s="189"/>
      <c r="G549" s="189"/>
      <c r="H549" s="175">
        <v>250</v>
      </c>
      <c r="I549" s="175">
        <v>4</v>
      </c>
      <c r="J549" s="176">
        <v>10</v>
      </c>
      <c r="K549" s="173"/>
      <c r="L549" s="173"/>
      <c r="M549" s="173"/>
      <c r="N549" s="173"/>
      <c r="O549" s="177">
        <v>20000000</v>
      </c>
      <c r="P549" s="177">
        <f>Q549*250*6</f>
        <v>0</v>
      </c>
      <c r="Q549" s="177"/>
      <c r="R549" s="178">
        <f t="shared" si="11"/>
        <v>20000000</v>
      </c>
      <c r="S549" s="145"/>
      <c r="T549" s="146" t="s">
        <v>1851</v>
      </c>
      <c r="U549" s="190"/>
      <c r="V549" s="89"/>
      <c r="W549" s="90" t="s">
        <v>1821</v>
      </c>
      <c r="X549" s="81"/>
      <c r="Y549" s="81"/>
      <c r="Z549" s="81"/>
      <c r="AA549" s="81"/>
      <c r="AB549" s="81"/>
      <c r="AC549" s="81"/>
      <c r="AD549" s="81"/>
      <c r="AE549" s="81"/>
    </row>
    <row r="550" spans="1:31" s="1" customFormat="1" ht="15.75">
      <c r="A550" s="171">
        <v>549</v>
      </c>
      <c r="B550" s="172">
        <v>110</v>
      </c>
      <c r="C550" s="175" t="s">
        <v>178</v>
      </c>
      <c r="D550" s="175" t="s">
        <v>1590</v>
      </c>
      <c r="E550" s="189" t="s">
        <v>1906</v>
      </c>
      <c r="F550" s="189"/>
      <c r="G550" s="189"/>
      <c r="H550" s="175">
        <v>300</v>
      </c>
      <c r="I550" s="175">
        <v>7</v>
      </c>
      <c r="J550" s="176">
        <v>12</v>
      </c>
      <c r="K550" s="173"/>
      <c r="L550" s="173"/>
      <c r="M550" s="173"/>
      <c r="N550" s="173"/>
      <c r="O550" s="177">
        <v>28800000</v>
      </c>
      <c r="P550" s="177">
        <f>2600*2*5*300</f>
        <v>7800000</v>
      </c>
      <c r="Q550" s="177"/>
      <c r="R550" s="178">
        <f t="shared" si="11"/>
        <v>36600000</v>
      </c>
      <c r="S550" s="145"/>
      <c r="T550" s="146" t="s">
        <v>1836</v>
      </c>
      <c r="U550" s="190"/>
      <c r="V550" s="89"/>
      <c r="W550" s="90" t="s">
        <v>1687</v>
      </c>
      <c r="X550" s="81"/>
      <c r="Y550" s="81"/>
      <c r="Z550" s="81"/>
      <c r="AA550" s="81"/>
      <c r="AB550" s="81"/>
      <c r="AC550" s="81"/>
      <c r="AD550" s="81"/>
      <c r="AE550" s="81"/>
    </row>
    <row r="551" spans="1:31" s="1" customFormat="1" ht="15.75">
      <c r="A551" s="171">
        <v>550</v>
      </c>
      <c r="B551" s="172">
        <v>110</v>
      </c>
      <c r="C551" s="175" t="s">
        <v>178</v>
      </c>
      <c r="D551" s="175" t="s">
        <v>1636</v>
      </c>
      <c r="E551" s="189" t="s">
        <v>1907</v>
      </c>
      <c r="F551" s="189"/>
      <c r="G551" s="189"/>
      <c r="H551" s="175">
        <v>325</v>
      </c>
      <c r="I551" s="175">
        <v>10</v>
      </c>
      <c r="J551" s="176">
        <v>15</v>
      </c>
      <c r="K551" s="173"/>
      <c r="L551" s="173"/>
      <c r="M551" s="173"/>
      <c r="N551" s="173"/>
      <c r="O551" s="177">
        <v>39000000</v>
      </c>
      <c r="P551" s="177">
        <f>2700*5*325*2</f>
        <v>8775000</v>
      </c>
      <c r="Q551" s="177">
        <v>0</v>
      </c>
      <c r="R551" s="178">
        <f t="shared" si="11"/>
        <v>47775000</v>
      </c>
      <c r="S551" s="145"/>
      <c r="T551" s="146" t="s">
        <v>1908</v>
      </c>
      <c r="U551" s="190"/>
      <c r="V551" s="89"/>
      <c r="W551" s="90" t="s">
        <v>1909</v>
      </c>
      <c r="X551" s="81"/>
      <c r="Y551" s="81"/>
      <c r="Z551" s="81"/>
      <c r="AA551" s="81"/>
      <c r="AB551" s="81"/>
      <c r="AC551" s="81"/>
      <c r="AD551" s="81"/>
      <c r="AE551" s="81"/>
    </row>
    <row r="552" spans="1:31" s="1" customFormat="1" ht="15.75">
      <c r="A552" s="171">
        <v>551</v>
      </c>
      <c r="B552" s="172">
        <v>110</v>
      </c>
      <c r="C552" s="175" t="s">
        <v>178</v>
      </c>
      <c r="D552" s="175" t="s">
        <v>1571</v>
      </c>
      <c r="E552" s="189" t="s">
        <v>1910</v>
      </c>
      <c r="F552" s="189"/>
      <c r="G552" s="189"/>
      <c r="H552" s="175">
        <v>550</v>
      </c>
      <c r="I552" s="175">
        <v>4</v>
      </c>
      <c r="J552" s="176">
        <v>8</v>
      </c>
      <c r="K552" s="173"/>
      <c r="L552" s="173"/>
      <c r="M552" s="173"/>
      <c r="N552" s="173"/>
      <c r="O552" s="177">
        <v>35200000</v>
      </c>
      <c r="P552" s="177">
        <v>11872356</v>
      </c>
      <c r="Q552" s="177"/>
      <c r="R552" s="178">
        <f t="shared" si="11"/>
        <v>47072356</v>
      </c>
      <c r="S552" s="145"/>
      <c r="T552" s="146" t="s">
        <v>1851</v>
      </c>
      <c r="U552" s="190"/>
      <c r="V552" s="89"/>
      <c r="W552" s="90" t="s">
        <v>1821</v>
      </c>
      <c r="X552" s="81"/>
      <c r="Y552" s="81"/>
      <c r="Z552" s="81"/>
      <c r="AA552" s="81"/>
      <c r="AB552" s="81"/>
      <c r="AC552" s="81"/>
      <c r="AD552" s="81"/>
      <c r="AE552" s="81"/>
    </row>
    <row r="553" spans="1:31" s="1" customFormat="1" ht="15.75">
      <c r="A553" s="171">
        <v>552</v>
      </c>
      <c r="B553" s="172">
        <v>110</v>
      </c>
      <c r="C553" s="175" t="s">
        <v>178</v>
      </c>
      <c r="D553" s="175" t="s">
        <v>1571</v>
      </c>
      <c r="E553" s="189" t="s">
        <v>1911</v>
      </c>
      <c r="F553" s="189"/>
      <c r="G553" s="189"/>
      <c r="H553" s="175">
        <v>160</v>
      </c>
      <c r="I553" s="175">
        <v>8</v>
      </c>
      <c r="J553" s="176">
        <v>12</v>
      </c>
      <c r="K553" s="173"/>
      <c r="L553" s="173"/>
      <c r="M553" s="173"/>
      <c r="N553" s="173"/>
      <c r="O553" s="177">
        <v>15360000</v>
      </c>
      <c r="P553" s="177">
        <v>13000000</v>
      </c>
      <c r="Q553" s="177"/>
      <c r="R553" s="178">
        <f t="shared" si="11"/>
        <v>28360000</v>
      </c>
      <c r="S553" s="145"/>
      <c r="T553" s="146" t="s">
        <v>1851</v>
      </c>
      <c r="U553" s="190"/>
      <c r="V553" s="89"/>
      <c r="W553" s="90" t="s">
        <v>1821</v>
      </c>
      <c r="X553" s="81"/>
      <c r="Y553" s="81"/>
      <c r="Z553" s="81"/>
      <c r="AA553" s="81"/>
      <c r="AB553" s="81"/>
      <c r="AC553" s="81"/>
      <c r="AD553" s="81"/>
      <c r="AE553" s="81"/>
    </row>
    <row r="554" spans="1:31" s="1" customFormat="1" ht="15.75">
      <c r="A554" s="171">
        <v>553</v>
      </c>
      <c r="B554" s="172">
        <v>110</v>
      </c>
      <c r="C554" s="175" t="s">
        <v>178</v>
      </c>
      <c r="D554" s="175" t="s">
        <v>1590</v>
      </c>
      <c r="E554" s="189" t="s">
        <v>1912</v>
      </c>
      <c r="F554" s="189"/>
      <c r="G554" s="189"/>
      <c r="H554" s="175">
        <v>100</v>
      </c>
      <c r="I554" s="175">
        <v>6</v>
      </c>
      <c r="J554" s="176">
        <v>8</v>
      </c>
      <c r="K554" s="173"/>
      <c r="L554" s="173"/>
      <c r="M554" s="173"/>
      <c r="N554" s="173"/>
      <c r="O554" s="177">
        <v>6400000</v>
      </c>
      <c r="P554" s="177">
        <v>15049500</v>
      </c>
      <c r="Q554" s="177"/>
      <c r="R554" s="178">
        <f t="shared" si="11"/>
        <v>21449500</v>
      </c>
      <c r="S554" s="145"/>
      <c r="T554" s="146" t="s">
        <v>1913</v>
      </c>
      <c r="U554" s="190"/>
      <c r="V554" s="89"/>
      <c r="W554" s="90" t="s">
        <v>1914</v>
      </c>
      <c r="X554" s="81"/>
      <c r="Y554" s="81"/>
      <c r="Z554" s="81"/>
      <c r="AA554" s="81"/>
      <c r="AB554" s="81"/>
      <c r="AC554" s="81"/>
      <c r="AD554" s="81"/>
      <c r="AE554" s="81"/>
    </row>
    <row r="555" spans="1:31" s="1" customFormat="1" ht="15.75">
      <c r="A555" s="171">
        <v>554</v>
      </c>
      <c r="B555" s="172">
        <v>110</v>
      </c>
      <c r="C555" s="175" t="s">
        <v>178</v>
      </c>
      <c r="D555" s="175" t="s">
        <v>1571</v>
      </c>
      <c r="E555" s="189" t="s">
        <v>1915</v>
      </c>
      <c r="F555" s="189"/>
      <c r="G555" s="189"/>
      <c r="H555" s="175">
        <v>110</v>
      </c>
      <c r="I555" s="175">
        <v>8</v>
      </c>
      <c r="J555" s="176">
        <v>12</v>
      </c>
      <c r="K555" s="173"/>
      <c r="L555" s="173"/>
      <c r="M555" s="173"/>
      <c r="N555" s="173"/>
      <c r="O555" s="177">
        <v>10560000</v>
      </c>
      <c r="P555" s="177">
        <v>17126894</v>
      </c>
      <c r="Q555" s="177"/>
      <c r="R555" s="178">
        <f t="shared" si="11"/>
        <v>27686894</v>
      </c>
      <c r="S555" s="145"/>
      <c r="T555" s="146" t="s">
        <v>1916</v>
      </c>
      <c r="U555" s="190"/>
      <c r="V555" s="89"/>
      <c r="W555" s="90" t="s">
        <v>1575</v>
      </c>
      <c r="X555" s="81"/>
      <c r="Y555" s="81"/>
      <c r="Z555" s="81"/>
      <c r="AA555" s="81"/>
      <c r="AB555" s="81"/>
      <c r="AC555" s="81"/>
      <c r="AD555" s="81"/>
      <c r="AE555" s="81"/>
    </row>
    <row r="556" spans="1:31" s="1" customFormat="1" ht="15.75">
      <c r="A556" s="171">
        <v>555</v>
      </c>
      <c r="B556" s="172">
        <v>110</v>
      </c>
      <c r="C556" s="175" t="s">
        <v>178</v>
      </c>
      <c r="D556" s="175" t="s">
        <v>1894</v>
      </c>
      <c r="E556" s="189" t="s">
        <v>1917</v>
      </c>
      <c r="F556" s="189"/>
      <c r="G556" s="189"/>
      <c r="H556" s="175">
        <v>275</v>
      </c>
      <c r="I556" s="175">
        <v>0</v>
      </c>
      <c r="J556" s="176">
        <v>12</v>
      </c>
      <c r="K556" s="173"/>
      <c r="L556" s="173"/>
      <c r="M556" s="173"/>
      <c r="N556" s="173"/>
      <c r="O556" s="177">
        <v>26400000</v>
      </c>
      <c r="P556" s="177">
        <v>22700000</v>
      </c>
      <c r="Q556" s="177"/>
      <c r="R556" s="178">
        <f t="shared" si="11"/>
        <v>49100000</v>
      </c>
      <c r="S556" s="145"/>
      <c r="T556" s="146" t="s">
        <v>1918</v>
      </c>
      <c r="U556" s="190"/>
      <c r="V556" s="89"/>
      <c r="W556" s="90" t="s">
        <v>1919</v>
      </c>
      <c r="X556" s="81"/>
      <c r="Y556" s="81"/>
      <c r="Z556" s="81"/>
      <c r="AA556" s="81"/>
      <c r="AB556" s="81"/>
      <c r="AC556" s="81"/>
      <c r="AD556" s="81"/>
      <c r="AE556" s="81"/>
    </row>
    <row r="557" spans="1:31" s="1" customFormat="1" ht="15.75">
      <c r="A557" s="171">
        <v>556</v>
      </c>
      <c r="B557" s="172">
        <v>110</v>
      </c>
      <c r="C557" s="175" t="s">
        <v>178</v>
      </c>
      <c r="D557" s="175" t="s">
        <v>1565</v>
      </c>
      <c r="E557" s="189" t="s">
        <v>1920</v>
      </c>
      <c r="F557" s="189"/>
      <c r="G557" s="189"/>
      <c r="H557" s="175">
        <v>78</v>
      </c>
      <c r="I557" s="175">
        <v>0</v>
      </c>
      <c r="J557" s="176">
        <v>8</v>
      </c>
      <c r="K557" s="173"/>
      <c r="L557" s="173"/>
      <c r="M557" s="173"/>
      <c r="N557" s="173"/>
      <c r="O557" s="177">
        <v>2600000</v>
      </c>
      <c r="P557" s="177">
        <v>23170877</v>
      </c>
      <c r="Q557" s="177">
        <v>0</v>
      </c>
      <c r="R557" s="178">
        <f t="shared" si="11"/>
        <v>25770877</v>
      </c>
      <c r="S557" s="145"/>
      <c r="T557" s="146" t="s">
        <v>1921</v>
      </c>
      <c r="U557" s="190"/>
      <c r="V557" s="89"/>
      <c r="W557" s="90" t="s">
        <v>1922</v>
      </c>
      <c r="X557" s="81"/>
      <c r="Y557" s="81"/>
      <c r="Z557" s="81"/>
      <c r="AA557" s="81"/>
      <c r="AB557" s="81"/>
      <c r="AC557" s="81"/>
      <c r="AD557" s="81"/>
      <c r="AE557" s="81"/>
    </row>
    <row r="558" spans="1:31" s="1" customFormat="1" ht="15.75">
      <c r="A558" s="171">
        <v>557</v>
      </c>
      <c r="B558" s="172">
        <v>110</v>
      </c>
      <c r="C558" s="175" t="s">
        <v>178</v>
      </c>
      <c r="D558" s="175" t="s">
        <v>1632</v>
      </c>
      <c r="E558" s="189" t="s">
        <v>1923</v>
      </c>
      <c r="F558" s="189"/>
      <c r="G558" s="189"/>
      <c r="H558" s="175">
        <v>50</v>
      </c>
      <c r="I558" s="175">
        <v>0</v>
      </c>
      <c r="J558" s="176">
        <v>8</v>
      </c>
      <c r="K558" s="173"/>
      <c r="L558" s="173"/>
      <c r="M558" s="173"/>
      <c r="N558" s="173"/>
      <c r="O558" s="177">
        <v>3200000</v>
      </c>
      <c r="P558" s="177">
        <f>Q558*50*8</f>
        <v>0</v>
      </c>
      <c r="Q558" s="177"/>
      <c r="R558" s="178">
        <f t="shared" si="11"/>
        <v>3200000</v>
      </c>
      <c r="S558" s="145"/>
      <c r="T558" s="146" t="s">
        <v>1924</v>
      </c>
      <c r="U558" s="190"/>
      <c r="V558" s="89"/>
      <c r="W558" s="90" t="s">
        <v>1230</v>
      </c>
      <c r="X558" s="81"/>
      <c r="Y558" s="81"/>
      <c r="Z558" s="81"/>
      <c r="AA558" s="81"/>
      <c r="AB558" s="81"/>
      <c r="AC558" s="81"/>
      <c r="AD558" s="81"/>
      <c r="AE558" s="81"/>
    </row>
    <row r="559" spans="1:31" s="1" customFormat="1" ht="15.75">
      <c r="A559" s="171">
        <v>558</v>
      </c>
      <c r="B559" s="172">
        <v>110</v>
      </c>
      <c r="C559" s="175" t="s">
        <v>178</v>
      </c>
      <c r="D559" s="175" t="s">
        <v>1576</v>
      </c>
      <c r="E559" s="189" t="s">
        <v>760</v>
      </c>
      <c r="F559" s="189"/>
      <c r="G559" s="189"/>
      <c r="H559" s="175">
        <v>135</v>
      </c>
      <c r="I559" s="175">
        <v>4</v>
      </c>
      <c r="J559" s="176">
        <v>8</v>
      </c>
      <c r="K559" s="173"/>
      <c r="L559" s="173"/>
      <c r="M559" s="173"/>
      <c r="N559" s="173"/>
      <c r="O559" s="177">
        <v>8640000</v>
      </c>
      <c r="P559" s="177">
        <v>32736978</v>
      </c>
      <c r="Q559" s="177"/>
      <c r="R559" s="178">
        <f t="shared" si="11"/>
        <v>41376978</v>
      </c>
      <c r="S559" s="145"/>
      <c r="T559" s="146" t="s">
        <v>1925</v>
      </c>
      <c r="U559" s="190"/>
      <c r="V559" s="89"/>
      <c r="W559" s="90" t="s">
        <v>1926</v>
      </c>
      <c r="X559" s="81"/>
      <c r="Y559" s="81"/>
      <c r="Z559" s="81"/>
      <c r="AA559" s="81"/>
      <c r="AB559" s="81"/>
      <c r="AC559" s="81"/>
      <c r="AD559" s="81"/>
      <c r="AE559" s="81"/>
    </row>
    <row r="560" spans="1:31" s="1" customFormat="1" ht="15.75">
      <c r="A560" s="171">
        <v>559</v>
      </c>
      <c r="B560" s="172">
        <v>110</v>
      </c>
      <c r="C560" s="175" t="s">
        <v>178</v>
      </c>
      <c r="D560" s="175" t="s">
        <v>1571</v>
      </c>
      <c r="E560" s="189" t="s">
        <v>1927</v>
      </c>
      <c r="F560" s="189"/>
      <c r="G560" s="189"/>
      <c r="H560" s="175">
        <v>325</v>
      </c>
      <c r="I560" s="175">
        <v>0</v>
      </c>
      <c r="J560" s="176">
        <v>12</v>
      </c>
      <c r="K560" s="173">
        <v>10</v>
      </c>
      <c r="L560" s="173">
        <v>6</v>
      </c>
      <c r="M560" s="173"/>
      <c r="N560" s="173"/>
      <c r="O560" s="177">
        <v>35700000</v>
      </c>
      <c r="P560" s="177">
        <v>26298922</v>
      </c>
      <c r="Q560" s="177">
        <v>1212000</v>
      </c>
      <c r="R560" s="178">
        <f t="shared" si="11"/>
        <v>63210922</v>
      </c>
      <c r="S560" s="145"/>
      <c r="T560" s="146" t="s">
        <v>1928</v>
      </c>
      <c r="U560" s="190"/>
      <c r="V560" s="89"/>
      <c r="W560" s="90" t="s">
        <v>1929</v>
      </c>
      <c r="X560" s="81"/>
      <c r="Y560" s="81"/>
      <c r="Z560" s="81"/>
      <c r="AA560" s="81"/>
      <c r="AB560" s="81"/>
      <c r="AC560" s="81"/>
      <c r="AD560" s="81"/>
      <c r="AE560" s="81"/>
    </row>
    <row r="561" spans="1:31" s="1" customFormat="1" ht="15.75">
      <c r="A561" s="171">
        <v>560</v>
      </c>
      <c r="B561" s="172">
        <v>110</v>
      </c>
      <c r="C561" s="175" t="s">
        <v>178</v>
      </c>
      <c r="D561" s="175" t="s">
        <v>1576</v>
      </c>
      <c r="E561" s="189" t="s">
        <v>1930</v>
      </c>
      <c r="F561" s="189"/>
      <c r="G561" s="189"/>
      <c r="H561" s="175">
        <v>440</v>
      </c>
      <c r="I561" s="175">
        <v>4</v>
      </c>
      <c r="J561" s="176">
        <v>8</v>
      </c>
      <c r="K561" s="173"/>
      <c r="L561" s="173"/>
      <c r="M561" s="173"/>
      <c r="N561" s="173"/>
      <c r="O561" s="177">
        <v>28160000</v>
      </c>
      <c r="P561" s="177">
        <f>12000*2*440*4</f>
        <v>42240000</v>
      </c>
      <c r="Q561" s="177">
        <v>19941320</v>
      </c>
      <c r="R561" s="178">
        <f t="shared" si="11"/>
        <v>90341320</v>
      </c>
      <c r="S561" s="145"/>
      <c r="T561" s="146" t="s">
        <v>1864</v>
      </c>
      <c r="U561" s="190"/>
      <c r="V561" s="89"/>
      <c r="W561" s="90" t="s">
        <v>1471</v>
      </c>
      <c r="X561" s="81"/>
      <c r="Y561" s="81"/>
      <c r="Z561" s="81"/>
      <c r="AA561" s="81"/>
      <c r="AB561" s="81"/>
      <c r="AC561" s="81"/>
      <c r="AD561" s="81"/>
      <c r="AE561" s="81"/>
    </row>
    <row r="562" spans="1:31" s="1" customFormat="1" ht="15.75">
      <c r="A562" s="171">
        <v>561</v>
      </c>
      <c r="B562" s="172">
        <v>110</v>
      </c>
      <c r="C562" s="175" t="s">
        <v>178</v>
      </c>
      <c r="D562" s="175" t="s">
        <v>1576</v>
      </c>
      <c r="E562" s="189" t="s">
        <v>1931</v>
      </c>
      <c r="F562" s="189"/>
      <c r="G562" s="189"/>
      <c r="H562" s="175">
        <v>200</v>
      </c>
      <c r="I562" s="175">
        <v>0</v>
      </c>
      <c r="J562" s="176">
        <v>15</v>
      </c>
      <c r="K562" s="173"/>
      <c r="L562" s="173"/>
      <c r="M562" s="173"/>
      <c r="N562" s="173"/>
      <c r="O562" s="177">
        <v>24000000</v>
      </c>
      <c r="P562" s="177">
        <v>43470875</v>
      </c>
      <c r="Q562" s="177"/>
      <c r="R562" s="178">
        <f t="shared" si="11"/>
        <v>67470875</v>
      </c>
      <c r="S562" s="145"/>
      <c r="T562" s="146" t="s">
        <v>1932</v>
      </c>
      <c r="U562" s="190"/>
      <c r="V562" s="89"/>
      <c r="W562" s="90" t="s">
        <v>1933</v>
      </c>
      <c r="X562" s="81"/>
      <c r="Y562" s="81"/>
      <c r="Z562" s="81"/>
      <c r="AA562" s="81"/>
      <c r="AB562" s="81"/>
      <c r="AC562" s="81"/>
      <c r="AD562" s="81"/>
      <c r="AE562" s="81"/>
    </row>
    <row r="563" spans="1:31" s="1" customFormat="1" ht="15.75">
      <c r="A563" s="171">
        <v>562</v>
      </c>
      <c r="B563" s="172">
        <v>110</v>
      </c>
      <c r="C563" s="175" t="s">
        <v>178</v>
      </c>
      <c r="D563" s="175" t="s">
        <v>1598</v>
      </c>
      <c r="E563" s="189" t="s">
        <v>1934</v>
      </c>
      <c r="F563" s="189"/>
      <c r="G563" s="189"/>
      <c r="H563" s="175">
        <v>152</v>
      </c>
      <c r="I563" s="175">
        <v>0</v>
      </c>
      <c r="J563" s="176" t="s">
        <v>630</v>
      </c>
      <c r="K563" s="173"/>
      <c r="L563" s="173"/>
      <c r="M563" s="173"/>
      <c r="N563" s="173"/>
      <c r="O563" s="177">
        <v>9728000</v>
      </c>
      <c r="P563" s="177">
        <v>53708000</v>
      </c>
      <c r="Q563" s="177"/>
      <c r="R563" s="178">
        <f t="shared" si="11"/>
        <v>63436000</v>
      </c>
      <c r="S563" s="145"/>
      <c r="T563" s="146" t="s">
        <v>1935</v>
      </c>
      <c r="U563" s="190"/>
      <c r="V563" s="89"/>
      <c r="W563" s="90" t="s">
        <v>879</v>
      </c>
      <c r="X563" s="81"/>
      <c r="Y563" s="81"/>
      <c r="Z563" s="81"/>
      <c r="AA563" s="81"/>
      <c r="AB563" s="81"/>
      <c r="AC563" s="81"/>
      <c r="AD563" s="81"/>
      <c r="AE563" s="81"/>
    </row>
    <row r="564" spans="1:31" s="1" customFormat="1" ht="15.75">
      <c r="A564" s="171">
        <v>563</v>
      </c>
      <c r="B564" s="172">
        <v>110</v>
      </c>
      <c r="C564" s="175" t="s">
        <v>178</v>
      </c>
      <c r="D564" s="175" t="s">
        <v>1699</v>
      </c>
      <c r="E564" s="189" t="s">
        <v>1936</v>
      </c>
      <c r="F564" s="189"/>
      <c r="G564" s="189"/>
      <c r="H564" s="175">
        <v>200</v>
      </c>
      <c r="I564" s="175" t="s">
        <v>1412</v>
      </c>
      <c r="J564" s="176">
        <v>8</v>
      </c>
      <c r="K564" s="173"/>
      <c r="L564" s="173"/>
      <c r="M564" s="173"/>
      <c r="N564" s="173"/>
      <c r="O564" s="177">
        <v>12800000</v>
      </c>
      <c r="P564" s="177">
        <v>59967758</v>
      </c>
      <c r="Q564" s="177">
        <v>3648120</v>
      </c>
      <c r="R564" s="178">
        <f t="shared" si="11"/>
        <v>76415878</v>
      </c>
      <c r="S564" s="145"/>
      <c r="T564" s="146" t="s">
        <v>1937</v>
      </c>
      <c r="U564" s="190"/>
      <c r="V564" s="89"/>
      <c r="W564" s="90"/>
      <c r="X564" s="81"/>
      <c r="Y564" s="81"/>
      <c r="Z564" s="81"/>
      <c r="AA564" s="81"/>
      <c r="AB564" s="81"/>
      <c r="AC564" s="81"/>
      <c r="AD564" s="81"/>
      <c r="AE564" s="81"/>
    </row>
    <row r="565" spans="1:31" s="1" customFormat="1" ht="15.75">
      <c r="A565" s="171">
        <v>564</v>
      </c>
      <c r="B565" s="172">
        <v>110</v>
      </c>
      <c r="C565" s="175" t="s">
        <v>178</v>
      </c>
      <c r="D565" s="175" t="s">
        <v>1632</v>
      </c>
      <c r="E565" s="189" t="s">
        <v>1938</v>
      </c>
      <c r="F565" s="189"/>
      <c r="G565" s="189"/>
      <c r="H565" s="175">
        <v>125</v>
      </c>
      <c r="I565" s="175">
        <v>0</v>
      </c>
      <c r="J565" s="176">
        <v>8</v>
      </c>
      <c r="K565" s="173"/>
      <c r="L565" s="173"/>
      <c r="M565" s="173"/>
      <c r="N565" s="173"/>
      <c r="O565" s="177">
        <v>8000000</v>
      </c>
      <c r="P565" s="177">
        <v>64725913</v>
      </c>
      <c r="Q565" s="177"/>
      <c r="R565" s="178">
        <f t="shared" si="11"/>
        <v>72725913</v>
      </c>
      <c r="S565" s="145"/>
      <c r="T565" s="146" t="s">
        <v>1939</v>
      </c>
      <c r="U565" s="190"/>
      <c r="V565" s="89"/>
      <c r="W565" s="90" t="s">
        <v>1940</v>
      </c>
      <c r="X565" s="81"/>
      <c r="Y565" s="81"/>
      <c r="Z565" s="81"/>
      <c r="AA565" s="81"/>
      <c r="AB565" s="81"/>
      <c r="AC565" s="81"/>
      <c r="AD565" s="81"/>
      <c r="AE565" s="81"/>
    </row>
    <row r="566" spans="1:31" s="1" customFormat="1" ht="15.75">
      <c r="A566" s="171">
        <v>565</v>
      </c>
      <c r="B566" s="172">
        <v>110</v>
      </c>
      <c r="C566" s="175" t="s">
        <v>178</v>
      </c>
      <c r="D566" s="175" t="s">
        <v>1894</v>
      </c>
      <c r="E566" s="189" t="s">
        <v>1941</v>
      </c>
      <c r="F566" s="189"/>
      <c r="G566" s="189"/>
      <c r="H566" s="175">
        <v>583</v>
      </c>
      <c r="I566" s="175" t="s">
        <v>1469</v>
      </c>
      <c r="J566" s="176">
        <v>12</v>
      </c>
      <c r="K566" s="173"/>
      <c r="L566" s="173"/>
      <c r="M566" s="173"/>
      <c r="N566" s="173"/>
      <c r="O566" s="177">
        <v>55968000</v>
      </c>
      <c r="P566" s="177">
        <v>70285744</v>
      </c>
      <c r="Q566" s="177">
        <v>23318935</v>
      </c>
      <c r="R566" s="178">
        <f t="shared" si="11"/>
        <v>149572679</v>
      </c>
      <c r="S566" s="145"/>
      <c r="T566" s="146" t="s">
        <v>1942</v>
      </c>
      <c r="U566" s="190"/>
      <c r="V566" s="89"/>
      <c r="W566" s="90" t="s">
        <v>1943</v>
      </c>
      <c r="X566" s="81"/>
      <c r="Y566" s="81"/>
      <c r="Z566" s="81"/>
      <c r="AA566" s="81"/>
      <c r="AB566" s="81"/>
      <c r="AC566" s="81"/>
      <c r="AD566" s="81"/>
      <c r="AE566" s="81"/>
    </row>
    <row r="567" spans="1:31" s="1" customFormat="1" ht="15.75">
      <c r="A567" s="171">
        <v>566</v>
      </c>
      <c r="B567" s="172">
        <v>110</v>
      </c>
      <c r="C567" s="175" t="s">
        <v>178</v>
      </c>
      <c r="D567" s="175" t="s">
        <v>1598</v>
      </c>
      <c r="E567" s="189" t="s">
        <v>1944</v>
      </c>
      <c r="F567" s="189"/>
      <c r="G567" s="189"/>
      <c r="H567" s="175">
        <v>143</v>
      </c>
      <c r="I567" s="175">
        <v>0</v>
      </c>
      <c r="J567" s="176">
        <v>8</v>
      </c>
      <c r="K567" s="173"/>
      <c r="L567" s="173"/>
      <c r="M567" s="173"/>
      <c r="N567" s="173"/>
      <c r="O567" s="177">
        <v>7136000</v>
      </c>
      <c r="P567" s="177">
        <v>71554248</v>
      </c>
      <c r="Q567" s="177"/>
      <c r="R567" s="178">
        <f t="shared" si="11"/>
        <v>78690248</v>
      </c>
      <c r="S567" s="145"/>
      <c r="T567" s="146" t="s">
        <v>1935</v>
      </c>
      <c r="U567" s="190"/>
      <c r="V567" s="89"/>
      <c r="W567" s="90" t="s">
        <v>143</v>
      </c>
      <c r="X567" s="81"/>
      <c r="Y567" s="81"/>
      <c r="Z567" s="81"/>
      <c r="AA567" s="81"/>
      <c r="AB567" s="81"/>
      <c r="AC567" s="81"/>
      <c r="AD567" s="81"/>
      <c r="AE567" s="81"/>
    </row>
    <row r="568" spans="1:31" s="1" customFormat="1" ht="15.75">
      <c r="A568" s="171">
        <v>567</v>
      </c>
      <c r="B568" s="172">
        <v>110</v>
      </c>
      <c r="C568" s="175" t="s">
        <v>178</v>
      </c>
      <c r="D568" s="175" t="s">
        <v>1565</v>
      </c>
      <c r="E568" s="189" t="s">
        <v>1945</v>
      </c>
      <c r="F568" s="189"/>
      <c r="G568" s="189"/>
      <c r="H568" s="175">
        <v>150</v>
      </c>
      <c r="I568" s="175">
        <v>0</v>
      </c>
      <c r="J568" s="176">
        <v>15</v>
      </c>
      <c r="K568" s="173"/>
      <c r="L568" s="173"/>
      <c r="M568" s="173"/>
      <c r="N568" s="173"/>
      <c r="O568" s="177">
        <v>18000000</v>
      </c>
      <c r="P568" s="177">
        <v>76673065</v>
      </c>
      <c r="Q568" s="177"/>
      <c r="R568" s="178">
        <f t="shared" si="11"/>
        <v>94673065</v>
      </c>
      <c r="S568" s="145"/>
      <c r="T568" s="146" t="s">
        <v>1946</v>
      </c>
      <c r="U568" s="190"/>
      <c r="V568" s="89"/>
      <c r="W568" s="90" t="s">
        <v>1713</v>
      </c>
      <c r="X568" s="81"/>
      <c r="Y568" s="81"/>
      <c r="Z568" s="81"/>
      <c r="AA568" s="81"/>
      <c r="AB568" s="81"/>
      <c r="AC568" s="81"/>
      <c r="AD568" s="81"/>
      <c r="AE568" s="81"/>
    </row>
    <row r="569" spans="1:31" s="1" customFormat="1" ht="15.75">
      <c r="A569" s="171">
        <v>568</v>
      </c>
      <c r="B569" s="172">
        <v>110</v>
      </c>
      <c r="C569" s="175" t="s">
        <v>178</v>
      </c>
      <c r="D569" s="175" t="s">
        <v>1576</v>
      </c>
      <c r="E569" s="189" t="s">
        <v>1947</v>
      </c>
      <c r="F569" s="189"/>
      <c r="G569" s="189"/>
      <c r="H569" s="175">
        <v>275</v>
      </c>
      <c r="I569" s="175" t="s">
        <v>630</v>
      </c>
      <c r="J569" s="176">
        <v>15</v>
      </c>
      <c r="K569" s="173"/>
      <c r="L569" s="173"/>
      <c r="M569" s="173"/>
      <c r="N569" s="173"/>
      <c r="O569" s="177">
        <v>33000000</v>
      </c>
      <c r="P569" s="177">
        <v>131962181</v>
      </c>
      <c r="Q569" s="177"/>
      <c r="R569" s="178"/>
      <c r="S569" s="145"/>
      <c r="T569" s="146" t="s">
        <v>1888</v>
      </c>
      <c r="U569" s="190"/>
      <c r="V569" s="89"/>
      <c r="W569" s="90" t="s">
        <v>1235</v>
      </c>
      <c r="X569" s="81"/>
      <c r="Y569" s="81"/>
      <c r="Z569" s="81"/>
      <c r="AA569" s="81"/>
      <c r="AB569" s="81"/>
      <c r="AC569" s="81"/>
      <c r="AD569" s="81"/>
      <c r="AE569" s="81"/>
    </row>
    <row r="570" spans="1:31" s="1" customFormat="1" ht="15.75">
      <c r="A570" s="171">
        <v>569</v>
      </c>
      <c r="B570" s="172">
        <v>110</v>
      </c>
      <c r="C570" s="175" t="s">
        <v>178</v>
      </c>
      <c r="D570" s="175" t="s">
        <v>1576</v>
      </c>
      <c r="E570" s="189" t="s">
        <v>1948</v>
      </c>
      <c r="F570" s="189"/>
      <c r="G570" s="189"/>
      <c r="H570" s="175">
        <v>336</v>
      </c>
      <c r="I570" s="175">
        <v>0</v>
      </c>
      <c r="J570" s="176">
        <v>8</v>
      </c>
      <c r="K570" s="173"/>
      <c r="L570" s="173"/>
      <c r="M570" s="173"/>
      <c r="N570" s="173"/>
      <c r="O570" s="177">
        <v>21504000</v>
      </c>
      <c r="P570" s="177">
        <v>151346964</v>
      </c>
      <c r="Q570" s="177"/>
      <c r="R570" s="178"/>
      <c r="S570" s="145"/>
      <c r="T570" s="146" t="s">
        <v>1949</v>
      </c>
      <c r="U570" s="190"/>
      <c r="V570" s="89"/>
      <c r="W570" s="90" t="s">
        <v>1741</v>
      </c>
      <c r="X570" s="81"/>
      <c r="Y570" s="81"/>
      <c r="Z570" s="81"/>
      <c r="AA570" s="81"/>
      <c r="AB570" s="81"/>
      <c r="AC570" s="81"/>
      <c r="AD570" s="81"/>
      <c r="AE570" s="81"/>
    </row>
    <row r="571" spans="1:31" s="1" customFormat="1" ht="15.75">
      <c r="A571" s="171">
        <v>570</v>
      </c>
      <c r="B571" s="172">
        <v>110</v>
      </c>
      <c r="C571" s="175" t="s">
        <v>178</v>
      </c>
      <c r="D571" s="175" t="s">
        <v>1565</v>
      </c>
      <c r="E571" s="189" t="s">
        <v>1950</v>
      </c>
      <c r="F571" s="189"/>
      <c r="G571" s="189"/>
      <c r="H571" s="175">
        <v>523</v>
      </c>
      <c r="I571" s="175">
        <v>6</v>
      </c>
      <c r="J571" s="176">
        <v>15</v>
      </c>
      <c r="K571" s="173"/>
      <c r="L571" s="173"/>
      <c r="M571" s="173"/>
      <c r="N571" s="173"/>
      <c r="O571" s="177">
        <v>62760000</v>
      </c>
      <c r="P571" s="177">
        <v>212341434</v>
      </c>
      <c r="Q571" s="177"/>
      <c r="R571" s="178"/>
      <c r="S571" s="145"/>
      <c r="T571" s="146" t="s">
        <v>1864</v>
      </c>
      <c r="U571" s="190"/>
      <c r="V571" s="89"/>
      <c r="W571" s="90" t="s">
        <v>1471</v>
      </c>
      <c r="X571" s="81"/>
      <c r="Y571" s="81"/>
      <c r="Z571" s="81"/>
      <c r="AA571" s="81"/>
      <c r="AB571" s="81"/>
      <c r="AC571" s="81"/>
      <c r="AD571" s="81"/>
      <c r="AE571" s="81"/>
    </row>
    <row r="572" spans="1:31" s="1" customFormat="1" ht="15.75">
      <c r="A572" s="171">
        <v>571</v>
      </c>
      <c r="B572" s="172">
        <v>110</v>
      </c>
      <c r="C572" s="175" t="s">
        <v>178</v>
      </c>
      <c r="D572" s="175" t="s">
        <v>1576</v>
      </c>
      <c r="E572" s="189" t="s">
        <v>1951</v>
      </c>
      <c r="F572" s="189"/>
      <c r="G572" s="189"/>
      <c r="H572" s="175">
        <v>280</v>
      </c>
      <c r="I572" s="175">
        <v>0</v>
      </c>
      <c r="J572" s="176">
        <v>12</v>
      </c>
      <c r="K572" s="173"/>
      <c r="L572" s="173"/>
      <c r="M572" s="173"/>
      <c r="N572" s="173"/>
      <c r="O572" s="177">
        <v>26880000</v>
      </c>
      <c r="P572" s="177">
        <v>102526648</v>
      </c>
      <c r="Q572" s="177">
        <v>3000000</v>
      </c>
      <c r="R572" s="178"/>
      <c r="S572" s="145"/>
      <c r="T572" s="146"/>
      <c r="U572" s="190"/>
      <c r="V572" s="89"/>
      <c r="W572" s="90"/>
      <c r="X572" s="81"/>
      <c r="Y572" s="81"/>
      <c r="Z572" s="81"/>
      <c r="AA572" s="81"/>
      <c r="AB572" s="81"/>
      <c r="AC572" s="81"/>
      <c r="AD572" s="81"/>
      <c r="AE572" s="81"/>
    </row>
    <row r="573" spans="1:31" s="1" customFormat="1" ht="15.75">
      <c r="A573" s="171">
        <v>572</v>
      </c>
      <c r="B573" s="172">
        <v>110</v>
      </c>
      <c r="C573" s="175" t="s">
        <v>1952</v>
      </c>
      <c r="D573" s="175" t="s">
        <v>1590</v>
      </c>
      <c r="E573" s="189" t="s">
        <v>1953</v>
      </c>
      <c r="F573" s="189"/>
      <c r="G573" s="189"/>
      <c r="H573" s="175"/>
      <c r="I573" s="175"/>
      <c r="J573" s="176"/>
      <c r="K573" s="173"/>
      <c r="L573" s="173"/>
      <c r="M573" s="173"/>
      <c r="N573" s="173"/>
      <c r="O573" s="177"/>
      <c r="P573" s="177"/>
      <c r="Q573" s="177"/>
      <c r="R573" s="178"/>
      <c r="S573" s="145"/>
      <c r="T573" s="146" t="s">
        <v>1954</v>
      </c>
      <c r="U573" s="190"/>
      <c r="V573" s="89"/>
      <c r="W573" s="90" t="s">
        <v>668</v>
      </c>
      <c r="X573" s="81"/>
      <c r="Y573" s="81"/>
      <c r="Z573" s="81"/>
      <c r="AA573" s="81"/>
      <c r="AB573" s="81"/>
      <c r="AC573" s="81"/>
      <c r="AD573" s="81"/>
      <c r="AE573" s="81"/>
    </row>
    <row r="574" spans="1:31" s="1" customFormat="1" ht="40.5">
      <c r="A574" s="206">
        <v>573</v>
      </c>
      <c r="B574" s="207">
        <v>111</v>
      </c>
      <c r="C574" s="208" t="s">
        <v>39</v>
      </c>
      <c r="D574" s="208" t="s">
        <v>1558</v>
      </c>
      <c r="E574" s="209" t="s">
        <v>1955</v>
      </c>
      <c r="F574" s="209" t="s">
        <v>1956</v>
      </c>
      <c r="G574" s="209" t="s">
        <v>1957</v>
      </c>
      <c r="H574" s="208">
        <v>45</v>
      </c>
      <c r="I574" s="208">
        <v>0</v>
      </c>
      <c r="J574" s="210">
        <v>8</v>
      </c>
      <c r="K574" s="211">
        <v>4</v>
      </c>
      <c r="L574" s="211">
        <v>1</v>
      </c>
      <c r="M574" s="211">
        <v>0</v>
      </c>
      <c r="N574" s="211">
        <v>0</v>
      </c>
      <c r="O574" s="212">
        <v>2880000</v>
      </c>
      <c r="P574" s="212">
        <v>1224739</v>
      </c>
      <c r="Q574" s="212">
        <v>0</v>
      </c>
      <c r="R574" s="213">
        <f>O574+P574+Q574</f>
        <v>4104739</v>
      </c>
      <c r="S574" s="214" t="s">
        <v>1958</v>
      </c>
      <c r="T574" s="215" t="s">
        <v>1959</v>
      </c>
      <c r="U574" s="216" t="s">
        <v>1564</v>
      </c>
      <c r="V574" s="89"/>
      <c r="W574" s="90" t="s">
        <v>1671</v>
      </c>
      <c r="X574" s="81"/>
      <c r="Y574" s="81"/>
      <c r="Z574" s="81"/>
      <c r="AA574" s="81"/>
      <c r="AB574" s="81"/>
      <c r="AC574" s="81"/>
      <c r="AD574" s="81"/>
      <c r="AE574" s="81"/>
    </row>
    <row r="575" spans="1:31" s="1" customFormat="1" ht="40.5">
      <c r="A575" s="206">
        <v>574</v>
      </c>
      <c r="B575" s="207">
        <v>111</v>
      </c>
      <c r="C575" s="208" t="s">
        <v>39</v>
      </c>
      <c r="D575" s="208" t="s">
        <v>1558</v>
      </c>
      <c r="E575" s="209" t="s">
        <v>1960</v>
      </c>
      <c r="F575" s="209" t="s">
        <v>514</v>
      </c>
      <c r="G575" s="209" t="s">
        <v>1961</v>
      </c>
      <c r="H575" s="208">
        <v>60</v>
      </c>
      <c r="I575" s="208">
        <v>8</v>
      </c>
      <c r="J575" s="210">
        <v>10</v>
      </c>
      <c r="K575" s="211">
        <v>1</v>
      </c>
      <c r="L575" s="211">
        <v>3</v>
      </c>
      <c r="M575" s="211">
        <v>0</v>
      </c>
      <c r="N575" s="211">
        <v>1</v>
      </c>
      <c r="O575" s="212">
        <v>4800000</v>
      </c>
      <c r="P575" s="212">
        <v>2900000</v>
      </c>
      <c r="Q575" s="212">
        <v>1000000</v>
      </c>
      <c r="R575" s="213">
        <f>O575+P575+Q575</f>
        <v>8700000</v>
      </c>
      <c r="S575" s="214" t="s">
        <v>1962</v>
      </c>
      <c r="T575" s="215" t="s">
        <v>1963</v>
      </c>
      <c r="U575" s="216"/>
      <c r="V575" s="89"/>
      <c r="W575" s="90" t="s">
        <v>1964</v>
      </c>
      <c r="X575" s="81"/>
      <c r="Y575" s="81"/>
      <c r="Z575" s="81"/>
      <c r="AA575" s="81"/>
      <c r="AB575" s="81"/>
      <c r="AC575" s="81"/>
      <c r="AD575" s="81"/>
      <c r="AE575" s="81"/>
    </row>
    <row r="576" spans="1:31" s="1" customFormat="1" ht="54">
      <c r="A576" s="206">
        <v>575</v>
      </c>
      <c r="B576" s="207">
        <v>111</v>
      </c>
      <c r="C576" s="208" t="s">
        <v>39</v>
      </c>
      <c r="D576" s="208" t="s">
        <v>1576</v>
      </c>
      <c r="E576" s="209" t="s">
        <v>1965</v>
      </c>
      <c r="F576" s="209" t="s">
        <v>1966</v>
      </c>
      <c r="G576" s="209" t="s">
        <v>1967</v>
      </c>
      <c r="H576" s="208">
        <v>23</v>
      </c>
      <c r="I576" s="208">
        <v>6</v>
      </c>
      <c r="J576" s="210">
        <v>10</v>
      </c>
      <c r="K576" s="211">
        <v>3</v>
      </c>
      <c r="L576" s="211">
        <v>3</v>
      </c>
      <c r="M576" s="211">
        <v>0</v>
      </c>
      <c r="N576" s="211">
        <v>1</v>
      </c>
      <c r="O576" s="212">
        <v>1840000</v>
      </c>
      <c r="P576" s="212">
        <v>4071156</v>
      </c>
      <c r="Q576" s="212">
        <v>0</v>
      </c>
      <c r="R576" s="213">
        <f>O576+P576+Q576</f>
        <v>5911156</v>
      </c>
      <c r="S576" s="214" t="s">
        <v>1968</v>
      </c>
      <c r="T576" s="215" t="s">
        <v>1969</v>
      </c>
      <c r="U576" s="216"/>
      <c r="V576" s="89"/>
      <c r="W576" s="90" t="s">
        <v>1028</v>
      </c>
      <c r="X576" s="81"/>
      <c r="Y576" s="81"/>
      <c r="Z576" s="81"/>
      <c r="AA576" s="81"/>
      <c r="AB576" s="81"/>
      <c r="AC576" s="81"/>
      <c r="AD576" s="81"/>
      <c r="AE576" s="81"/>
    </row>
    <row r="577" spans="1:31" s="1" customFormat="1" ht="81">
      <c r="A577" s="206">
        <v>576</v>
      </c>
      <c r="B577" s="207">
        <v>111</v>
      </c>
      <c r="C577" s="208" t="s">
        <v>39</v>
      </c>
      <c r="D577" s="208" t="s">
        <v>1576</v>
      </c>
      <c r="E577" s="209" t="s">
        <v>1970</v>
      </c>
      <c r="F577" s="209" t="s">
        <v>392</v>
      </c>
      <c r="G577" s="209" t="s">
        <v>1971</v>
      </c>
      <c r="H577" s="208">
        <v>200</v>
      </c>
      <c r="I577" s="208">
        <v>6</v>
      </c>
      <c r="J577" s="210">
        <v>8</v>
      </c>
      <c r="K577" s="211">
        <v>5</v>
      </c>
      <c r="L577" s="211">
        <v>1</v>
      </c>
      <c r="M577" s="211">
        <v>0</v>
      </c>
      <c r="N577" s="211">
        <v>0</v>
      </c>
      <c r="O577" s="217">
        <v>15000000</v>
      </c>
      <c r="P577" s="217">
        <v>30813000</v>
      </c>
      <c r="Q577" s="217">
        <v>0</v>
      </c>
      <c r="R577" s="218">
        <v>45813000</v>
      </c>
      <c r="S577" s="214" t="s">
        <v>1958</v>
      </c>
      <c r="T577" s="215" t="s">
        <v>1972</v>
      </c>
      <c r="U577" s="216" t="s">
        <v>1973</v>
      </c>
      <c r="V577" s="89"/>
      <c r="W577" s="90" t="s">
        <v>1581</v>
      </c>
      <c r="X577" s="81"/>
      <c r="Y577" s="81"/>
      <c r="Z577" s="81"/>
      <c r="AA577" s="81"/>
      <c r="AB577" s="81"/>
      <c r="AC577" s="81"/>
      <c r="AD577" s="81"/>
      <c r="AE577" s="81"/>
    </row>
    <row r="578" spans="1:31" s="1" customFormat="1" ht="67.5">
      <c r="A578" s="206">
        <v>577</v>
      </c>
      <c r="B578" s="207">
        <v>111</v>
      </c>
      <c r="C578" s="208" t="s">
        <v>39</v>
      </c>
      <c r="D578" s="208" t="s">
        <v>1576</v>
      </c>
      <c r="E578" s="209" t="s">
        <v>1878</v>
      </c>
      <c r="F578" s="209" t="s">
        <v>1974</v>
      </c>
      <c r="G578" s="209" t="s">
        <v>1975</v>
      </c>
      <c r="H578" s="208">
        <v>150</v>
      </c>
      <c r="I578" s="208" t="s">
        <v>404</v>
      </c>
      <c r="J578" s="210">
        <v>15</v>
      </c>
      <c r="K578" s="211">
        <v>3</v>
      </c>
      <c r="L578" s="211">
        <v>3</v>
      </c>
      <c r="M578" s="211">
        <v>0</v>
      </c>
      <c r="N578" s="211">
        <v>0</v>
      </c>
      <c r="O578" s="212">
        <v>18000000</v>
      </c>
      <c r="P578" s="212">
        <v>16554380</v>
      </c>
      <c r="Q578" s="212"/>
      <c r="R578" s="213">
        <f t="shared" ref="R578:R593" si="12">O578+P578+Q578</f>
        <v>34554380</v>
      </c>
      <c r="S578" s="214" t="s">
        <v>1958</v>
      </c>
      <c r="T578" s="215" t="s">
        <v>1976</v>
      </c>
      <c r="U578" s="216"/>
      <c r="V578" s="89"/>
      <c r="W578" s="90" t="s">
        <v>1977</v>
      </c>
      <c r="X578" s="81"/>
      <c r="Y578" s="81"/>
      <c r="Z578" s="81"/>
      <c r="AA578" s="81"/>
      <c r="AB578" s="81"/>
      <c r="AC578" s="81"/>
      <c r="AD578" s="81"/>
      <c r="AE578" s="81"/>
    </row>
    <row r="579" spans="1:31" s="1" customFormat="1" ht="54">
      <c r="A579" s="206">
        <v>578</v>
      </c>
      <c r="B579" s="207">
        <v>111</v>
      </c>
      <c r="C579" s="208" t="s">
        <v>39</v>
      </c>
      <c r="D579" s="208" t="s">
        <v>1576</v>
      </c>
      <c r="E579" s="209" t="s">
        <v>1978</v>
      </c>
      <c r="F579" s="209" t="s">
        <v>1979</v>
      </c>
      <c r="G579" s="209" t="s">
        <v>1980</v>
      </c>
      <c r="H579" s="208">
        <v>40</v>
      </c>
      <c r="I579" s="208">
        <v>0</v>
      </c>
      <c r="J579" s="210">
        <v>6</v>
      </c>
      <c r="K579" s="211">
        <v>2</v>
      </c>
      <c r="L579" s="211">
        <v>2</v>
      </c>
      <c r="M579" s="211">
        <v>0</v>
      </c>
      <c r="N579" s="211">
        <v>0</v>
      </c>
      <c r="O579" s="212">
        <v>1920000</v>
      </c>
      <c r="P579" s="212">
        <v>1188000</v>
      </c>
      <c r="Q579" s="212"/>
      <c r="R579" s="213">
        <f t="shared" si="12"/>
        <v>3108000</v>
      </c>
      <c r="S579" s="214" t="s">
        <v>1962</v>
      </c>
      <c r="T579" s="215" t="s">
        <v>1981</v>
      </c>
      <c r="U579" s="216"/>
      <c r="V579" s="89"/>
      <c r="W579" s="90" t="s">
        <v>1860</v>
      </c>
      <c r="X579" s="81"/>
      <c r="Y579" s="81"/>
      <c r="Z579" s="81"/>
      <c r="AA579" s="81"/>
      <c r="AB579" s="81"/>
      <c r="AC579" s="81"/>
      <c r="AD579" s="81"/>
      <c r="AE579" s="81"/>
    </row>
    <row r="580" spans="1:31" s="1" customFormat="1" ht="40.5">
      <c r="A580" s="206">
        <v>579</v>
      </c>
      <c r="B580" s="207">
        <v>111</v>
      </c>
      <c r="C580" s="208" t="s">
        <v>39</v>
      </c>
      <c r="D580" s="208" t="s">
        <v>1576</v>
      </c>
      <c r="E580" s="209" t="s">
        <v>1982</v>
      </c>
      <c r="F580" s="209" t="s">
        <v>646</v>
      </c>
      <c r="G580" s="209" t="s">
        <v>1983</v>
      </c>
      <c r="H580" s="208">
        <v>135</v>
      </c>
      <c r="I580" s="208">
        <v>4</v>
      </c>
      <c r="J580" s="210">
        <v>8</v>
      </c>
      <c r="K580" s="211">
        <v>4</v>
      </c>
      <c r="L580" s="211">
        <v>2</v>
      </c>
      <c r="M580" s="211">
        <v>0</v>
      </c>
      <c r="N580" s="211">
        <v>0</v>
      </c>
      <c r="O580" s="212">
        <v>8640000</v>
      </c>
      <c r="P580" s="212">
        <v>4091635</v>
      </c>
      <c r="Q580" s="212">
        <v>0</v>
      </c>
      <c r="R580" s="213">
        <f t="shared" si="12"/>
        <v>12731635</v>
      </c>
      <c r="S580" s="214" t="s">
        <v>1968</v>
      </c>
      <c r="T580" s="215" t="s">
        <v>1984</v>
      </c>
      <c r="U580" s="216"/>
      <c r="V580" s="89"/>
      <c r="W580" s="90" t="s">
        <v>1985</v>
      </c>
      <c r="X580" s="81"/>
      <c r="Y580" s="81"/>
      <c r="Z580" s="81"/>
      <c r="AA580" s="81"/>
      <c r="AB580" s="81"/>
      <c r="AC580" s="81"/>
      <c r="AD580" s="81"/>
      <c r="AE580" s="81"/>
    </row>
    <row r="581" spans="1:31" s="1" customFormat="1" ht="54">
      <c r="A581" s="206">
        <v>580</v>
      </c>
      <c r="B581" s="207">
        <v>111</v>
      </c>
      <c r="C581" s="208" t="s">
        <v>39</v>
      </c>
      <c r="D581" s="208" t="s">
        <v>1576</v>
      </c>
      <c r="E581" s="209" t="s">
        <v>1986</v>
      </c>
      <c r="F581" s="209" t="s">
        <v>1987</v>
      </c>
      <c r="G581" s="209" t="s">
        <v>1988</v>
      </c>
      <c r="H581" s="208">
        <v>270</v>
      </c>
      <c r="I581" s="208">
        <v>4</v>
      </c>
      <c r="J581" s="210" t="s">
        <v>630</v>
      </c>
      <c r="K581" s="211">
        <v>16</v>
      </c>
      <c r="L581" s="211">
        <v>10</v>
      </c>
      <c r="M581" s="211"/>
      <c r="N581" s="211"/>
      <c r="O581" s="212">
        <v>21600000</v>
      </c>
      <c r="P581" s="212">
        <v>5520944</v>
      </c>
      <c r="Q581" s="212">
        <v>11358581</v>
      </c>
      <c r="R581" s="213">
        <f t="shared" si="12"/>
        <v>38479525</v>
      </c>
      <c r="S581" s="214" t="s">
        <v>1968</v>
      </c>
      <c r="T581" s="215" t="s">
        <v>1989</v>
      </c>
      <c r="U581" s="216"/>
      <c r="V581" s="89"/>
      <c r="W581" s="90" t="s">
        <v>1581</v>
      </c>
      <c r="X581" s="81"/>
      <c r="Y581" s="81"/>
      <c r="Z581" s="81"/>
      <c r="AA581" s="81"/>
      <c r="AB581" s="81"/>
      <c r="AC581" s="81"/>
      <c r="AD581" s="81"/>
      <c r="AE581" s="81"/>
    </row>
    <row r="582" spans="1:31" s="1" customFormat="1" ht="40.5">
      <c r="A582" s="206">
        <v>581</v>
      </c>
      <c r="B582" s="207">
        <v>111</v>
      </c>
      <c r="C582" s="208" t="s">
        <v>39</v>
      </c>
      <c r="D582" s="208" t="s">
        <v>1565</v>
      </c>
      <c r="E582" s="209" t="s">
        <v>1990</v>
      </c>
      <c r="F582" s="209" t="s">
        <v>1991</v>
      </c>
      <c r="G582" s="209" t="s">
        <v>1992</v>
      </c>
      <c r="H582" s="208">
        <v>41</v>
      </c>
      <c r="I582" s="208">
        <v>0</v>
      </c>
      <c r="J582" s="210">
        <v>8</v>
      </c>
      <c r="K582" s="211">
        <v>0</v>
      </c>
      <c r="L582" s="211">
        <v>1</v>
      </c>
      <c r="M582" s="211">
        <v>0</v>
      </c>
      <c r="N582" s="211">
        <v>0</v>
      </c>
      <c r="O582" s="212">
        <v>800000</v>
      </c>
      <c r="P582" s="212">
        <v>7615744</v>
      </c>
      <c r="Q582" s="212">
        <v>0</v>
      </c>
      <c r="R582" s="213">
        <f t="shared" si="12"/>
        <v>8415744</v>
      </c>
      <c r="S582" s="214" t="s">
        <v>1958</v>
      </c>
      <c r="T582" s="215" t="s">
        <v>1993</v>
      </c>
      <c r="U582" s="216" t="s">
        <v>1994</v>
      </c>
      <c r="V582" s="89"/>
      <c r="W582" s="90" t="s">
        <v>1250</v>
      </c>
      <c r="X582" s="81"/>
      <c r="Y582" s="81"/>
      <c r="Z582" s="81"/>
      <c r="AA582" s="81"/>
      <c r="AB582" s="81"/>
      <c r="AC582" s="81"/>
      <c r="AD582" s="81"/>
      <c r="AE582" s="81"/>
    </row>
    <row r="583" spans="1:31" s="1" customFormat="1" ht="54">
      <c r="A583" s="206">
        <v>582</v>
      </c>
      <c r="B583" s="207">
        <v>111</v>
      </c>
      <c r="C583" s="208" t="s">
        <v>39</v>
      </c>
      <c r="D583" s="208" t="s">
        <v>1565</v>
      </c>
      <c r="E583" s="209" t="s">
        <v>1995</v>
      </c>
      <c r="F583" s="209" t="s">
        <v>1996</v>
      </c>
      <c r="G583" s="209" t="s">
        <v>259</v>
      </c>
      <c r="H583" s="208">
        <v>85</v>
      </c>
      <c r="I583" s="208">
        <v>0</v>
      </c>
      <c r="J583" s="210">
        <v>15</v>
      </c>
      <c r="K583" s="211">
        <v>0</v>
      </c>
      <c r="L583" s="211">
        <v>9</v>
      </c>
      <c r="M583" s="211">
        <v>1</v>
      </c>
      <c r="N583" s="211">
        <v>3</v>
      </c>
      <c r="O583" s="212">
        <v>10771760</v>
      </c>
      <c r="P583" s="212">
        <v>47164724</v>
      </c>
      <c r="Q583" s="212">
        <v>2538096</v>
      </c>
      <c r="R583" s="213">
        <f t="shared" si="12"/>
        <v>60474580</v>
      </c>
      <c r="S583" s="214" t="s">
        <v>1968</v>
      </c>
      <c r="T583" s="215" t="s">
        <v>1997</v>
      </c>
      <c r="U583" s="216"/>
      <c r="V583" s="89"/>
      <c r="W583" s="90" t="s">
        <v>1471</v>
      </c>
      <c r="X583" s="81"/>
      <c r="Y583" s="81"/>
      <c r="Z583" s="81"/>
      <c r="AA583" s="81"/>
      <c r="AB583" s="81"/>
      <c r="AC583" s="81"/>
      <c r="AD583" s="81"/>
      <c r="AE583" s="81"/>
    </row>
    <row r="584" spans="1:31" s="1" customFormat="1" ht="40.5">
      <c r="A584" s="206">
        <v>583</v>
      </c>
      <c r="B584" s="207">
        <v>111</v>
      </c>
      <c r="C584" s="208" t="s">
        <v>39</v>
      </c>
      <c r="D584" s="208" t="s">
        <v>1632</v>
      </c>
      <c r="E584" s="209" t="s">
        <v>1998</v>
      </c>
      <c r="F584" s="209" t="s">
        <v>1999</v>
      </c>
      <c r="G584" s="209" t="s">
        <v>50</v>
      </c>
      <c r="H584" s="208">
        <v>14</v>
      </c>
      <c r="I584" s="208">
        <v>4</v>
      </c>
      <c r="J584" s="210">
        <v>8</v>
      </c>
      <c r="K584" s="211">
        <v>2</v>
      </c>
      <c r="L584" s="211">
        <v>2</v>
      </c>
      <c r="M584" s="211">
        <v>0</v>
      </c>
      <c r="N584" s="211">
        <v>0</v>
      </c>
      <c r="O584" s="212">
        <v>896000</v>
      </c>
      <c r="P584" s="212">
        <v>15025500</v>
      </c>
      <c r="Q584" s="212">
        <v>0</v>
      </c>
      <c r="R584" s="213">
        <f t="shared" si="12"/>
        <v>15921500</v>
      </c>
      <c r="S584" s="214" t="s">
        <v>1968</v>
      </c>
      <c r="T584" s="215" t="s">
        <v>2000</v>
      </c>
      <c r="U584" s="216"/>
      <c r="V584" s="89"/>
      <c r="W584" s="90" t="s">
        <v>2001</v>
      </c>
      <c r="X584" s="81"/>
      <c r="Y584" s="81"/>
      <c r="Z584" s="81"/>
      <c r="AA584" s="81"/>
      <c r="AB584" s="81"/>
      <c r="AC584" s="81"/>
      <c r="AD584" s="81"/>
      <c r="AE584" s="81"/>
    </row>
    <row r="585" spans="1:31" s="1" customFormat="1" ht="54">
      <c r="A585" s="206">
        <v>584</v>
      </c>
      <c r="B585" s="207">
        <v>111</v>
      </c>
      <c r="C585" s="208" t="s">
        <v>39</v>
      </c>
      <c r="D585" s="208" t="s">
        <v>1590</v>
      </c>
      <c r="E585" s="209" t="s">
        <v>2002</v>
      </c>
      <c r="F585" s="209" t="s">
        <v>599</v>
      </c>
      <c r="G585" s="209" t="s">
        <v>2003</v>
      </c>
      <c r="H585" s="208">
        <v>250</v>
      </c>
      <c r="I585" s="208">
        <v>6</v>
      </c>
      <c r="J585" s="210">
        <v>8</v>
      </c>
      <c r="K585" s="211">
        <v>10</v>
      </c>
      <c r="L585" s="211">
        <v>9</v>
      </c>
      <c r="M585" s="211">
        <v>0</v>
      </c>
      <c r="N585" s="211">
        <v>0</v>
      </c>
      <c r="O585" s="212">
        <v>16000000</v>
      </c>
      <c r="P585" s="212">
        <v>3624762</v>
      </c>
      <c r="Q585" s="212">
        <v>0</v>
      </c>
      <c r="R585" s="213">
        <f t="shared" si="12"/>
        <v>19624762</v>
      </c>
      <c r="S585" s="214" t="s">
        <v>1968</v>
      </c>
      <c r="T585" s="215" t="s">
        <v>2004</v>
      </c>
      <c r="U585" s="216"/>
      <c r="V585" s="89"/>
      <c r="W585" s="90" t="s">
        <v>668</v>
      </c>
      <c r="X585" s="81"/>
      <c r="Y585" s="81"/>
      <c r="Z585" s="81"/>
      <c r="AA585" s="81"/>
      <c r="AB585" s="81"/>
      <c r="AC585" s="81"/>
      <c r="AD585" s="81"/>
      <c r="AE585" s="81"/>
    </row>
    <row r="586" spans="1:31" s="1" customFormat="1" ht="27">
      <c r="A586" s="206">
        <v>585</v>
      </c>
      <c r="B586" s="207">
        <v>111</v>
      </c>
      <c r="C586" s="208" t="s">
        <v>39</v>
      </c>
      <c r="D586" s="208" t="s">
        <v>1590</v>
      </c>
      <c r="E586" s="209" t="s">
        <v>2005</v>
      </c>
      <c r="F586" s="209" t="s">
        <v>2006</v>
      </c>
      <c r="G586" s="209" t="s">
        <v>2007</v>
      </c>
      <c r="H586" s="208">
        <v>58</v>
      </c>
      <c r="I586" s="208">
        <v>5</v>
      </c>
      <c r="J586" s="210">
        <v>8</v>
      </c>
      <c r="K586" s="211">
        <v>2</v>
      </c>
      <c r="L586" s="211">
        <v>2</v>
      </c>
      <c r="M586" s="211">
        <v>0</v>
      </c>
      <c r="N586" s="211">
        <v>0</v>
      </c>
      <c r="O586" s="212">
        <v>3712000</v>
      </c>
      <c r="P586" s="212">
        <v>504960</v>
      </c>
      <c r="Q586" s="212">
        <v>0</v>
      </c>
      <c r="R586" s="213">
        <f t="shared" si="12"/>
        <v>4216960</v>
      </c>
      <c r="S586" s="214" t="s">
        <v>1958</v>
      </c>
      <c r="T586" s="215" t="s">
        <v>2008</v>
      </c>
      <c r="U586" s="216" t="s">
        <v>2009</v>
      </c>
      <c r="V586" s="89"/>
      <c r="W586" s="90" t="s">
        <v>1264</v>
      </c>
      <c r="X586" s="81"/>
      <c r="Y586" s="81"/>
      <c r="Z586" s="81"/>
      <c r="AA586" s="81"/>
      <c r="AB586" s="81"/>
      <c r="AC586" s="81"/>
      <c r="AD586" s="81"/>
      <c r="AE586" s="81"/>
    </row>
    <row r="587" spans="1:31" s="1" customFormat="1" ht="27">
      <c r="A587" s="206">
        <v>586</v>
      </c>
      <c r="B587" s="207">
        <v>111</v>
      </c>
      <c r="C587" s="208" t="s">
        <v>39</v>
      </c>
      <c r="D587" s="208" t="s">
        <v>1590</v>
      </c>
      <c r="E587" s="209" t="s">
        <v>2010</v>
      </c>
      <c r="F587" s="209" t="s">
        <v>2011</v>
      </c>
      <c r="G587" s="209" t="s">
        <v>2012</v>
      </c>
      <c r="H587" s="208">
        <v>60</v>
      </c>
      <c r="I587" s="208">
        <v>0</v>
      </c>
      <c r="J587" s="210">
        <v>8</v>
      </c>
      <c r="K587" s="211">
        <v>0</v>
      </c>
      <c r="L587" s="211">
        <v>4</v>
      </c>
      <c r="M587" s="211">
        <v>0</v>
      </c>
      <c r="N587" s="211">
        <v>0</v>
      </c>
      <c r="O587" s="212">
        <v>3840000</v>
      </c>
      <c r="P587" s="212">
        <v>4953600</v>
      </c>
      <c r="Q587" s="212">
        <v>7300000</v>
      </c>
      <c r="R587" s="213">
        <f t="shared" si="12"/>
        <v>16093600</v>
      </c>
      <c r="S587" s="214" t="s">
        <v>1962</v>
      </c>
      <c r="T587" s="215" t="s">
        <v>2013</v>
      </c>
      <c r="U587" s="216"/>
      <c r="V587" s="89"/>
      <c r="W587" s="90"/>
      <c r="X587" s="81"/>
      <c r="Y587" s="81"/>
      <c r="Z587" s="81"/>
      <c r="AA587" s="81"/>
      <c r="AB587" s="81"/>
      <c r="AC587" s="81"/>
      <c r="AD587" s="81"/>
      <c r="AE587" s="81"/>
    </row>
    <row r="588" spans="1:31" s="1" customFormat="1" ht="40.5">
      <c r="A588" s="206">
        <v>587</v>
      </c>
      <c r="B588" s="207">
        <v>111</v>
      </c>
      <c r="C588" s="208" t="s">
        <v>39</v>
      </c>
      <c r="D588" s="208" t="s">
        <v>1571</v>
      </c>
      <c r="E588" s="209" t="s">
        <v>2014</v>
      </c>
      <c r="F588" s="209" t="s">
        <v>1178</v>
      </c>
      <c r="G588" s="209" t="s">
        <v>1179</v>
      </c>
      <c r="H588" s="208">
        <v>135</v>
      </c>
      <c r="I588" s="208" t="s">
        <v>254</v>
      </c>
      <c r="J588" s="210">
        <v>8</v>
      </c>
      <c r="K588" s="211">
        <v>1</v>
      </c>
      <c r="L588" s="211">
        <v>11</v>
      </c>
      <c r="M588" s="211">
        <v>0</v>
      </c>
      <c r="N588" s="211">
        <v>2</v>
      </c>
      <c r="O588" s="212">
        <v>2746800</v>
      </c>
      <c r="P588" s="212">
        <v>2284200</v>
      </c>
      <c r="Q588" s="212">
        <v>800000</v>
      </c>
      <c r="R588" s="213">
        <f t="shared" si="12"/>
        <v>5831000</v>
      </c>
      <c r="S588" s="214" t="s">
        <v>1958</v>
      </c>
      <c r="T588" s="215" t="s">
        <v>2015</v>
      </c>
      <c r="U588" s="216" t="s">
        <v>1181</v>
      </c>
      <c r="V588" s="89"/>
      <c r="W588" s="90" t="s">
        <v>1575</v>
      </c>
      <c r="X588" s="81"/>
      <c r="Y588" s="81"/>
      <c r="Z588" s="81"/>
      <c r="AA588" s="81"/>
      <c r="AB588" s="81"/>
      <c r="AC588" s="81"/>
      <c r="AD588" s="81"/>
      <c r="AE588" s="81"/>
    </row>
    <row r="589" spans="1:31" s="1" customFormat="1" ht="40.5">
      <c r="A589" s="206">
        <v>588</v>
      </c>
      <c r="B589" s="207">
        <v>111</v>
      </c>
      <c r="C589" s="208" t="s">
        <v>39</v>
      </c>
      <c r="D589" s="208" t="s">
        <v>1627</v>
      </c>
      <c r="E589" s="209" t="s">
        <v>2016</v>
      </c>
      <c r="F589" s="209" t="s">
        <v>2017</v>
      </c>
      <c r="G589" s="209" t="s">
        <v>2018</v>
      </c>
      <c r="H589" s="208">
        <v>250</v>
      </c>
      <c r="I589" s="208">
        <v>0</v>
      </c>
      <c r="J589" s="210">
        <v>12</v>
      </c>
      <c r="K589" s="211">
        <v>7</v>
      </c>
      <c r="L589" s="211">
        <v>0</v>
      </c>
      <c r="M589" s="211">
        <v>0</v>
      </c>
      <c r="N589" s="211">
        <v>5</v>
      </c>
      <c r="O589" s="212">
        <v>67618000</v>
      </c>
      <c r="P589" s="212">
        <v>0</v>
      </c>
      <c r="Q589" s="212">
        <v>2143297</v>
      </c>
      <c r="R589" s="213">
        <f t="shared" si="12"/>
        <v>69761297</v>
      </c>
      <c r="S589" s="214" t="s">
        <v>1962</v>
      </c>
      <c r="T589" s="215" t="s">
        <v>2019</v>
      </c>
      <c r="U589" s="216"/>
      <c r="V589" s="89"/>
      <c r="W589" s="90" t="s">
        <v>1899</v>
      </c>
      <c r="X589" s="81"/>
      <c r="Y589" s="81"/>
      <c r="Z589" s="81"/>
      <c r="AA589" s="81"/>
      <c r="AB589" s="81"/>
      <c r="AC589" s="81"/>
      <c r="AD589" s="81"/>
      <c r="AE589" s="81"/>
    </row>
    <row r="590" spans="1:31" s="1" customFormat="1" ht="40.5">
      <c r="A590" s="206">
        <v>589</v>
      </c>
      <c r="B590" s="207">
        <v>111</v>
      </c>
      <c r="C590" s="208" t="s">
        <v>39</v>
      </c>
      <c r="D590" s="208" t="s">
        <v>1699</v>
      </c>
      <c r="E590" s="209" t="s">
        <v>2020</v>
      </c>
      <c r="F590" s="209" t="s">
        <v>2021</v>
      </c>
      <c r="G590" s="209" t="s">
        <v>2022</v>
      </c>
      <c r="H590" s="208">
        <v>30</v>
      </c>
      <c r="I590" s="208">
        <v>5</v>
      </c>
      <c r="J590" s="210">
        <v>8</v>
      </c>
      <c r="K590" s="211">
        <v>0</v>
      </c>
      <c r="L590" s="211">
        <v>4</v>
      </c>
      <c r="M590" s="211">
        <v>0</v>
      </c>
      <c r="N590" s="211">
        <v>1</v>
      </c>
      <c r="O590" s="212">
        <v>960000</v>
      </c>
      <c r="P590" s="212">
        <v>1258400</v>
      </c>
      <c r="Q590" s="212">
        <v>545400</v>
      </c>
      <c r="R590" s="213">
        <f t="shared" si="12"/>
        <v>2763800</v>
      </c>
      <c r="S590" s="214" t="s">
        <v>1958</v>
      </c>
      <c r="T590" s="215" t="s">
        <v>2023</v>
      </c>
      <c r="U590" s="216"/>
      <c r="V590" s="89"/>
      <c r="W590" s="90" t="s">
        <v>1381</v>
      </c>
      <c r="X590" s="81"/>
      <c r="Y590" s="81"/>
      <c r="Z590" s="81"/>
      <c r="AA590" s="81"/>
      <c r="AB590" s="81"/>
      <c r="AC590" s="81"/>
      <c r="AD590" s="81"/>
      <c r="AE590" s="81"/>
    </row>
    <row r="591" spans="1:31" s="1" customFormat="1" ht="54">
      <c r="A591" s="206">
        <v>590</v>
      </c>
      <c r="B591" s="207">
        <v>111</v>
      </c>
      <c r="C591" s="208" t="s">
        <v>178</v>
      </c>
      <c r="D591" s="208" t="s">
        <v>1632</v>
      </c>
      <c r="E591" s="209" t="s">
        <v>2024</v>
      </c>
      <c r="F591" s="209" t="s">
        <v>2025</v>
      </c>
      <c r="G591" s="209" t="s">
        <v>2026</v>
      </c>
      <c r="H591" s="208">
        <v>125</v>
      </c>
      <c r="I591" s="208">
        <v>0</v>
      </c>
      <c r="J591" s="210">
        <v>8</v>
      </c>
      <c r="K591" s="211">
        <v>17</v>
      </c>
      <c r="L591" s="211">
        <v>6</v>
      </c>
      <c r="M591" s="211">
        <v>0</v>
      </c>
      <c r="N591" s="211">
        <v>0</v>
      </c>
      <c r="O591" s="212">
        <v>8000000</v>
      </c>
      <c r="P591" s="212">
        <v>64725913</v>
      </c>
      <c r="Q591" s="212"/>
      <c r="R591" s="213">
        <f t="shared" si="12"/>
        <v>72725913</v>
      </c>
      <c r="S591" s="214" t="s">
        <v>1962</v>
      </c>
      <c r="T591" s="215" t="s">
        <v>2027</v>
      </c>
      <c r="U591" s="216"/>
      <c r="V591" s="89"/>
      <c r="W591" s="90" t="s">
        <v>1940</v>
      </c>
      <c r="X591" s="81"/>
      <c r="Y591" s="81"/>
      <c r="Z591" s="81"/>
      <c r="AA591" s="81"/>
      <c r="AB591" s="81"/>
      <c r="AC591" s="81"/>
      <c r="AD591" s="81"/>
      <c r="AE591" s="81"/>
    </row>
    <row r="592" spans="1:31" s="1" customFormat="1" ht="54">
      <c r="A592" s="206">
        <v>591</v>
      </c>
      <c r="B592" s="207">
        <v>111</v>
      </c>
      <c r="C592" s="208" t="s">
        <v>178</v>
      </c>
      <c r="D592" s="208" t="s">
        <v>1632</v>
      </c>
      <c r="E592" s="209" t="s">
        <v>2028</v>
      </c>
      <c r="F592" s="209" t="s">
        <v>557</v>
      </c>
      <c r="G592" s="209" t="s">
        <v>2029</v>
      </c>
      <c r="H592" s="208">
        <v>130</v>
      </c>
      <c r="I592" s="208">
        <v>12</v>
      </c>
      <c r="J592" s="210">
        <v>18</v>
      </c>
      <c r="K592" s="211">
        <v>14</v>
      </c>
      <c r="L592" s="211">
        <v>21</v>
      </c>
      <c r="M592" s="211">
        <v>9</v>
      </c>
      <c r="N592" s="211">
        <v>0</v>
      </c>
      <c r="O592" s="212">
        <v>50000000</v>
      </c>
      <c r="P592" s="212">
        <v>172320000</v>
      </c>
      <c r="Q592" s="212">
        <v>17170000</v>
      </c>
      <c r="R592" s="213">
        <f t="shared" si="12"/>
        <v>239490000</v>
      </c>
      <c r="S592" s="214" t="s">
        <v>1962</v>
      </c>
      <c r="T592" s="215" t="s">
        <v>2030</v>
      </c>
      <c r="U592" s="216"/>
      <c r="V592" s="89"/>
      <c r="W592" s="90" t="s">
        <v>2031</v>
      </c>
      <c r="X592" s="81"/>
      <c r="Y592" s="81"/>
      <c r="Z592" s="81"/>
      <c r="AA592" s="81"/>
      <c r="AB592" s="81"/>
      <c r="AC592" s="81"/>
      <c r="AD592" s="81"/>
      <c r="AE592" s="81"/>
    </row>
    <row r="593" spans="1:31" s="1" customFormat="1" ht="54">
      <c r="A593" s="206">
        <v>592</v>
      </c>
      <c r="B593" s="207">
        <v>111</v>
      </c>
      <c r="C593" s="208" t="s">
        <v>178</v>
      </c>
      <c r="D593" s="208" t="s">
        <v>1636</v>
      </c>
      <c r="E593" s="209" t="s">
        <v>2032</v>
      </c>
      <c r="F593" s="209" t="s">
        <v>2033</v>
      </c>
      <c r="G593" s="209" t="s">
        <v>2034</v>
      </c>
      <c r="H593" s="208">
        <v>250</v>
      </c>
      <c r="I593" s="208">
        <v>0</v>
      </c>
      <c r="J593" s="210">
        <v>8</v>
      </c>
      <c r="K593" s="211">
        <v>5</v>
      </c>
      <c r="L593" s="211">
        <v>8</v>
      </c>
      <c r="M593" s="211">
        <v>0</v>
      </c>
      <c r="N593" s="211">
        <v>2</v>
      </c>
      <c r="O593" s="212">
        <v>16000000</v>
      </c>
      <c r="P593" s="212">
        <f>34128163*2/1.2</f>
        <v>56880271.666666672</v>
      </c>
      <c r="Q593" s="212">
        <v>7381686</v>
      </c>
      <c r="R593" s="213">
        <f t="shared" si="12"/>
        <v>80261957.666666672</v>
      </c>
      <c r="S593" s="214" t="s">
        <v>1958</v>
      </c>
      <c r="T593" s="215" t="s">
        <v>2035</v>
      </c>
      <c r="U593" s="216"/>
      <c r="V593" s="89"/>
      <c r="W593" s="90" t="s">
        <v>2036</v>
      </c>
      <c r="X593" s="81"/>
      <c r="Y593" s="81"/>
      <c r="Z593" s="81"/>
      <c r="AA593" s="81"/>
      <c r="AB593" s="81"/>
      <c r="AC593" s="81"/>
      <c r="AD593" s="81"/>
      <c r="AE593" s="81"/>
    </row>
    <row r="594" spans="1:31" s="1" customFormat="1" ht="27">
      <c r="A594" s="206">
        <v>593</v>
      </c>
      <c r="B594" s="219">
        <v>111</v>
      </c>
      <c r="C594" s="220" t="s">
        <v>39</v>
      </c>
      <c r="D594" s="220" t="s">
        <v>1590</v>
      </c>
      <c r="E594" s="221" t="s">
        <v>2037</v>
      </c>
      <c r="F594" s="221"/>
      <c r="G594" s="221"/>
      <c r="H594" s="220"/>
      <c r="I594" s="220"/>
      <c r="J594" s="222"/>
      <c r="K594" s="223"/>
      <c r="L594" s="223"/>
      <c r="M594" s="223"/>
      <c r="N594" s="223"/>
      <c r="O594" s="224"/>
      <c r="P594" s="224"/>
      <c r="Q594" s="224"/>
      <c r="R594" s="225"/>
      <c r="S594" s="226" t="s">
        <v>2038</v>
      </c>
      <c r="T594" s="227" t="s">
        <v>2039</v>
      </c>
      <c r="U594" s="216"/>
      <c r="V594" s="89"/>
      <c r="W594" s="90" t="s">
        <v>2040</v>
      </c>
      <c r="X594" s="81"/>
      <c r="Y594" s="81"/>
      <c r="Z594" s="81"/>
      <c r="AA594" s="81"/>
      <c r="AB594" s="81"/>
      <c r="AC594" s="81"/>
      <c r="AD594" s="81"/>
      <c r="AE594" s="81"/>
    </row>
    <row r="595" spans="1:31" s="1" customFormat="1" ht="27">
      <c r="A595" s="206">
        <v>594</v>
      </c>
      <c r="B595" s="219">
        <v>111</v>
      </c>
      <c r="C595" s="220" t="s">
        <v>1814</v>
      </c>
      <c r="D595" s="220" t="s">
        <v>1651</v>
      </c>
      <c r="E595" s="221" t="s">
        <v>2041</v>
      </c>
      <c r="F595" s="221"/>
      <c r="G595" s="221"/>
      <c r="H595" s="220">
        <v>2300</v>
      </c>
      <c r="I595" s="220">
        <v>0</v>
      </c>
      <c r="J595" s="222">
        <v>8</v>
      </c>
      <c r="K595" s="223"/>
      <c r="L595" s="223"/>
      <c r="M595" s="223"/>
      <c r="N595" s="223"/>
      <c r="O595" s="224">
        <v>195520000</v>
      </c>
      <c r="P595" s="224">
        <v>57470000</v>
      </c>
      <c r="Q595" s="224">
        <v>0</v>
      </c>
      <c r="R595" s="225">
        <f t="shared" ref="R595:R657" si="13">O595+P595+Q595</f>
        <v>252990000</v>
      </c>
      <c r="S595" s="226" t="s">
        <v>2042</v>
      </c>
      <c r="T595" s="227" t="s">
        <v>2043</v>
      </c>
      <c r="U595" s="216"/>
      <c r="V595" s="89"/>
      <c r="W595" s="90" t="s">
        <v>2044</v>
      </c>
      <c r="X595" s="81"/>
      <c r="Y595" s="81"/>
      <c r="Z595" s="81"/>
      <c r="AA595" s="81"/>
      <c r="AB595" s="81"/>
      <c r="AC595" s="81"/>
      <c r="AD595" s="81"/>
      <c r="AE595" s="81"/>
    </row>
    <row r="596" spans="1:31" s="1" customFormat="1" ht="40.5">
      <c r="A596" s="206">
        <v>595</v>
      </c>
      <c r="B596" s="228">
        <v>111</v>
      </c>
      <c r="C596" s="229" t="s">
        <v>1100</v>
      </c>
      <c r="D596" s="230" t="s">
        <v>2045</v>
      </c>
      <c r="E596" s="231" t="s">
        <v>2046</v>
      </c>
      <c r="F596" s="231" t="s">
        <v>2047</v>
      </c>
      <c r="G596" s="231" t="s">
        <v>1102</v>
      </c>
      <c r="H596" s="232">
        <v>1100</v>
      </c>
      <c r="I596" s="233" t="s">
        <v>2048</v>
      </c>
      <c r="J596" s="234">
        <v>8</v>
      </c>
      <c r="K596" s="235">
        <v>36</v>
      </c>
      <c r="L596" s="235">
        <v>7</v>
      </c>
      <c r="M596" s="235" t="s">
        <v>2049</v>
      </c>
      <c r="N596" s="235">
        <v>0</v>
      </c>
      <c r="O596" s="236">
        <v>69790000</v>
      </c>
      <c r="P596" s="236">
        <v>27020000</v>
      </c>
      <c r="Q596" s="237">
        <v>190000</v>
      </c>
      <c r="R596" s="236">
        <f t="shared" ref="R596:R597" si="14">SUM(O596:Q596)</f>
        <v>97000000</v>
      </c>
      <c r="S596" s="229" t="s">
        <v>2050</v>
      </c>
      <c r="T596" s="238" t="s">
        <v>3149</v>
      </c>
      <c r="U596" s="239"/>
      <c r="V596" s="240"/>
      <c r="W596" s="241" t="s">
        <v>2044</v>
      </c>
      <c r="X596" s="81"/>
      <c r="Y596" s="81"/>
      <c r="Z596" s="81"/>
      <c r="AA596" s="81"/>
      <c r="AB596" s="81"/>
      <c r="AC596" s="81"/>
      <c r="AD596" s="81"/>
      <c r="AE596" s="81"/>
    </row>
    <row r="597" spans="1:31" s="1" customFormat="1" ht="81">
      <c r="A597" s="206">
        <v>596</v>
      </c>
      <c r="B597" s="228">
        <v>111</v>
      </c>
      <c r="C597" s="229" t="s">
        <v>1100</v>
      </c>
      <c r="D597" s="230" t="s">
        <v>2045</v>
      </c>
      <c r="E597" s="242" t="s">
        <v>2051</v>
      </c>
      <c r="F597" s="242" t="s">
        <v>1102</v>
      </c>
      <c r="G597" s="242" t="s">
        <v>2052</v>
      </c>
      <c r="H597" s="243">
        <v>900</v>
      </c>
      <c r="I597" s="230" t="s">
        <v>42</v>
      </c>
      <c r="J597" s="244">
        <v>8</v>
      </c>
      <c r="K597" s="230">
        <v>7</v>
      </c>
      <c r="L597" s="230">
        <v>54</v>
      </c>
      <c r="M597" s="230" t="s">
        <v>2049</v>
      </c>
      <c r="N597" s="230">
        <v>0</v>
      </c>
      <c r="O597" s="245">
        <v>157400000</v>
      </c>
      <c r="P597" s="246">
        <v>85090000</v>
      </c>
      <c r="Q597" s="246">
        <v>1090000</v>
      </c>
      <c r="R597" s="245">
        <f t="shared" si="14"/>
        <v>243580000</v>
      </c>
      <c r="S597" s="229" t="s">
        <v>2053</v>
      </c>
      <c r="T597" s="238" t="s">
        <v>3150</v>
      </c>
      <c r="U597" s="239"/>
      <c r="V597" s="240"/>
      <c r="W597" s="241" t="s">
        <v>2054</v>
      </c>
      <c r="X597" s="81"/>
      <c r="Y597" s="81"/>
      <c r="Z597" s="81"/>
      <c r="AA597" s="81"/>
      <c r="AB597" s="81"/>
      <c r="AC597" s="81"/>
      <c r="AD597" s="81"/>
      <c r="AE597" s="81"/>
    </row>
    <row r="598" spans="1:31" s="1" customFormat="1" ht="27">
      <c r="A598" s="247">
        <v>597</v>
      </c>
      <c r="B598" s="248">
        <v>112</v>
      </c>
      <c r="C598" s="249" t="s">
        <v>39</v>
      </c>
      <c r="D598" s="250" t="s">
        <v>1632</v>
      </c>
      <c r="E598" s="251" t="s">
        <v>2055</v>
      </c>
      <c r="F598" s="251" t="s">
        <v>1757</v>
      </c>
      <c r="G598" s="251" t="s">
        <v>2056</v>
      </c>
      <c r="H598" s="250">
        <v>135</v>
      </c>
      <c r="I598" s="250" t="s">
        <v>2057</v>
      </c>
      <c r="J598" s="252">
        <v>10</v>
      </c>
      <c r="K598" s="253">
        <v>10</v>
      </c>
      <c r="L598" s="253">
        <v>5</v>
      </c>
      <c r="M598" s="253"/>
      <c r="N598" s="253"/>
      <c r="O598" s="254">
        <v>24300000</v>
      </c>
      <c r="P598" s="254">
        <v>0</v>
      </c>
      <c r="Q598" s="254">
        <v>0</v>
      </c>
      <c r="R598" s="255">
        <f t="shared" si="13"/>
        <v>24300000</v>
      </c>
      <c r="S598" s="256" t="s">
        <v>2058</v>
      </c>
      <c r="T598" s="257" t="s">
        <v>2059</v>
      </c>
      <c r="U598" s="258"/>
      <c r="V598" s="89"/>
      <c r="W598" s="90" t="s">
        <v>2060</v>
      </c>
      <c r="X598" s="81"/>
      <c r="Y598" s="81"/>
      <c r="Z598" s="81"/>
      <c r="AA598" s="81"/>
      <c r="AB598" s="81"/>
      <c r="AC598" s="81"/>
      <c r="AD598" s="81"/>
      <c r="AE598" s="81"/>
    </row>
    <row r="599" spans="1:31" s="1" customFormat="1" ht="40.5">
      <c r="A599" s="247">
        <v>598</v>
      </c>
      <c r="B599" s="248">
        <v>112</v>
      </c>
      <c r="C599" s="249" t="s">
        <v>39</v>
      </c>
      <c r="D599" s="250" t="s">
        <v>1632</v>
      </c>
      <c r="E599" s="251" t="s">
        <v>2061</v>
      </c>
      <c r="F599" s="251" t="s">
        <v>2062</v>
      </c>
      <c r="G599" s="251" t="s">
        <v>2063</v>
      </c>
      <c r="H599" s="250">
        <v>125</v>
      </c>
      <c r="I599" s="250">
        <v>0</v>
      </c>
      <c r="J599" s="252">
        <v>8</v>
      </c>
      <c r="K599" s="253">
        <v>1</v>
      </c>
      <c r="L599" s="253">
        <v>1</v>
      </c>
      <c r="M599" s="253"/>
      <c r="N599" s="253">
        <v>1</v>
      </c>
      <c r="O599" s="254">
        <v>10130000</v>
      </c>
      <c r="P599" s="254">
        <v>8760000</v>
      </c>
      <c r="Q599" s="254">
        <v>1530000</v>
      </c>
      <c r="R599" s="255">
        <f t="shared" si="13"/>
        <v>20420000</v>
      </c>
      <c r="S599" s="256" t="s">
        <v>2064</v>
      </c>
      <c r="T599" s="257" t="s">
        <v>2065</v>
      </c>
      <c r="U599" s="258"/>
      <c r="V599" s="89"/>
      <c r="W599" s="90" t="s">
        <v>938</v>
      </c>
      <c r="X599" s="81"/>
      <c r="Y599" s="81"/>
      <c r="Z599" s="81"/>
      <c r="AA599" s="81"/>
      <c r="AB599" s="81"/>
      <c r="AC599" s="81"/>
      <c r="AD599" s="81"/>
      <c r="AE599" s="81"/>
    </row>
    <row r="600" spans="1:31" s="1" customFormat="1" ht="40.5">
      <c r="A600" s="247">
        <v>599</v>
      </c>
      <c r="B600" s="248">
        <v>112</v>
      </c>
      <c r="C600" s="249" t="s">
        <v>39</v>
      </c>
      <c r="D600" s="250" t="s">
        <v>1632</v>
      </c>
      <c r="E600" s="251" t="s">
        <v>2066</v>
      </c>
      <c r="F600" s="251" t="s">
        <v>2062</v>
      </c>
      <c r="G600" s="251" t="s">
        <v>2067</v>
      </c>
      <c r="H600" s="250">
        <v>75</v>
      </c>
      <c r="I600" s="250">
        <v>0</v>
      </c>
      <c r="J600" s="252">
        <v>8</v>
      </c>
      <c r="K600" s="253">
        <v>2</v>
      </c>
      <c r="L600" s="250" t="s">
        <v>2068</v>
      </c>
      <c r="M600" s="253"/>
      <c r="N600" s="253"/>
      <c r="O600" s="254">
        <v>4800000</v>
      </c>
      <c r="P600" s="254">
        <v>3440000</v>
      </c>
      <c r="Q600" s="254">
        <v>2000000</v>
      </c>
      <c r="R600" s="255">
        <f t="shared" si="13"/>
        <v>10240000</v>
      </c>
      <c r="S600" s="256" t="s">
        <v>2064</v>
      </c>
      <c r="T600" s="257" t="s">
        <v>2069</v>
      </c>
      <c r="U600" s="258"/>
      <c r="V600" s="259"/>
      <c r="W600" s="90" t="s">
        <v>2060</v>
      </c>
      <c r="X600" s="81"/>
      <c r="Y600" s="81"/>
      <c r="Z600" s="81"/>
      <c r="AA600" s="81"/>
      <c r="AB600" s="81"/>
      <c r="AC600" s="81"/>
      <c r="AD600" s="81"/>
      <c r="AE600" s="81"/>
    </row>
    <row r="601" spans="1:31" s="1" customFormat="1" ht="40.5">
      <c r="A601" s="247">
        <v>600</v>
      </c>
      <c r="B601" s="248">
        <v>112</v>
      </c>
      <c r="C601" s="249" t="s">
        <v>39</v>
      </c>
      <c r="D601" s="250" t="s">
        <v>1632</v>
      </c>
      <c r="E601" s="251" t="s">
        <v>2070</v>
      </c>
      <c r="F601" s="251" t="s">
        <v>2026</v>
      </c>
      <c r="G601" s="251" t="s">
        <v>2071</v>
      </c>
      <c r="H601" s="250">
        <v>125</v>
      </c>
      <c r="I601" s="250">
        <v>0</v>
      </c>
      <c r="J601" s="252">
        <v>8</v>
      </c>
      <c r="K601" s="253">
        <v>17</v>
      </c>
      <c r="L601" s="250" t="s">
        <v>2072</v>
      </c>
      <c r="M601" s="253"/>
      <c r="N601" s="253"/>
      <c r="O601" s="254">
        <v>10000000</v>
      </c>
      <c r="P601" s="254">
        <v>40980000</v>
      </c>
      <c r="Q601" s="254">
        <v>5000000</v>
      </c>
      <c r="R601" s="255">
        <f t="shared" si="13"/>
        <v>55980000</v>
      </c>
      <c r="S601" s="256" t="s">
        <v>2073</v>
      </c>
      <c r="T601" s="257" t="s">
        <v>2074</v>
      </c>
      <c r="U601" s="258"/>
      <c r="V601" s="89"/>
      <c r="W601" s="90" t="s">
        <v>1940</v>
      </c>
      <c r="X601" s="81"/>
      <c r="Y601" s="81"/>
      <c r="Z601" s="81"/>
      <c r="AA601" s="81"/>
      <c r="AB601" s="81"/>
      <c r="AC601" s="81"/>
      <c r="AD601" s="81"/>
      <c r="AE601" s="81"/>
    </row>
    <row r="602" spans="1:31" s="1" customFormat="1" ht="27">
      <c r="A602" s="247">
        <v>601</v>
      </c>
      <c r="B602" s="248">
        <v>112</v>
      </c>
      <c r="C602" s="249" t="s">
        <v>39</v>
      </c>
      <c r="D602" s="250" t="s">
        <v>1558</v>
      </c>
      <c r="E602" s="251" t="s">
        <v>2075</v>
      </c>
      <c r="F602" s="251" t="s">
        <v>2076</v>
      </c>
      <c r="G602" s="251" t="s">
        <v>527</v>
      </c>
      <c r="H602" s="250">
        <v>210</v>
      </c>
      <c r="I602" s="250">
        <v>0</v>
      </c>
      <c r="J602" s="252">
        <v>10</v>
      </c>
      <c r="K602" s="253">
        <v>3</v>
      </c>
      <c r="L602" s="253">
        <v>0</v>
      </c>
      <c r="M602" s="253"/>
      <c r="N602" s="253"/>
      <c r="O602" s="254">
        <v>21000000</v>
      </c>
      <c r="P602" s="254">
        <v>0</v>
      </c>
      <c r="Q602" s="254">
        <v>5000000</v>
      </c>
      <c r="R602" s="255">
        <f t="shared" si="13"/>
        <v>26000000</v>
      </c>
      <c r="S602" s="256" t="s">
        <v>2077</v>
      </c>
      <c r="T602" s="257" t="s">
        <v>2078</v>
      </c>
      <c r="U602" s="258"/>
      <c r="V602" s="89"/>
      <c r="W602" s="90" t="s">
        <v>1028</v>
      </c>
      <c r="X602" s="81"/>
      <c r="Y602" s="81"/>
      <c r="Z602" s="81"/>
      <c r="AA602" s="81"/>
      <c r="AB602" s="81"/>
      <c r="AC602" s="81"/>
      <c r="AD602" s="81"/>
      <c r="AE602" s="81"/>
    </row>
    <row r="603" spans="1:31" s="1" customFormat="1" ht="27">
      <c r="A603" s="247">
        <v>602</v>
      </c>
      <c r="B603" s="248">
        <v>112</v>
      </c>
      <c r="C603" s="249" t="s">
        <v>39</v>
      </c>
      <c r="D603" s="250" t="s">
        <v>1558</v>
      </c>
      <c r="E603" s="251" t="s">
        <v>2079</v>
      </c>
      <c r="F603" s="251" t="s">
        <v>2080</v>
      </c>
      <c r="G603" s="251" t="s">
        <v>2081</v>
      </c>
      <c r="H603" s="250">
        <v>45</v>
      </c>
      <c r="I603" s="250">
        <v>3</v>
      </c>
      <c r="J603" s="252">
        <v>8</v>
      </c>
      <c r="K603" s="253">
        <v>3</v>
      </c>
      <c r="L603" s="253">
        <v>3</v>
      </c>
      <c r="M603" s="253"/>
      <c r="N603" s="253"/>
      <c r="O603" s="254">
        <v>2880000</v>
      </c>
      <c r="P603" s="254">
        <v>450000</v>
      </c>
      <c r="Q603" s="254">
        <v>20000</v>
      </c>
      <c r="R603" s="255">
        <f t="shared" si="13"/>
        <v>3350000</v>
      </c>
      <c r="S603" s="256" t="s">
        <v>2064</v>
      </c>
      <c r="T603" s="257" t="s">
        <v>2082</v>
      </c>
      <c r="U603" s="258"/>
      <c r="V603" s="89"/>
      <c r="W603" s="90" t="s">
        <v>1671</v>
      </c>
      <c r="X603" s="81"/>
      <c r="Y603" s="81"/>
      <c r="Z603" s="81"/>
      <c r="AA603" s="81"/>
      <c r="AB603" s="81"/>
      <c r="AC603" s="81"/>
      <c r="AD603" s="81"/>
      <c r="AE603" s="81"/>
    </row>
    <row r="604" spans="1:31" s="1" customFormat="1" ht="27">
      <c r="A604" s="247">
        <v>603</v>
      </c>
      <c r="B604" s="248">
        <v>112</v>
      </c>
      <c r="C604" s="249" t="s">
        <v>39</v>
      </c>
      <c r="D604" s="250" t="s">
        <v>1558</v>
      </c>
      <c r="E604" s="251" t="s">
        <v>2083</v>
      </c>
      <c r="F604" s="251" t="s">
        <v>2084</v>
      </c>
      <c r="G604" s="251"/>
      <c r="H604" s="250">
        <v>15</v>
      </c>
      <c r="I604" s="250" t="s">
        <v>164</v>
      </c>
      <c r="J604" s="252">
        <v>6</v>
      </c>
      <c r="K604" s="253">
        <v>1</v>
      </c>
      <c r="L604" s="253">
        <v>0</v>
      </c>
      <c r="M604" s="253">
        <v>1</v>
      </c>
      <c r="N604" s="253">
        <v>0</v>
      </c>
      <c r="O604" s="254">
        <v>720000</v>
      </c>
      <c r="P604" s="254">
        <v>0</v>
      </c>
      <c r="Q604" s="254">
        <v>1000000</v>
      </c>
      <c r="R604" s="255">
        <f t="shared" si="13"/>
        <v>1720000</v>
      </c>
      <c r="S604" s="256" t="s">
        <v>2064</v>
      </c>
      <c r="T604" s="257" t="s">
        <v>2085</v>
      </c>
      <c r="U604" s="258"/>
      <c r="V604" s="89"/>
      <c r="W604" s="90" t="s">
        <v>2086</v>
      </c>
      <c r="X604" s="81"/>
      <c r="Y604" s="81"/>
      <c r="Z604" s="81"/>
      <c r="AA604" s="81"/>
      <c r="AB604" s="81"/>
      <c r="AC604" s="81"/>
      <c r="AD604" s="81"/>
      <c r="AE604" s="81"/>
    </row>
    <row r="605" spans="1:31" s="1" customFormat="1" ht="27">
      <c r="A605" s="247">
        <v>604</v>
      </c>
      <c r="B605" s="248">
        <v>112</v>
      </c>
      <c r="C605" s="249" t="s">
        <v>39</v>
      </c>
      <c r="D605" s="250" t="s">
        <v>1558</v>
      </c>
      <c r="E605" s="251" t="s">
        <v>2087</v>
      </c>
      <c r="F605" s="251" t="s">
        <v>2088</v>
      </c>
      <c r="G605" s="251" t="s">
        <v>594</v>
      </c>
      <c r="H605" s="250">
        <v>105</v>
      </c>
      <c r="I605" s="250">
        <v>0</v>
      </c>
      <c r="J605" s="252">
        <v>8</v>
      </c>
      <c r="K605" s="253">
        <v>4</v>
      </c>
      <c r="L605" s="250" t="s">
        <v>2089</v>
      </c>
      <c r="M605" s="253"/>
      <c r="N605" s="253"/>
      <c r="O605" s="254">
        <v>22000000</v>
      </c>
      <c r="P605" s="254">
        <v>9100000</v>
      </c>
      <c r="Q605" s="254">
        <v>500000</v>
      </c>
      <c r="R605" s="255">
        <f t="shared" si="13"/>
        <v>31600000</v>
      </c>
      <c r="S605" s="256" t="s">
        <v>2064</v>
      </c>
      <c r="T605" s="257" t="s">
        <v>2090</v>
      </c>
      <c r="U605" s="258"/>
      <c r="V605" s="89"/>
      <c r="W605" s="90" t="s">
        <v>1877</v>
      </c>
      <c r="X605" s="81"/>
      <c r="Y605" s="81"/>
      <c r="Z605" s="81"/>
      <c r="AA605" s="81"/>
      <c r="AB605" s="81"/>
      <c r="AC605" s="81"/>
      <c r="AD605" s="81"/>
      <c r="AE605" s="81"/>
    </row>
    <row r="606" spans="1:31" s="1" customFormat="1" ht="40.5">
      <c r="A606" s="247">
        <v>605</v>
      </c>
      <c r="B606" s="248">
        <v>112</v>
      </c>
      <c r="C606" s="249" t="s">
        <v>39</v>
      </c>
      <c r="D606" s="250" t="s">
        <v>1699</v>
      </c>
      <c r="E606" s="251" t="s">
        <v>2091</v>
      </c>
      <c r="F606" s="251" t="s">
        <v>2092</v>
      </c>
      <c r="G606" s="251" t="s">
        <v>2093</v>
      </c>
      <c r="H606" s="250">
        <v>215</v>
      </c>
      <c r="I606" s="250">
        <v>4</v>
      </c>
      <c r="J606" s="252">
        <v>12</v>
      </c>
      <c r="K606" s="253">
        <v>1</v>
      </c>
      <c r="L606" s="253">
        <v>11</v>
      </c>
      <c r="M606" s="253"/>
      <c r="N606" s="253"/>
      <c r="O606" s="254">
        <v>23760000</v>
      </c>
      <c r="P606" s="254">
        <v>15660000</v>
      </c>
      <c r="Q606" s="254">
        <v>0</v>
      </c>
      <c r="R606" s="255">
        <f t="shared" si="13"/>
        <v>39420000</v>
      </c>
      <c r="S606" s="256" t="s">
        <v>2094</v>
      </c>
      <c r="T606" s="257" t="s">
        <v>2095</v>
      </c>
      <c r="U606" s="258"/>
      <c r="V606" s="89"/>
      <c r="W606" s="90" t="s">
        <v>2096</v>
      </c>
      <c r="X606" s="81"/>
      <c r="Y606" s="81"/>
      <c r="Z606" s="81"/>
      <c r="AA606" s="81"/>
      <c r="AB606" s="81"/>
      <c r="AC606" s="81"/>
      <c r="AD606" s="81"/>
      <c r="AE606" s="81"/>
    </row>
    <row r="607" spans="1:31" s="1" customFormat="1" ht="40.5">
      <c r="A607" s="247">
        <v>606</v>
      </c>
      <c r="B607" s="248">
        <v>112</v>
      </c>
      <c r="C607" s="249" t="s">
        <v>39</v>
      </c>
      <c r="D607" s="250" t="s">
        <v>1699</v>
      </c>
      <c r="E607" s="251" t="s">
        <v>2097</v>
      </c>
      <c r="F607" s="251" t="s">
        <v>2021</v>
      </c>
      <c r="G607" s="251" t="s">
        <v>2022</v>
      </c>
      <c r="H607" s="250">
        <v>168</v>
      </c>
      <c r="I607" s="250" t="s">
        <v>728</v>
      </c>
      <c r="J607" s="252">
        <v>8</v>
      </c>
      <c r="K607" s="253">
        <v>1</v>
      </c>
      <c r="L607" s="253">
        <v>5</v>
      </c>
      <c r="M607" s="253">
        <v>3</v>
      </c>
      <c r="N607" s="253">
        <v>2</v>
      </c>
      <c r="O607" s="254">
        <v>13690000</v>
      </c>
      <c r="P607" s="254">
        <v>8250000</v>
      </c>
      <c r="Q607" s="254">
        <v>6000000</v>
      </c>
      <c r="R607" s="255">
        <f t="shared" si="13"/>
        <v>27940000</v>
      </c>
      <c r="S607" s="256" t="s">
        <v>2094</v>
      </c>
      <c r="T607" s="257" t="s">
        <v>2098</v>
      </c>
      <c r="U607" s="258"/>
      <c r="V607" s="89"/>
      <c r="W607" s="90" t="s">
        <v>1381</v>
      </c>
      <c r="X607" s="81"/>
      <c r="Y607" s="81"/>
      <c r="Z607" s="81"/>
      <c r="AA607" s="81"/>
      <c r="AB607" s="81"/>
      <c r="AC607" s="81"/>
      <c r="AD607" s="81"/>
      <c r="AE607" s="81"/>
    </row>
    <row r="608" spans="1:31" s="1" customFormat="1" ht="40.5">
      <c r="A608" s="247">
        <v>607</v>
      </c>
      <c r="B608" s="248">
        <v>112</v>
      </c>
      <c r="C608" s="249" t="s">
        <v>39</v>
      </c>
      <c r="D608" s="250" t="s">
        <v>1651</v>
      </c>
      <c r="E608" s="251" t="s">
        <v>2099</v>
      </c>
      <c r="F608" s="251" t="s">
        <v>2100</v>
      </c>
      <c r="G608" s="251"/>
      <c r="H608" s="250">
        <v>12</v>
      </c>
      <c r="I608" s="250">
        <v>4.7</v>
      </c>
      <c r="J608" s="252">
        <v>6</v>
      </c>
      <c r="K608" s="253">
        <v>3</v>
      </c>
      <c r="L608" s="253">
        <v>0</v>
      </c>
      <c r="M608" s="253"/>
      <c r="N608" s="253"/>
      <c r="O608" s="254">
        <v>33030000</v>
      </c>
      <c r="P608" s="254">
        <v>0</v>
      </c>
      <c r="Q608" s="254">
        <v>0</v>
      </c>
      <c r="R608" s="255">
        <f t="shared" si="13"/>
        <v>33030000</v>
      </c>
      <c r="S608" s="256" t="s">
        <v>2077</v>
      </c>
      <c r="T608" s="257" t="s">
        <v>2101</v>
      </c>
      <c r="U608" s="258"/>
      <c r="V608" s="89"/>
      <c r="W608" s="90" t="s">
        <v>1301</v>
      </c>
      <c r="X608" s="81"/>
      <c r="Y608" s="81"/>
      <c r="Z608" s="81"/>
      <c r="AA608" s="81"/>
      <c r="AB608" s="81"/>
      <c r="AC608" s="81"/>
      <c r="AD608" s="81"/>
      <c r="AE608" s="81"/>
    </row>
    <row r="609" spans="1:31" s="1" customFormat="1" ht="81">
      <c r="A609" s="247">
        <v>608</v>
      </c>
      <c r="B609" s="248">
        <v>112</v>
      </c>
      <c r="C609" s="249" t="s">
        <v>39</v>
      </c>
      <c r="D609" s="250" t="s">
        <v>1576</v>
      </c>
      <c r="E609" s="251" t="s">
        <v>2102</v>
      </c>
      <c r="F609" s="251" t="s">
        <v>2103</v>
      </c>
      <c r="G609" s="251" t="s">
        <v>2104</v>
      </c>
      <c r="H609" s="250">
        <v>10</v>
      </c>
      <c r="I609" s="250">
        <v>0</v>
      </c>
      <c r="J609" s="252">
        <v>10</v>
      </c>
      <c r="K609" s="253">
        <v>2</v>
      </c>
      <c r="L609" s="250" t="s">
        <v>2105</v>
      </c>
      <c r="M609" s="253"/>
      <c r="N609" s="253"/>
      <c r="O609" s="254">
        <v>700000</v>
      </c>
      <c r="P609" s="254">
        <v>6710000</v>
      </c>
      <c r="Q609" s="254">
        <v>450000</v>
      </c>
      <c r="R609" s="255">
        <f t="shared" si="13"/>
        <v>7860000</v>
      </c>
      <c r="S609" s="256" t="s">
        <v>2064</v>
      </c>
      <c r="T609" s="257" t="s">
        <v>2106</v>
      </c>
      <c r="U609" s="258"/>
      <c r="V609" s="89"/>
      <c r="W609" s="90" t="s">
        <v>2107</v>
      </c>
      <c r="X609" s="81"/>
      <c r="Y609" s="81"/>
      <c r="Z609" s="81"/>
      <c r="AA609" s="81"/>
      <c r="AB609" s="81"/>
      <c r="AC609" s="81"/>
      <c r="AD609" s="81"/>
      <c r="AE609" s="81"/>
    </row>
    <row r="610" spans="1:31" s="1" customFormat="1" ht="54">
      <c r="A610" s="247">
        <v>609</v>
      </c>
      <c r="B610" s="248">
        <v>112</v>
      </c>
      <c r="C610" s="249" t="s">
        <v>39</v>
      </c>
      <c r="D610" s="250" t="s">
        <v>1576</v>
      </c>
      <c r="E610" s="251" t="s">
        <v>2108</v>
      </c>
      <c r="F610" s="251" t="s">
        <v>2109</v>
      </c>
      <c r="G610" s="251" t="s">
        <v>2110</v>
      </c>
      <c r="H610" s="250">
        <v>15</v>
      </c>
      <c r="I610" s="250">
        <v>0</v>
      </c>
      <c r="J610" s="252">
        <v>8</v>
      </c>
      <c r="K610" s="253">
        <v>1</v>
      </c>
      <c r="L610" s="253">
        <v>1</v>
      </c>
      <c r="M610" s="253"/>
      <c r="N610" s="253"/>
      <c r="O610" s="254">
        <v>600000</v>
      </c>
      <c r="P610" s="254">
        <v>6290000</v>
      </c>
      <c r="Q610" s="254">
        <v>0</v>
      </c>
      <c r="R610" s="255">
        <f t="shared" si="13"/>
        <v>6890000</v>
      </c>
      <c r="S610" s="256" t="s">
        <v>2064</v>
      </c>
      <c r="T610" s="257" t="s">
        <v>2111</v>
      </c>
      <c r="U610" s="258"/>
      <c r="V610" s="89"/>
      <c r="W610" s="90" t="s">
        <v>2107</v>
      </c>
      <c r="X610" s="81"/>
      <c r="Y610" s="81"/>
      <c r="Z610" s="81"/>
      <c r="AA610" s="81"/>
      <c r="AB610" s="81"/>
      <c r="AC610" s="81"/>
      <c r="AD610" s="81"/>
      <c r="AE610" s="81"/>
    </row>
    <row r="611" spans="1:31" s="1" customFormat="1" ht="54">
      <c r="A611" s="247">
        <v>610</v>
      </c>
      <c r="B611" s="248">
        <v>112</v>
      </c>
      <c r="C611" s="249" t="s">
        <v>39</v>
      </c>
      <c r="D611" s="250" t="s">
        <v>1576</v>
      </c>
      <c r="E611" s="251" t="s">
        <v>2112</v>
      </c>
      <c r="F611" s="251" t="s">
        <v>2113</v>
      </c>
      <c r="G611" s="251" t="s">
        <v>2110</v>
      </c>
      <c r="H611" s="250">
        <v>15</v>
      </c>
      <c r="I611" s="250">
        <v>0</v>
      </c>
      <c r="J611" s="252">
        <v>5.3</v>
      </c>
      <c r="K611" s="253">
        <v>5</v>
      </c>
      <c r="L611" s="250" t="s">
        <v>2089</v>
      </c>
      <c r="M611" s="253"/>
      <c r="N611" s="253"/>
      <c r="O611" s="254">
        <v>550000</v>
      </c>
      <c r="P611" s="254">
        <v>17360000</v>
      </c>
      <c r="Q611" s="254">
        <v>0</v>
      </c>
      <c r="R611" s="255">
        <f t="shared" si="13"/>
        <v>17910000</v>
      </c>
      <c r="S611" s="256" t="s">
        <v>2064</v>
      </c>
      <c r="T611" s="257" t="s">
        <v>2114</v>
      </c>
      <c r="U611" s="258"/>
      <c r="V611" s="89"/>
      <c r="W611" s="90" t="s">
        <v>2107</v>
      </c>
      <c r="X611" s="81"/>
      <c r="Y611" s="81"/>
      <c r="Z611" s="81"/>
      <c r="AA611" s="81"/>
      <c r="AB611" s="81"/>
      <c r="AC611" s="81"/>
      <c r="AD611" s="81"/>
      <c r="AE611" s="81"/>
    </row>
    <row r="612" spans="1:31" s="1" customFormat="1" ht="54">
      <c r="A612" s="247">
        <v>611</v>
      </c>
      <c r="B612" s="248">
        <v>112</v>
      </c>
      <c r="C612" s="249" t="s">
        <v>39</v>
      </c>
      <c r="D612" s="250" t="s">
        <v>1576</v>
      </c>
      <c r="E612" s="251" t="s">
        <v>2115</v>
      </c>
      <c r="F612" s="251" t="s">
        <v>2116</v>
      </c>
      <c r="G612" s="251" t="s">
        <v>2117</v>
      </c>
      <c r="H612" s="250">
        <v>150</v>
      </c>
      <c r="I612" s="250" t="s">
        <v>404</v>
      </c>
      <c r="J612" s="252">
        <v>15</v>
      </c>
      <c r="K612" s="253">
        <v>2</v>
      </c>
      <c r="L612" s="253">
        <v>10</v>
      </c>
      <c r="M612" s="253">
        <v>6</v>
      </c>
      <c r="N612" s="253"/>
      <c r="O612" s="254">
        <v>20480000</v>
      </c>
      <c r="P612" s="254">
        <v>24690000</v>
      </c>
      <c r="Q612" s="254">
        <v>40000000</v>
      </c>
      <c r="R612" s="255">
        <f t="shared" si="13"/>
        <v>85170000</v>
      </c>
      <c r="S612" s="256" t="s">
        <v>2094</v>
      </c>
      <c r="T612" s="257" t="s">
        <v>2118</v>
      </c>
      <c r="U612" s="258"/>
      <c r="V612" s="89"/>
      <c r="W612" s="90" t="s">
        <v>1977</v>
      </c>
      <c r="X612" s="81"/>
      <c r="Y612" s="81"/>
      <c r="Z612" s="81"/>
      <c r="AA612" s="81"/>
      <c r="AB612" s="81"/>
      <c r="AC612" s="81"/>
      <c r="AD612" s="81"/>
      <c r="AE612" s="81"/>
    </row>
    <row r="613" spans="1:31" s="1" customFormat="1" ht="27">
      <c r="A613" s="247">
        <v>612</v>
      </c>
      <c r="B613" s="248">
        <v>112</v>
      </c>
      <c r="C613" s="249" t="s">
        <v>39</v>
      </c>
      <c r="D613" s="250" t="s">
        <v>1576</v>
      </c>
      <c r="E613" s="251" t="s">
        <v>2119</v>
      </c>
      <c r="F613" s="251" t="s">
        <v>2120</v>
      </c>
      <c r="G613" s="251" t="s">
        <v>1966</v>
      </c>
      <c r="H613" s="250">
        <v>185</v>
      </c>
      <c r="I613" s="250" t="s">
        <v>206</v>
      </c>
      <c r="J613" s="252">
        <v>8</v>
      </c>
      <c r="K613" s="253">
        <v>3</v>
      </c>
      <c r="L613" s="253">
        <v>7</v>
      </c>
      <c r="M613" s="253"/>
      <c r="N613" s="253"/>
      <c r="O613" s="254">
        <v>22800000</v>
      </c>
      <c r="P613" s="254">
        <v>13130000</v>
      </c>
      <c r="Q613" s="254">
        <v>5000000</v>
      </c>
      <c r="R613" s="255">
        <f t="shared" si="13"/>
        <v>40930000</v>
      </c>
      <c r="S613" s="256" t="s">
        <v>2064</v>
      </c>
      <c r="T613" s="257" t="s">
        <v>2121</v>
      </c>
      <c r="U613" s="258"/>
      <c r="V613" s="89"/>
      <c r="W613" s="90" t="s">
        <v>1028</v>
      </c>
      <c r="X613" s="81"/>
      <c r="Y613" s="81"/>
      <c r="Z613" s="81"/>
      <c r="AA613" s="81"/>
      <c r="AB613" s="81"/>
      <c r="AC613" s="81"/>
      <c r="AD613" s="81"/>
      <c r="AE613" s="81"/>
    </row>
    <row r="614" spans="1:31" s="1" customFormat="1" ht="40.5">
      <c r="A614" s="247">
        <v>613</v>
      </c>
      <c r="B614" s="248">
        <v>112</v>
      </c>
      <c r="C614" s="249" t="s">
        <v>39</v>
      </c>
      <c r="D614" s="250" t="s">
        <v>1576</v>
      </c>
      <c r="E614" s="251" t="s">
        <v>2122</v>
      </c>
      <c r="F614" s="251" t="s">
        <v>2123</v>
      </c>
      <c r="G614" s="251" t="s">
        <v>1005</v>
      </c>
      <c r="H614" s="250">
        <v>153</v>
      </c>
      <c r="I614" s="250" t="s">
        <v>164</v>
      </c>
      <c r="J614" s="252">
        <v>8</v>
      </c>
      <c r="K614" s="253">
        <v>6</v>
      </c>
      <c r="L614" s="253">
        <v>0</v>
      </c>
      <c r="M614" s="253"/>
      <c r="N614" s="253"/>
      <c r="O614" s="254">
        <v>9800000</v>
      </c>
      <c r="P614" s="254">
        <v>137170000</v>
      </c>
      <c r="Q614" s="254">
        <v>0</v>
      </c>
      <c r="R614" s="255">
        <f t="shared" si="13"/>
        <v>146970000</v>
      </c>
      <c r="S614" s="256" t="s">
        <v>2124</v>
      </c>
      <c r="T614" s="257" t="s">
        <v>2125</v>
      </c>
      <c r="U614" s="258"/>
      <c r="V614" s="89"/>
      <c r="W614" s="90" t="s">
        <v>1778</v>
      </c>
      <c r="X614" s="81"/>
      <c r="Y614" s="81"/>
      <c r="Z614" s="81"/>
      <c r="AA614" s="81"/>
      <c r="AB614" s="81"/>
      <c r="AC614" s="81"/>
      <c r="AD614" s="81"/>
      <c r="AE614" s="81"/>
    </row>
    <row r="615" spans="1:31" s="1" customFormat="1" ht="40.5">
      <c r="A615" s="247">
        <v>614</v>
      </c>
      <c r="B615" s="248">
        <v>112</v>
      </c>
      <c r="C615" s="249" t="s">
        <v>39</v>
      </c>
      <c r="D615" s="250" t="s">
        <v>1565</v>
      </c>
      <c r="E615" s="251" t="s">
        <v>2126</v>
      </c>
      <c r="F615" s="251" t="s">
        <v>2127</v>
      </c>
      <c r="G615" s="251" t="s">
        <v>2128</v>
      </c>
      <c r="H615" s="250">
        <v>160</v>
      </c>
      <c r="I615" s="250" t="s">
        <v>254</v>
      </c>
      <c r="J615" s="252">
        <v>10</v>
      </c>
      <c r="K615" s="253">
        <v>2</v>
      </c>
      <c r="L615" s="253">
        <v>0</v>
      </c>
      <c r="M615" s="253"/>
      <c r="N615" s="253"/>
      <c r="O615" s="254">
        <v>5000000</v>
      </c>
      <c r="P615" s="254">
        <v>0</v>
      </c>
      <c r="Q615" s="254">
        <v>5000000</v>
      </c>
      <c r="R615" s="255">
        <f t="shared" si="13"/>
        <v>10000000</v>
      </c>
      <c r="S615" s="256" t="s">
        <v>2077</v>
      </c>
      <c r="T615" s="257" t="s">
        <v>2129</v>
      </c>
      <c r="U615" s="258"/>
      <c r="V615" s="89"/>
      <c r="W615" s="90" t="s">
        <v>1171</v>
      </c>
      <c r="X615" s="81"/>
      <c r="Y615" s="81"/>
      <c r="Z615" s="81"/>
      <c r="AA615" s="81"/>
      <c r="AB615" s="81"/>
      <c r="AC615" s="81"/>
      <c r="AD615" s="81"/>
      <c r="AE615" s="81"/>
    </row>
    <row r="616" spans="1:31" s="1" customFormat="1" ht="67.5">
      <c r="A616" s="247">
        <v>615</v>
      </c>
      <c r="B616" s="248">
        <v>112</v>
      </c>
      <c r="C616" s="250" t="s">
        <v>178</v>
      </c>
      <c r="D616" s="250" t="s">
        <v>1627</v>
      </c>
      <c r="E616" s="251" t="s">
        <v>2130</v>
      </c>
      <c r="F616" s="251" t="s">
        <v>332</v>
      </c>
      <c r="G616" s="251" t="s">
        <v>2131</v>
      </c>
      <c r="H616" s="250">
        <v>120</v>
      </c>
      <c r="I616" s="250">
        <v>0</v>
      </c>
      <c r="J616" s="252">
        <v>8</v>
      </c>
      <c r="K616" s="253">
        <v>6</v>
      </c>
      <c r="L616" s="253">
        <v>3</v>
      </c>
      <c r="M616" s="253"/>
      <c r="N616" s="253"/>
      <c r="O616" s="254">
        <v>500000000</v>
      </c>
      <c r="P616" s="254">
        <v>15000000</v>
      </c>
      <c r="Q616" s="254">
        <v>2000000</v>
      </c>
      <c r="R616" s="255">
        <f t="shared" si="13"/>
        <v>517000000</v>
      </c>
      <c r="S616" s="256" t="s">
        <v>2124</v>
      </c>
      <c r="T616" s="257" t="s">
        <v>2132</v>
      </c>
      <c r="U616" s="258"/>
      <c r="V616" s="89"/>
      <c r="W616" s="90" t="s">
        <v>1176</v>
      </c>
      <c r="X616" s="81"/>
      <c r="Y616" s="81"/>
      <c r="Z616" s="81"/>
      <c r="AA616" s="81"/>
      <c r="AB616" s="81"/>
      <c r="AC616" s="81"/>
      <c r="AD616" s="81"/>
      <c r="AE616" s="81"/>
    </row>
    <row r="617" spans="1:31" s="1" customFormat="1" ht="27">
      <c r="A617" s="247">
        <v>616</v>
      </c>
      <c r="B617" s="248">
        <v>112</v>
      </c>
      <c r="C617" s="250" t="s">
        <v>178</v>
      </c>
      <c r="D617" s="250" t="s">
        <v>1558</v>
      </c>
      <c r="E617" s="251" t="s">
        <v>2133</v>
      </c>
      <c r="F617" s="251" t="s">
        <v>527</v>
      </c>
      <c r="G617" s="251" t="s">
        <v>2134</v>
      </c>
      <c r="H617" s="250">
        <v>550</v>
      </c>
      <c r="I617" s="250">
        <v>0</v>
      </c>
      <c r="J617" s="252">
        <v>10</v>
      </c>
      <c r="K617" s="253">
        <v>10</v>
      </c>
      <c r="L617" s="253">
        <v>4</v>
      </c>
      <c r="M617" s="253"/>
      <c r="N617" s="253"/>
      <c r="O617" s="254">
        <v>90000000</v>
      </c>
      <c r="P617" s="254">
        <v>450000</v>
      </c>
      <c r="Q617" s="254">
        <v>15000000</v>
      </c>
      <c r="R617" s="255">
        <f t="shared" si="13"/>
        <v>105450000</v>
      </c>
      <c r="S617" s="256" t="s">
        <v>2064</v>
      </c>
      <c r="T617" s="257" t="s">
        <v>2135</v>
      </c>
      <c r="U617" s="258"/>
      <c r="V617" s="89"/>
      <c r="W617" s="90" t="s">
        <v>1028</v>
      </c>
      <c r="X617" s="81"/>
      <c r="Y617" s="81"/>
      <c r="Z617" s="81"/>
      <c r="AA617" s="81"/>
      <c r="AB617" s="81"/>
      <c r="AC617" s="81"/>
      <c r="AD617" s="81"/>
      <c r="AE617" s="81"/>
    </row>
    <row r="618" spans="1:31" s="1" customFormat="1" ht="27">
      <c r="A618" s="247">
        <v>617</v>
      </c>
      <c r="B618" s="248">
        <v>112</v>
      </c>
      <c r="C618" s="250" t="s">
        <v>178</v>
      </c>
      <c r="D618" s="250" t="s">
        <v>1576</v>
      </c>
      <c r="E618" s="251" t="s">
        <v>2136</v>
      </c>
      <c r="F618" s="251" t="s">
        <v>1966</v>
      </c>
      <c r="G618" s="251" t="s">
        <v>2137</v>
      </c>
      <c r="H618" s="250">
        <v>23</v>
      </c>
      <c r="I618" s="250">
        <v>6</v>
      </c>
      <c r="J618" s="252">
        <v>10</v>
      </c>
      <c r="K618" s="253">
        <v>8</v>
      </c>
      <c r="L618" s="253">
        <v>4</v>
      </c>
      <c r="M618" s="253"/>
      <c r="N618" s="253"/>
      <c r="O618" s="254">
        <v>1840000</v>
      </c>
      <c r="P618" s="254">
        <v>14940000</v>
      </c>
      <c r="Q618" s="254">
        <v>10000000</v>
      </c>
      <c r="R618" s="255">
        <f t="shared" si="13"/>
        <v>26780000</v>
      </c>
      <c r="S618" s="256" t="s">
        <v>2138</v>
      </c>
      <c r="T618" s="257" t="s">
        <v>2135</v>
      </c>
      <c r="U618" s="258"/>
      <c r="V618" s="89"/>
      <c r="W618" s="90" t="s">
        <v>1028</v>
      </c>
      <c r="X618" s="81"/>
      <c r="Y618" s="81"/>
      <c r="Z618" s="81"/>
      <c r="AA618" s="81"/>
      <c r="AB618" s="81"/>
      <c r="AC618" s="81"/>
      <c r="AD618" s="81"/>
      <c r="AE618" s="81"/>
    </row>
    <row r="619" spans="1:31" s="1" customFormat="1" ht="27">
      <c r="A619" s="247">
        <v>618</v>
      </c>
      <c r="B619" s="248">
        <v>112</v>
      </c>
      <c r="C619" s="250" t="s">
        <v>178</v>
      </c>
      <c r="D619" s="250" t="s">
        <v>1565</v>
      </c>
      <c r="E619" s="251" t="s">
        <v>2139</v>
      </c>
      <c r="F619" s="251" t="s">
        <v>2140</v>
      </c>
      <c r="G619" s="251" t="s">
        <v>584</v>
      </c>
      <c r="H619" s="250">
        <v>40</v>
      </c>
      <c r="I619" s="250">
        <v>3.5</v>
      </c>
      <c r="J619" s="252">
        <v>15</v>
      </c>
      <c r="K619" s="253">
        <v>2</v>
      </c>
      <c r="L619" s="253">
        <v>4</v>
      </c>
      <c r="M619" s="253"/>
      <c r="N619" s="253"/>
      <c r="O619" s="254">
        <v>11500000</v>
      </c>
      <c r="P619" s="254">
        <v>18620000</v>
      </c>
      <c r="Q619" s="254">
        <v>500000</v>
      </c>
      <c r="R619" s="255">
        <f t="shared" si="13"/>
        <v>30620000</v>
      </c>
      <c r="S619" s="256" t="s">
        <v>2064</v>
      </c>
      <c r="T619" s="257" t="s">
        <v>2141</v>
      </c>
      <c r="U619" s="258"/>
      <c r="V619" s="89"/>
      <c r="W619" s="90" t="s">
        <v>1071</v>
      </c>
      <c r="X619" s="81"/>
      <c r="Y619" s="81"/>
      <c r="Z619" s="81"/>
      <c r="AA619" s="81"/>
      <c r="AB619" s="81"/>
      <c r="AC619" s="81"/>
      <c r="AD619" s="81"/>
      <c r="AE619" s="81"/>
    </row>
    <row r="620" spans="1:31" s="1" customFormat="1" ht="27">
      <c r="A620" s="247">
        <v>619</v>
      </c>
      <c r="B620" s="248">
        <v>112</v>
      </c>
      <c r="C620" s="250" t="s">
        <v>178</v>
      </c>
      <c r="D620" s="250" t="s">
        <v>1571</v>
      </c>
      <c r="E620" s="251" t="s">
        <v>2142</v>
      </c>
      <c r="F620" s="251" t="s">
        <v>2143</v>
      </c>
      <c r="G620" s="251"/>
      <c r="H620" s="250">
        <v>130</v>
      </c>
      <c r="I620" s="250">
        <v>5</v>
      </c>
      <c r="J620" s="252" t="s">
        <v>2144</v>
      </c>
      <c r="K620" s="253">
        <v>2</v>
      </c>
      <c r="L620" s="253">
        <v>2</v>
      </c>
      <c r="M620" s="253"/>
      <c r="N620" s="253"/>
      <c r="O620" s="254">
        <v>10000000</v>
      </c>
      <c r="P620" s="254">
        <v>0</v>
      </c>
      <c r="Q620" s="254">
        <v>0</v>
      </c>
      <c r="R620" s="255">
        <f t="shared" si="13"/>
        <v>10000000</v>
      </c>
      <c r="S620" s="256" t="s">
        <v>2138</v>
      </c>
      <c r="T620" s="257" t="s">
        <v>2145</v>
      </c>
      <c r="U620" s="258"/>
      <c r="V620" s="89"/>
      <c r="W620" s="90" t="s">
        <v>1028</v>
      </c>
      <c r="X620" s="81"/>
      <c r="Y620" s="81"/>
      <c r="Z620" s="81"/>
      <c r="AA620" s="81"/>
      <c r="AB620" s="81"/>
      <c r="AC620" s="81"/>
      <c r="AD620" s="81"/>
      <c r="AE620" s="81"/>
    </row>
    <row r="621" spans="1:31" s="1" customFormat="1" ht="27">
      <c r="A621" s="247">
        <v>620</v>
      </c>
      <c r="B621" s="248">
        <v>112</v>
      </c>
      <c r="C621" s="250" t="s">
        <v>2146</v>
      </c>
      <c r="D621" s="250" t="s">
        <v>1632</v>
      </c>
      <c r="E621" s="251" t="s">
        <v>2147</v>
      </c>
      <c r="F621" s="251" t="s">
        <v>2148</v>
      </c>
      <c r="G621" s="251"/>
      <c r="H621" s="250">
        <v>40</v>
      </c>
      <c r="I621" s="250">
        <v>4</v>
      </c>
      <c r="J621" s="252">
        <v>7</v>
      </c>
      <c r="K621" s="253">
        <v>0</v>
      </c>
      <c r="L621" s="250" t="s">
        <v>2149</v>
      </c>
      <c r="M621" s="253"/>
      <c r="N621" s="253"/>
      <c r="O621" s="254">
        <v>3020000</v>
      </c>
      <c r="P621" s="254">
        <v>0</v>
      </c>
      <c r="Q621" s="254">
        <v>0</v>
      </c>
      <c r="R621" s="255">
        <f t="shared" si="13"/>
        <v>3020000</v>
      </c>
      <c r="S621" s="256" t="s">
        <v>2058</v>
      </c>
      <c r="T621" s="257" t="s">
        <v>2150</v>
      </c>
      <c r="U621" s="258" t="s">
        <v>2151</v>
      </c>
      <c r="V621" s="89"/>
      <c r="W621" s="90" t="s">
        <v>2152</v>
      </c>
      <c r="X621" s="81"/>
      <c r="Y621" s="81"/>
      <c r="Z621" s="81"/>
      <c r="AA621" s="81"/>
      <c r="AB621" s="81"/>
      <c r="AC621" s="81"/>
      <c r="AD621" s="81"/>
      <c r="AE621" s="81"/>
    </row>
    <row r="622" spans="1:31" s="1" customFormat="1" ht="40.5">
      <c r="A622" s="247">
        <v>621</v>
      </c>
      <c r="B622" s="248">
        <v>112</v>
      </c>
      <c r="C622" s="249" t="s">
        <v>2153</v>
      </c>
      <c r="D622" s="250" t="s">
        <v>1632</v>
      </c>
      <c r="E622" s="251" t="s">
        <v>2154</v>
      </c>
      <c r="F622" s="251" t="s">
        <v>2062</v>
      </c>
      <c r="G622" s="251" t="s">
        <v>2063</v>
      </c>
      <c r="H622" s="250" t="s">
        <v>2155</v>
      </c>
      <c r="I622" s="250"/>
      <c r="J622" s="252"/>
      <c r="K622" s="253">
        <v>2</v>
      </c>
      <c r="L622" s="253">
        <v>1</v>
      </c>
      <c r="M622" s="253"/>
      <c r="N622" s="253"/>
      <c r="O622" s="254">
        <v>25000000</v>
      </c>
      <c r="P622" s="254">
        <v>30000000</v>
      </c>
      <c r="Q622" s="254">
        <v>0</v>
      </c>
      <c r="R622" s="255">
        <f t="shared" si="13"/>
        <v>55000000</v>
      </c>
      <c r="S622" s="256" t="s">
        <v>2064</v>
      </c>
      <c r="T622" s="257" t="s">
        <v>2156</v>
      </c>
      <c r="U622" s="258"/>
      <c r="V622" s="89"/>
      <c r="W622" s="90" t="s">
        <v>938</v>
      </c>
      <c r="X622" s="81"/>
      <c r="Y622" s="81"/>
      <c r="Z622" s="81"/>
      <c r="AA622" s="81"/>
      <c r="AB622" s="81"/>
      <c r="AC622" s="81"/>
      <c r="AD622" s="81"/>
      <c r="AE622" s="81"/>
    </row>
    <row r="623" spans="1:31" s="1" customFormat="1" ht="81">
      <c r="A623" s="247">
        <v>622</v>
      </c>
      <c r="B623" s="248">
        <v>112</v>
      </c>
      <c r="C623" s="249" t="s">
        <v>2153</v>
      </c>
      <c r="D623" s="250" t="s">
        <v>1627</v>
      </c>
      <c r="E623" s="251" t="s">
        <v>2157</v>
      </c>
      <c r="F623" s="251"/>
      <c r="G623" s="251"/>
      <c r="H623" s="250" t="s">
        <v>2158</v>
      </c>
      <c r="I623" s="250"/>
      <c r="J623" s="252"/>
      <c r="K623" s="253">
        <v>14</v>
      </c>
      <c r="L623" s="253">
        <v>4</v>
      </c>
      <c r="M623" s="253"/>
      <c r="N623" s="253"/>
      <c r="O623" s="254">
        <v>70000000</v>
      </c>
      <c r="P623" s="254">
        <v>350000000</v>
      </c>
      <c r="Q623" s="254">
        <v>0</v>
      </c>
      <c r="R623" s="255">
        <f t="shared" si="13"/>
        <v>420000000</v>
      </c>
      <c r="S623" s="256" t="s">
        <v>2077</v>
      </c>
      <c r="T623" s="257" t="s">
        <v>2159</v>
      </c>
      <c r="U623" s="258"/>
      <c r="V623" s="89"/>
      <c r="W623" s="90" t="s">
        <v>2160</v>
      </c>
      <c r="X623" s="81"/>
      <c r="Y623" s="81"/>
      <c r="Z623" s="81"/>
      <c r="AA623" s="81"/>
      <c r="AB623" s="81"/>
      <c r="AC623" s="81"/>
      <c r="AD623" s="81"/>
      <c r="AE623" s="81"/>
    </row>
    <row r="624" spans="1:31" s="1" customFormat="1" ht="40.5">
      <c r="A624" s="247">
        <v>623</v>
      </c>
      <c r="B624" s="248">
        <v>112</v>
      </c>
      <c r="C624" s="249" t="s">
        <v>2153</v>
      </c>
      <c r="D624" s="250" t="s">
        <v>1699</v>
      </c>
      <c r="E624" s="251" t="s">
        <v>2161</v>
      </c>
      <c r="F624" s="251" t="s">
        <v>2162</v>
      </c>
      <c r="G624" s="251" t="s">
        <v>2163</v>
      </c>
      <c r="H624" s="250" t="s">
        <v>2164</v>
      </c>
      <c r="I624" s="250"/>
      <c r="J624" s="252"/>
      <c r="K624" s="253">
        <v>4</v>
      </c>
      <c r="L624" s="253">
        <v>3</v>
      </c>
      <c r="M624" s="253"/>
      <c r="N624" s="253"/>
      <c r="O624" s="254">
        <v>21000000</v>
      </c>
      <c r="P624" s="254">
        <v>295000000</v>
      </c>
      <c r="Q624" s="254">
        <v>0</v>
      </c>
      <c r="R624" s="255">
        <f t="shared" si="13"/>
        <v>316000000</v>
      </c>
      <c r="S624" s="256" t="s">
        <v>2058</v>
      </c>
      <c r="T624" s="257" t="s">
        <v>2165</v>
      </c>
      <c r="U624" s="258"/>
      <c r="V624" s="89"/>
      <c r="W624" s="90" t="s">
        <v>2166</v>
      </c>
      <c r="X624" s="81"/>
      <c r="Y624" s="81"/>
      <c r="Z624" s="81"/>
      <c r="AA624" s="81"/>
      <c r="AB624" s="81"/>
      <c r="AC624" s="81"/>
      <c r="AD624" s="81"/>
      <c r="AE624" s="81"/>
    </row>
    <row r="625" spans="1:31" s="1" customFormat="1" ht="40.5">
      <c r="A625" s="247">
        <v>624</v>
      </c>
      <c r="B625" s="248">
        <v>112</v>
      </c>
      <c r="C625" s="249" t="s">
        <v>39</v>
      </c>
      <c r="D625" s="250" t="s">
        <v>1590</v>
      </c>
      <c r="E625" s="251" t="s">
        <v>2167</v>
      </c>
      <c r="F625" s="251" t="s">
        <v>2168</v>
      </c>
      <c r="G625" s="251" t="s">
        <v>2169</v>
      </c>
      <c r="H625" s="250">
        <v>450</v>
      </c>
      <c r="I625" s="250" t="s">
        <v>2170</v>
      </c>
      <c r="J625" s="252">
        <v>6</v>
      </c>
      <c r="K625" s="253">
        <v>16</v>
      </c>
      <c r="L625" s="253">
        <v>3</v>
      </c>
      <c r="M625" s="253"/>
      <c r="N625" s="253"/>
      <c r="O625" s="254"/>
      <c r="P625" s="254"/>
      <c r="Q625" s="254"/>
      <c r="R625" s="255">
        <f t="shared" si="13"/>
        <v>0</v>
      </c>
      <c r="S625" s="256" t="s">
        <v>2171</v>
      </c>
      <c r="T625" s="257" t="s">
        <v>2172</v>
      </c>
      <c r="U625" s="258"/>
      <c r="V625" s="89"/>
      <c r="W625" s="90" t="s">
        <v>1687</v>
      </c>
      <c r="X625" s="81"/>
      <c r="Y625" s="81"/>
      <c r="Z625" s="81"/>
      <c r="AA625" s="81"/>
      <c r="AB625" s="81"/>
      <c r="AC625" s="81"/>
      <c r="AD625" s="81"/>
      <c r="AE625" s="81"/>
    </row>
    <row r="626" spans="1:31" s="1" customFormat="1" ht="27">
      <c r="A626" s="247">
        <v>625</v>
      </c>
      <c r="B626" s="248">
        <v>112</v>
      </c>
      <c r="C626" s="249" t="s">
        <v>39</v>
      </c>
      <c r="D626" s="250" t="s">
        <v>1571</v>
      </c>
      <c r="E626" s="251" t="s">
        <v>2173</v>
      </c>
      <c r="F626" s="251" t="s">
        <v>2174</v>
      </c>
      <c r="G626" s="251" t="s">
        <v>2175</v>
      </c>
      <c r="H626" s="250">
        <v>325</v>
      </c>
      <c r="I626" s="250">
        <v>0</v>
      </c>
      <c r="J626" s="252">
        <v>12</v>
      </c>
      <c r="K626" s="253">
        <v>6</v>
      </c>
      <c r="L626" s="253">
        <v>10</v>
      </c>
      <c r="M626" s="253">
        <v>0</v>
      </c>
      <c r="N626" s="253">
        <v>3</v>
      </c>
      <c r="O626" s="254">
        <v>35700000</v>
      </c>
      <c r="P626" s="254">
        <v>14440000</v>
      </c>
      <c r="Q626" s="254">
        <v>3000000</v>
      </c>
      <c r="R626" s="255">
        <f t="shared" si="13"/>
        <v>53140000</v>
      </c>
      <c r="S626" s="256" t="s">
        <v>2176</v>
      </c>
      <c r="T626" s="257" t="s">
        <v>2177</v>
      </c>
      <c r="U626" s="258"/>
      <c r="V626" s="89"/>
      <c r="W626" s="90" t="s">
        <v>2178</v>
      </c>
      <c r="X626" s="81"/>
      <c r="Y626" s="81"/>
      <c r="Z626" s="81"/>
      <c r="AA626" s="81"/>
      <c r="AB626" s="81"/>
      <c r="AC626" s="81"/>
      <c r="AD626" s="81"/>
      <c r="AE626" s="81"/>
    </row>
    <row r="627" spans="1:31" s="1" customFormat="1" ht="40.5">
      <c r="A627" s="247">
        <v>626</v>
      </c>
      <c r="B627" s="248">
        <v>112</v>
      </c>
      <c r="C627" s="250" t="s">
        <v>178</v>
      </c>
      <c r="D627" s="250" t="s">
        <v>1632</v>
      </c>
      <c r="E627" s="251" t="s">
        <v>2179</v>
      </c>
      <c r="F627" s="251" t="s">
        <v>44</v>
      </c>
      <c r="G627" s="251" t="s">
        <v>2180</v>
      </c>
      <c r="H627" s="250">
        <v>35</v>
      </c>
      <c r="I627" s="250">
        <v>0</v>
      </c>
      <c r="J627" s="252">
        <v>10</v>
      </c>
      <c r="K627" s="253">
        <v>1</v>
      </c>
      <c r="L627" s="253">
        <v>6</v>
      </c>
      <c r="M627" s="253">
        <v>0</v>
      </c>
      <c r="N627" s="253">
        <v>3</v>
      </c>
      <c r="O627" s="254">
        <v>3500000</v>
      </c>
      <c r="P627" s="254">
        <v>64110000</v>
      </c>
      <c r="Q627" s="254">
        <v>6000000</v>
      </c>
      <c r="R627" s="255">
        <f t="shared" si="13"/>
        <v>73610000</v>
      </c>
      <c r="S627" s="256" t="s">
        <v>2181</v>
      </c>
      <c r="T627" s="257" t="s">
        <v>2065</v>
      </c>
      <c r="U627" s="258"/>
      <c r="V627" s="89"/>
      <c r="W627" s="90" t="s">
        <v>938</v>
      </c>
      <c r="X627" s="81"/>
      <c r="Y627" s="81"/>
      <c r="Z627" s="81"/>
      <c r="AA627" s="81"/>
      <c r="AB627" s="81"/>
      <c r="AC627" s="81"/>
      <c r="AD627" s="81"/>
      <c r="AE627" s="81"/>
    </row>
    <row r="628" spans="1:31" s="1" customFormat="1" ht="40.5">
      <c r="A628" s="247">
        <v>627</v>
      </c>
      <c r="B628" s="248">
        <v>112</v>
      </c>
      <c r="C628" s="250" t="s">
        <v>178</v>
      </c>
      <c r="D628" s="250" t="s">
        <v>1576</v>
      </c>
      <c r="E628" s="251" t="s">
        <v>2182</v>
      </c>
      <c r="F628" s="251" t="s">
        <v>2183</v>
      </c>
      <c r="G628" s="251" t="s">
        <v>2184</v>
      </c>
      <c r="H628" s="250">
        <v>150</v>
      </c>
      <c r="I628" s="250" t="s">
        <v>2185</v>
      </c>
      <c r="J628" s="252">
        <v>8</v>
      </c>
      <c r="K628" s="253">
        <v>1</v>
      </c>
      <c r="L628" s="253">
        <v>6</v>
      </c>
      <c r="M628" s="253">
        <v>0</v>
      </c>
      <c r="N628" s="253">
        <v>4</v>
      </c>
      <c r="O628" s="254">
        <v>12000000</v>
      </c>
      <c r="P628" s="254">
        <v>30080000</v>
      </c>
      <c r="Q628" s="254">
        <v>20000000</v>
      </c>
      <c r="R628" s="255">
        <f t="shared" si="13"/>
        <v>62080000</v>
      </c>
      <c r="S628" s="256" t="s">
        <v>2186</v>
      </c>
      <c r="T628" s="257" t="s">
        <v>2187</v>
      </c>
      <c r="U628" s="258"/>
      <c r="V628" s="89"/>
      <c r="W628" s="90" t="s">
        <v>2188</v>
      </c>
      <c r="X628" s="81"/>
      <c r="Y628" s="81"/>
      <c r="Z628" s="81"/>
      <c r="AA628" s="81"/>
      <c r="AB628" s="81"/>
      <c r="AC628" s="81"/>
      <c r="AD628" s="81"/>
      <c r="AE628" s="81"/>
    </row>
    <row r="629" spans="1:31" s="1" customFormat="1" ht="40.5">
      <c r="A629" s="247">
        <v>628</v>
      </c>
      <c r="B629" s="248">
        <v>112</v>
      </c>
      <c r="C629" s="250" t="s">
        <v>178</v>
      </c>
      <c r="D629" s="250" t="s">
        <v>2189</v>
      </c>
      <c r="E629" s="251" t="s">
        <v>2190</v>
      </c>
      <c r="F629" s="251" t="s">
        <v>2191</v>
      </c>
      <c r="G629" s="251" t="s">
        <v>1608</v>
      </c>
      <c r="H629" s="250">
        <v>155</v>
      </c>
      <c r="I629" s="250">
        <v>0</v>
      </c>
      <c r="J629" s="252">
        <v>15</v>
      </c>
      <c r="K629" s="253">
        <v>6</v>
      </c>
      <c r="L629" s="253">
        <v>6</v>
      </c>
      <c r="M629" s="253"/>
      <c r="N629" s="253"/>
      <c r="O629" s="254">
        <v>23250000</v>
      </c>
      <c r="P629" s="254">
        <v>103260000</v>
      </c>
      <c r="Q629" s="254">
        <v>1500000</v>
      </c>
      <c r="R629" s="255">
        <f t="shared" si="13"/>
        <v>128010000</v>
      </c>
      <c r="S629" s="256" t="s">
        <v>2171</v>
      </c>
      <c r="T629" s="257" t="s">
        <v>2192</v>
      </c>
      <c r="U629" s="258"/>
      <c r="V629" s="89"/>
      <c r="W629" s="90" t="s">
        <v>1246</v>
      </c>
      <c r="X629" s="81"/>
      <c r="Y629" s="81"/>
      <c r="Z629" s="81"/>
      <c r="AA629" s="81"/>
      <c r="AB629" s="81"/>
      <c r="AC629" s="81"/>
      <c r="AD629" s="81"/>
      <c r="AE629" s="81"/>
    </row>
    <row r="630" spans="1:31" s="1" customFormat="1" ht="40.5">
      <c r="A630" s="247">
        <v>629</v>
      </c>
      <c r="B630" s="248">
        <v>112</v>
      </c>
      <c r="C630" s="250" t="s">
        <v>178</v>
      </c>
      <c r="D630" s="250" t="s">
        <v>1565</v>
      </c>
      <c r="E630" s="251" t="s">
        <v>2193</v>
      </c>
      <c r="F630" s="251" t="s">
        <v>1607</v>
      </c>
      <c r="G630" s="251" t="s">
        <v>1608</v>
      </c>
      <c r="H630" s="250">
        <v>150</v>
      </c>
      <c r="I630" s="250">
        <v>0</v>
      </c>
      <c r="J630" s="252">
        <v>10</v>
      </c>
      <c r="K630" s="253">
        <v>1</v>
      </c>
      <c r="L630" s="253">
        <v>5</v>
      </c>
      <c r="M630" s="253"/>
      <c r="N630" s="253"/>
      <c r="O630" s="254">
        <v>15000000</v>
      </c>
      <c r="P630" s="254">
        <v>50360000</v>
      </c>
      <c r="Q630" s="254">
        <v>2000000</v>
      </c>
      <c r="R630" s="255">
        <f t="shared" si="13"/>
        <v>67360000</v>
      </c>
      <c r="S630" s="256" t="s">
        <v>2171</v>
      </c>
      <c r="T630" s="257" t="s">
        <v>2194</v>
      </c>
      <c r="U630" s="258"/>
      <c r="V630" s="89"/>
      <c r="W630" s="90" t="s">
        <v>1471</v>
      </c>
      <c r="X630" s="81"/>
      <c r="Y630" s="81"/>
      <c r="Z630" s="81"/>
      <c r="AA630" s="81"/>
      <c r="AB630" s="81"/>
      <c r="AC630" s="81"/>
      <c r="AD630" s="81"/>
      <c r="AE630" s="81"/>
    </row>
    <row r="631" spans="1:31" s="1" customFormat="1" ht="40.5">
      <c r="A631" s="247">
        <v>630</v>
      </c>
      <c r="B631" s="248">
        <v>112</v>
      </c>
      <c r="C631" s="250" t="s">
        <v>178</v>
      </c>
      <c r="D631" s="250" t="s">
        <v>1565</v>
      </c>
      <c r="E631" s="251" t="s">
        <v>2195</v>
      </c>
      <c r="F631" s="251" t="s">
        <v>2196</v>
      </c>
      <c r="G631" s="251" t="s">
        <v>2197</v>
      </c>
      <c r="H631" s="250">
        <v>370</v>
      </c>
      <c r="I631" s="250">
        <v>0</v>
      </c>
      <c r="J631" s="252">
        <v>15</v>
      </c>
      <c r="K631" s="253">
        <v>1</v>
      </c>
      <c r="L631" s="253">
        <v>13</v>
      </c>
      <c r="M631" s="253"/>
      <c r="N631" s="253"/>
      <c r="O631" s="254">
        <v>30000000</v>
      </c>
      <c r="P631" s="254">
        <v>263730000</v>
      </c>
      <c r="Q631" s="254">
        <v>8700000</v>
      </c>
      <c r="R631" s="255">
        <f t="shared" si="13"/>
        <v>302430000</v>
      </c>
      <c r="S631" s="256" t="s">
        <v>2171</v>
      </c>
      <c r="T631" s="257" t="s">
        <v>2198</v>
      </c>
      <c r="U631" s="258"/>
      <c r="V631" s="89"/>
      <c r="W631" s="90" t="s">
        <v>1246</v>
      </c>
      <c r="X631" s="81"/>
      <c r="Y631" s="81"/>
      <c r="Z631" s="81"/>
      <c r="AA631" s="81"/>
      <c r="AB631" s="81"/>
      <c r="AC631" s="81"/>
      <c r="AD631" s="81"/>
      <c r="AE631" s="81"/>
    </row>
    <row r="632" spans="1:31" s="1" customFormat="1" ht="54">
      <c r="A632" s="247">
        <v>631</v>
      </c>
      <c r="B632" s="248">
        <v>112</v>
      </c>
      <c r="C632" s="250" t="s">
        <v>178</v>
      </c>
      <c r="D632" s="250" t="s">
        <v>1565</v>
      </c>
      <c r="E632" s="251" t="s">
        <v>2199</v>
      </c>
      <c r="F632" s="251" t="s">
        <v>2200</v>
      </c>
      <c r="G632" s="251" t="s">
        <v>2201</v>
      </c>
      <c r="H632" s="250">
        <v>860</v>
      </c>
      <c r="I632" s="250">
        <v>0</v>
      </c>
      <c r="J632" s="252">
        <v>15</v>
      </c>
      <c r="K632" s="253">
        <v>16</v>
      </c>
      <c r="L632" s="253">
        <v>31</v>
      </c>
      <c r="M632" s="253"/>
      <c r="N632" s="253"/>
      <c r="O632" s="254">
        <v>150000000</v>
      </c>
      <c r="P632" s="254">
        <v>200000000</v>
      </c>
      <c r="Q632" s="254">
        <v>20000000</v>
      </c>
      <c r="R632" s="255">
        <f t="shared" si="13"/>
        <v>370000000</v>
      </c>
      <c r="S632" s="256" t="s">
        <v>2186</v>
      </c>
      <c r="T632" s="257" t="s">
        <v>2202</v>
      </c>
      <c r="U632" s="258"/>
      <c r="V632" s="89"/>
      <c r="W632" s="90" t="s">
        <v>2203</v>
      </c>
      <c r="X632" s="81"/>
      <c r="Y632" s="81"/>
      <c r="Z632" s="81"/>
      <c r="AA632" s="81"/>
      <c r="AB632" s="81"/>
      <c r="AC632" s="81"/>
      <c r="AD632" s="81"/>
      <c r="AE632" s="81"/>
    </row>
    <row r="633" spans="1:31" s="1" customFormat="1" ht="40.5">
      <c r="A633" s="247">
        <v>632</v>
      </c>
      <c r="B633" s="248">
        <v>112</v>
      </c>
      <c r="C633" s="250" t="s">
        <v>178</v>
      </c>
      <c r="D633" s="250" t="s">
        <v>1565</v>
      </c>
      <c r="E633" s="251" t="s">
        <v>2204</v>
      </c>
      <c r="F633" s="251" t="s">
        <v>399</v>
      </c>
      <c r="G633" s="251" t="s">
        <v>2205</v>
      </c>
      <c r="H633" s="250">
        <v>1730</v>
      </c>
      <c r="I633" s="250" t="s">
        <v>1412</v>
      </c>
      <c r="J633" s="252">
        <v>6</v>
      </c>
      <c r="K633" s="253">
        <v>70</v>
      </c>
      <c r="L633" s="253">
        <v>34</v>
      </c>
      <c r="M633" s="253">
        <v>4</v>
      </c>
      <c r="N633" s="253"/>
      <c r="O633" s="254">
        <v>142000000</v>
      </c>
      <c r="P633" s="254">
        <v>29000000</v>
      </c>
      <c r="Q633" s="254">
        <v>800000</v>
      </c>
      <c r="R633" s="255">
        <f t="shared" si="13"/>
        <v>171800000</v>
      </c>
      <c r="S633" s="256" t="s">
        <v>2171</v>
      </c>
      <c r="T633" s="257" t="s">
        <v>2206</v>
      </c>
      <c r="U633" s="258"/>
      <c r="V633" s="89"/>
      <c r="W633" s="90" t="s">
        <v>1246</v>
      </c>
      <c r="X633" s="81"/>
      <c r="Y633" s="81"/>
      <c r="Z633" s="81"/>
      <c r="AA633" s="81"/>
      <c r="AB633" s="81"/>
      <c r="AC633" s="81"/>
      <c r="AD633" s="81"/>
      <c r="AE633" s="81"/>
    </row>
    <row r="634" spans="1:31" s="1" customFormat="1" ht="81">
      <c r="A634" s="247">
        <v>633</v>
      </c>
      <c r="B634" s="248">
        <v>112</v>
      </c>
      <c r="C634" s="250" t="s">
        <v>178</v>
      </c>
      <c r="D634" s="250" t="s">
        <v>1894</v>
      </c>
      <c r="E634" s="251" t="s">
        <v>2207</v>
      </c>
      <c r="F634" s="251" t="s">
        <v>2208</v>
      </c>
      <c r="G634" s="251" t="s">
        <v>2209</v>
      </c>
      <c r="H634" s="250">
        <v>2930</v>
      </c>
      <c r="I634" s="250">
        <v>10</v>
      </c>
      <c r="J634" s="252">
        <v>15</v>
      </c>
      <c r="K634" s="253">
        <v>62</v>
      </c>
      <c r="L634" s="253">
        <v>98</v>
      </c>
      <c r="M634" s="253">
        <v>2</v>
      </c>
      <c r="N634" s="253">
        <v>38</v>
      </c>
      <c r="O634" s="254">
        <v>403660000</v>
      </c>
      <c r="P634" s="254">
        <v>160460000</v>
      </c>
      <c r="Q634" s="254">
        <v>100000000</v>
      </c>
      <c r="R634" s="255">
        <f t="shared" si="13"/>
        <v>664120000</v>
      </c>
      <c r="S634" s="256" t="s">
        <v>2210</v>
      </c>
      <c r="T634" s="257" t="s">
        <v>2211</v>
      </c>
      <c r="U634" s="258"/>
      <c r="V634" s="89"/>
      <c r="W634" s="90" t="s">
        <v>2212</v>
      </c>
      <c r="X634" s="81"/>
      <c r="Y634" s="81"/>
      <c r="Z634" s="81"/>
      <c r="AA634" s="81"/>
      <c r="AB634" s="81"/>
      <c r="AC634" s="81"/>
      <c r="AD634" s="81"/>
      <c r="AE634" s="81"/>
    </row>
    <row r="635" spans="1:31" s="1" customFormat="1" ht="67.5">
      <c r="A635" s="247">
        <v>634</v>
      </c>
      <c r="B635" s="248">
        <v>112</v>
      </c>
      <c r="C635" s="250" t="s">
        <v>178</v>
      </c>
      <c r="D635" s="250" t="s">
        <v>1590</v>
      </c>
      <c r="E635" s="251" t="s">
        <v>2213</v>
      </c>
      <c r="F635" s="251" t="s">
        <v>2214</v>
      </c>
      <c r="G635" s="251" t="s">
        <v>2215</v>
      </c>
      <c r="H635" s="250">
        <v>800</v>
      </c>
      <c r="I635" s="250">
        <v>10</v>
      </c>
      <c r="J635" s="252">
        <v>15</v>
      </c>
      <c r="K635" s="253">
        <v>14</v>
      </c>
      <c r="L635" s="250" t="s">
        <v>2216</v>
      </c>
      <c r="M635" s="253"/>
      <c r="N635" s="253"/>
      <c r="O635" s="254">
        <v>132000000</v>
      </c>
      <c r="P635" s="254">
        <v>52000000</v>
      </c>
      <c r="Q635" s="254">
        <v>0</v>
      </c>
      <c r="R635" s="255">
        <f t="shared" si="13"/>
        <v>184000000</v>
      </c>
      <c r="S635" s="256" t="s">
        <v>2186</v>
      </c>
      <c r="T635" s="257" t="s">
        <v>2217</v>
      </c>
      <c r="U635" s="258"/>
      <c r="V635" s="89"/>
      <c r="W635" s="90" t="s">
        <v>2218</v>
      </c>
      <c r="X635" s="81"/>
      <c r="Y635" s="81"/>
      <c r="Z635" s="81"/>
      <c r="AA635" s="81"/>
      <c r="AB635" s="81"/>
      <c r="AC635" s="81"/>
      <c r="AD635" s="81"/>
      <c r="AE635" s="81"/>
    </row>
    <row r="636" spans="1:31" s="1" customFormat="1" ht="54">
      <c r="A636" s="247">
        <v>635</v>
      </c>
      <c r="B636" s="248">
        <v>112</v>
      </c>
      <c r="C636" s="250" t="s">
        <v>178</v>
      </c>
      <c r="D636" s="250" t="s">
        <v>1590</v>
      </c>
      <c r="E636" s="251" t="s">
        <v>2219</v>
      </c>
      <c r="F636" s="251" t="s">
        <v>517</v>
      </c>
      <c r="G636" s="251" t="s">
        <v>2220</v>
      </c>
      <c r="H636" s="250">
        <v>1250</v>
      </c>
      <c r="I636" s="250" t="s">
        <v>254</v>
      </c>
      <c r="J636" s="252">
        <v>12</v>
      </c>
      <c r="K636" s="253">
        <v>22</v>
      </c>
      <c r="L636" s="253">
        <v>76</v>
      </c>
      <c r="M636" s="253">
        <v>1</v>
      </c>
      <c r="N636" s="253">
        <v>2</v>
      </c>
      <c r="O636" s="254">
        <v>200000000</v>
      </c>
      <c r="P636" s="254">
        <v>200000000</v>
      </c>
      <c r="Q636" s="254">
        <v>50000000</v>
      </c>
      <c r="R636" s="255">
        <f t="shared" si="13"/>
        <v>450000000</v>
      </c>
      <c r="S636" s="256" t="s">
        <v>2171</v>
      </c>
      <c r="T636" s="257" t="s">
        <v>2221</v>
      </c>
      <c r="U636" s="258"/>
      <c r="V636" s="89"/>
      <c r="W636" s="90" t="s">
        <v>2222</v>
      </c>
      <c r="X636" s="81"/>
      <c r="Y636" s="81"/>
      <c r="Z636" s="81"/>
      <c r="AA636" s="81"/>
      <c r="AB636" s="81"/>
      <c r="AC636" s="81"/>
      <c r="AD636" s="81"/>
      <c r="AE636" s="81"/>
    </row>
    <row r="637" spans="1:31" s="1" customFormat="1" ht="54">
      <c r="A637" s="247">
        <v>636</v>
      </c>
      <c r="B637" s="248">
        <v>112</v>
      </c>
      <c r="C637" s="250" t="s">
        <v>178</v>
      </c>
      <c r="D637" s="250" t="s">
        <v>1636</v>
      </c>
      <c r="E637" s="251" t="s">
        <v>2223</v>
      </c>
      <c r="F637" s="251" t="s">
        <v>1638</v>
      </c>
      <c r="G637" s="251" t="s">
        <v>2224</v>
      </c>
      <c r="H637" s="250">
        <v>803</v>
      </c>
      <c r="I637" s="250">
        <v>12</v>
      </c>
      <c r="J637" s="252">
        <v>20</v>
      </c>
      <c r="K637" s="253">
        <v>0</v>
      </c>
      <c r="L637" s="250" t="s">
        <v>2225</v>
      </c>
      <c r="M637" s="253">
        <v>3</v>
      </c>
      <c r="N637" s="253">
        <v>1</v>
      </c>
      <c r="O637" s="254">
        <v>170000000</v>
      </c>
      <c r="P637" s="254">
        <v>130000000</v>
      </c>
      <c r="Q637" s="254">
        <v>110000000</v>
      </c>
      <c r="R637" s="255">
        <f t="shared" si="13"/>
        <v>410000000</v>
      </c>
      <c r="S637" s="256" t="s">
        <v>2176</v>
      </c>
      <c r="T637" s="257" t="s">
        <v>2226</v>
      </c>
      <c r="U637" s="258"/>
      <c r="V637" s="89"/>
      <c r="W637" s="90" t="s">
        <v>2227</v>
      </c>
      <c r="X637" s="81"/>
      <c r="Y637" s="81"/>
      <c r="Z637" s="81"/>
      <c r="AA637" s="81"/>
      <c r="AB637" s="81"/>
      <c r="AC637" s="81"/>
      <c r="AD637" s="81"/>
      <c r="AE637" s="81"/>
    </row>
    <row r="638" spans="1:31" s="1" customFormat="1" ht="67.5">
      <c r="A638" s="247">
        <v>637</v>
      </c>
      <c r="B638" s="248">
        <v>112</v>
      </c>
      <c r="C638" s="250" t="s">
        <v>178</v>
      </c>
      <c r="D638" s="250" t="s">
        <v>1636</v>
      </c>
      <c r="E638" s="251" t="s">
        <v>2228</v>
      </c>
      <c r="F638" s="251" t="s">
        <v>2229</v>
      </c>
      <c r="G638" s="251" t="s">
        <v>1639</v>
      </c>
      <c r="H638" s="250">
        <v>980</v>
      </c>
      <c r="I638" s="250" t="s">
        <v>2230</v>
      </c>
      <c r="J638" s="252">
        <v>20</v>
      </c>
      <c r="K638" s="253"/>
      <c r="L638" s="253"/>
      <c r="M638" s="253"/>
      <c r="N638" s="253"/>
      <c r="O638" s="254">
        <v>200000000</v>
      </c>
      <c r="P638" s="254">
        <v>140000000</v>
      </c>
      <c r="Q638" s="254">
        <v>15000000</v>
      </c>
      <c r="R638" s="255">
        <f t="shared" si="13"/>
        <v>355000000</v>
      </c>
      <c r="S638" s="256" t="s">
        <v>2171</v>
      </c>
      <c r="T638" s="257" t="s">
        <v>2231</v>
      </c>
      <c r="U638" s="258"/>
      <c r="V638" s="89"/>
      <c r="W638" s="90" t="s">
        <v>2227</v>
      </c>
      <c r="X638" s="81"/>
      <c r="Y638" s="81"/>
      <c r="Z638" s="81"/>
      <c r="AA638" s="81"/>
      <c r="AB638" s="81"/>
      <c r="AC638" s="81"/>
      <c r="AD638" s="81"/>
      <c r="AE638" s="81"/>
    </row>
    <row r="639" spans="1:31" s="1" customFormat="1" ht="40.5">
      <c r="A639" s="247">
        <v>638</v>
      </c>
      <c r="B639" s="248">
        <v>112</v>
      </c>
      <c r="C639" s="250" t="s">
        <v>178</v>
      </c>
      <c r="D639" s="250" t="s">
        <v>1598</v>
      </c>
      <c r="E639" s="251" t="s">
        <v>2232</v>
      </c>
      <c r="F639" s="251" t="s">
        <v>2233</v>
      </c>
      <c r="G639" s="251"/>
      <c r="H639" s="250">
        <v>195</v>
      </c>
      <c r="I639" s="250" t="s">
        <v>243</v>
      </c>
      <c r="J639" s="252">
        <v>15</v>
      </c>
      <c r="K639" s="253">
        <v>1</v>
      </c>
      <c r="L639" s="253">
        <v>4</v>
      </c>
      <c r="M639" s="253"/>
      <c r="N639" s="253"/>
      <c r="O639" s="254">
        <v>31350000</v>
      </c>
      <c r="P639" s="254">
        <v>109320000</v>
      </c>
      <c r="Q639" s="254"/>
      <c r="R639" s="255">
        <f t="shared" si="13"/>
        <v>140670000</v>
      </c>
      <c r="S639" s="256" t="s">
        <v>2210</v>
      </c>
      <c r="T639" s="257" t="s">
        <v>2234</v>
      </c>
      <c r="U639" s="258"/>
      <c r="V639" s="89"/>
      <c r="W639" s="90" t="s">
        <v>2235</v>
      </c>
      <c r="X639" s="81"/>
      <c r="Y639" s="81"/>
      <c r="Z639" s="81"/>
      <c r="AA639" s="81"/>
      <c r="AB639" s="81"/>
      <c r="AC639" s="81"/>
      <c r="AD639" s="81"/>
      <c r="AE639" s="81"/>
    </row>
    <row r="640" spans="1:31" s="1" customFormat="1" ht="40.5">
      <c r="A640" s="247">
        <v>639</v>
      </c>
      <c r="B640" s="248">
        <v>112</v>
      </c>
      <c r="C640" s="250" t="s">
        <v>178</v>
      </c>
      <c r="D640" s="250" t="s">
        <v>1699</v>
      </c>
      <c r="E640" s="251" t="s">
        <v>2236</v>
      </c>
      <c r="F640" s="251" t="s">
        <v>2237</v>
      </c>
      <c r="G640" s="251" t="s">
        <v>2238</v>
      </c>
      <c r="H640" s="250">
        <v>215</v>
      </c>
      <c r="I640" s="250" t="s">
        <v>2239</v>
      </c>
      <c r="J640" s="252">
        <v>6</v>
      </c>
      <c r="K640" s="253">
        <v>3</v>
      </c>
      <c r="L640" s="253">
        <v>7</v>
      </c>
      <c r="M640" s="250" t="s">
        <v>2240</v>
      </c>
      <c r="N640" s="253">
        <v>0</v>
      </c>
      <c r="O640" s="254">
        <v>9600000</v>
      </c>
      <c r="P640" s="254">
        <v>13100000</v>
      </c>
      <c r="Q640" s="254">
        <v>2140000</v>
      </c>
      <c r="R640" s="255">
        <f t="shared" si="13"/>
        <v>24840000</v>
      </c>
      <c r="S640" s="256" t="s">
        <v>2171</v>
      </c>
      <c r="T640" s="257" t="s">
        <v>2241</v>
      </c>
      <c r="U640" s="258"/>
      <c r="V640" s="89"/>
      <c r="W640" s="90" t="s">
        <v>1381</v>
      </c>
      <c r="X640" s="81"/>
      <c r="Y640" s="81"/>
      <c r="Z640" s="81"/>
      <c r="AA640" s="81"/>
      <c r="AB640" s="81"/>
      <c r="AC640" s="81"/>
      <c r="AD640" s="81"/>
      <c r="AE640" s="81"/>
    </row>
    <row r="641" spans="1:31" s="1" customFormat="1" ht="54">
      <c r="A641" s="247">
        <v>640</v>
      </c>
      <c r="B641" s="248">
        <v>112</v>
      </c>
      <c r="C641" s="250" t="s">
        <v>39</v>
      </c>
      <c r="D641" s="250" t="s">
        <v>1558</v>
      </c>
      <c r="E641" s="251" t="s">
        <v>2242</v>
      </c>
      <c r="F641" s="251" t="s">
        <v>2243</v>
      </c>
      <c r="G641" s="251" t="s">
        <v>2244</v>
      </c>
      <c r="H641" s="250">
        <v>90</v>
      </c>
      <c r="I641" s="250">
        <v>2</v>
      </c>
      <c r="J641" s="252">
        <v>4</v>
      </c>
      <c r="K641" s="253">
        <v>1</v>
      </c>
      <c r="L641" s="253">
        <v>2</v>
      </c>
      <c r="M641" s="253">
        <v>0</v>
      </c>
      <c r="N641" s="253">
        <v>1</v>
      </c>
      <c r="O641" s="254">
        <v>3600000</v>
      </c>
      <c r="P641" s="254">
        <v>13000000</v>
      </c>
      <c r="Q641" s="254"/>
      <c r="R641" s="255">
        <f t="shared" si="13"/>
        <v>16600000</v>
      </c>
      <c r="S641" s="256" t="s">
        <v>2245</v>
      </c>
      <c r="T641" s="257" t="s">
        <v>2246</v>
      </c>
      <c r="U641" s="258"/>
      <c r="V641" s="89"/>
      <c r="W641" s="90" t="s">
        <v>1671</v>
      </c>
      <c r="X641" s="81"/>
      <c r="Y641" s="81"/>
      <c r="Z641" s="81"/>
      <c r="AA641" s="81"/>
      <c r="AB641" s="81"/>
      <c r="AC641" s="81"/>
      <c r="AD641" s="81"/>
      <c r="AE641" s="81"/>
    </row>
    <row r="642" spans="1:31" s="1" customFormat="1" ht="40.5">
      <c r="A642" s="247">
        <v>641</v>
      </c>
      <c r="B642" s="248">
        <v>112</v>
      </c>
      <c r="C642" s="250" t="s">
        <v>178</v>
      </c>
      <c r="D642" s="250" t="s">
        <v>1632</v>
      </c>
      <c r="E642" s="251" t="s">
        <v>2247</v>
      </c>
      <c r="F642" s="251" t="s">
        <v>961</v>
      </c>
      <c r="G642" s="251" t="s">
        <v>962</v>
      </c>
      <c r="H642" s="250">
        <v>335</v>
      </c>
      <c r="I642" s="250" t="s">
        <v>963</v>
      </c>
      <c r="J642" s="252">
        <v>20</v>
      </c>
      <c r="K642" s="253">
        <v>3</v>
      </c>
      <c r="L642" s="253">
        <v>20</v>
      </c>
      <c r="M642" s="253">
        <v>11</v>
      </c>
      <c r="N642" s="253">
        <v>6</v>
      </c>
      <c r="O642" s="254">
        <v>26800000</v>
      </c>
      <c r="P642" s="254">
        <v>276390000</v>
      </c>
      <c r="Q642" s="254">
        <v>75080000</v>
      </c>
      <c r="R642" s="255">
        <f t="shared" si="13"/>
        <v>378270000</v>
      </c>
      <c r="S642" s="256" t="s">
        <v>2248</v>
      </c>
      <c r="T642" s="257" t="s">
        <v>2249</v>
      </c>
      <c r="U642" s="258"/>
      <c r="V642" s="89"/>
      <c r="W642" s="90" t="s">
        <v>2250</v>
      </c>
      <c r="X642" s="81"/>
      <c r="Y642" s="81"/>
      <c r="Z642" s="81"/>
      <c r="AA642" s="81"/>
      <c r="AB642" s="81"/>
      <c r="AC642" s="81"/>
      <c r="AD642" s="81"/>
      <c r="AE642" s="81"/>
    </row>
    <row r="643" spans="1:31" s="1" customFormat="1" ht="40.5">
      <c r="A643" s="247">
        <v>642</v>
      </c>
      <c r="B643" s="248">
        <v>112</v>
      </c>
      <c r="C643" s="250" t="s">
        <v>178</v>
      </c>
      <c r="D643" s="250" t="s">
        <v>1627</v>
      </c>
      <c r="E643" s="251" t="s">
        <v>2251</v>
      </c>
      <c r="F643" s="251" t="s">
        <v>332</v>
      </c>
      <c r="G643" s="251" t="s">
        <v>333</v>
      </c>
      <c r="H643" s="250">
        <v>155</v>
      </c>
      <c r="I643" s="250">
        <v>3</v>
      </c>
      <c r="J643" s="252">
        <v>8</v>
      </c>
      <c r="K643" s="253">
        <v>0</v>
      </c>
      <c r="L643" s="253">
        <v>4</v>
      </c>
      <c r="M643" s="253">
        <v>0</v>
      </c>
      <c r="N643" s="253">
        <v>1</v>
      </c>
      <c r="O643" s="254">
        <v>12400000</v>
      </c>
      <c r="P643" s="254">
        <v>66960000</v>
      </c>
      <c r="Q643" s="254"/>
      <c r="R643" s="255">
        <f t="shared" si="13"/>
        <v>79360000</v>
      </c>
      <c r="S643" s="256" t="s">
        <v>2248</v>
      </c>
      <c r="T643" s="257" t="s">
        <v>2252</v>
      </c>
      <c r="U643" s="258"/>
      <c r="V643" s="89"/>
      <c r="W643" s="90" t="s">
        <v>1726</v>
      </c>
      <c r="X643" s="81"/>
      <c r="Y643" s="81"/>
      <c r="Z643" s="81"/>
      <c r="AA643" s="81"/>
      <c r="AB643" s="81"/>
      <c r="AC643" s="81"/>
      <c r="AD643" s="81"/>
      <c r="AE643" s="81"/>
    </row>
    <row r="644" spans="1:31" s="1" customFormat="1" ht="40.5">
      <c r="A644" s="247">
        <v>643</v>
      </c>
      <c r="B644" s="248">
        <v>112</v>
      </c>
      <c r="C644" s="250" t="s">
        <v>178</v>
      </c>
      <c r="D644" s="250" t="s">
        <v>1558</v>
      </c>
      <c r="E644" s="251" t="s">
        <v>2253</v>
      </c>
      <c r="F644" s="251" t="s">
        <v>514</v>
      </c>
      <c r="G644" s="251" t="s">
        <v>2254</v>
      </c>
      <c r="H644" s="250">
        <v>650</v>
      </c>
      <c r="I644" s="250" t="s">
        <v>51</v>
      </c>
      <c r="J644" s="252">
        <v>8</v>
      </c>
      <c r="K644" s="253">
        <v>17</v>
      </c>
      <c r="L644" s="253">
        <v>46</v>
      </c>
      <c r="M644" s="253">
        <v>0</v>
      </c>
      <c r="N644" s="253">
        <v>0</v>
      </c>
      <c r="O644" s="254">
        <v>42000000</v>
      </c>
      <c r="P644" s="254">
        <v>80000000</v>
      </c>
      <c r="Q644" s="254">
        <v>2000000</v>
      </c>
      <c r="R644" s="255">
        <f t="shared" si="13"/>
        <v>124000000</v>
      </c>
      <c r="S644" s="256" t="s">
        <v>2248</v>
      </c>
      <c r="T644" s="257" t="s">
        <v>2255</v>
      </c>
      <c r="U644" s="258"/>
      <c r="V644" s="89"/>
      <c r="W644" s="90" t="s">
        <v>1671</v>
      </c>
      <c r="X644" s="81"/>
      <c r="Y644" s="81"/>
      <c r="Z644" s="81"/>
      <c r="AA644" s="81"/>
      <c r="AB644" s="81"/>
      <c r="AC644" s="81"/>
      <c r="AD644" s="81"/>
      <c r="AE644" s="81"/>
    </row>
    <row r="645" spans="1:31" s="1" customFormat="1" ht="40.5">
      <c r="A645" s="247">
        <v>644</v>
      </c>
      <c r="B645" s="248">
        <v>112</v>
      </c>
      <c r="C645" s="250" t="s">
        <v>178</v>
      </c>
      <c r="D645" s="250" t="s">
        <v>1565</v>
      </c>
      <c r="E645" s="251" t="s">
        <v>2256</v>
      </c>
      <c r="F645" s="251" t="s">
        <v>1073</v>
      </c>
      <c r="G645" s="251" t="s">
        <v>1996</v>
      </c>
      <c r="H645" s="250">
        <v>292</v>
      </c>
      <c r="I645" s="250">
        <v>0</v>
      </c>
      <c r="J645" s="252">
        <v>15</v>
      </c>
      <c r="K645" s="253">
        <v>3</v>
      </c>
      <c r="L645" s="253">
        <v>4</v>
      </c>
      <c r="M645" s="253">
        <v>0</v>
      </c>
      <c r="N645" s="253">
        <v>3</v>
      </c>
      <c r="O645" s="254">
        <v>44000000</v>
      </c>
      <c r="P645" s="254">
        <v>178810000</v>
      </c>
      <c r="Q645" s="254">
        <v>12460000</v>
      </c>
      <c r="R645" s="255">
        <f t="shared" si="13"/>
        <v>235270000</v>
      </c>
      <c r="S645" s="256" t="s">
        <v>2248</v>
      </c>
      <c r="T645" s="257" t="s">
        <v>2257</v>
      </c>
      <c r="U645" s="258"/>
      <c r="V645" s="89"/>
      <c r="W645" s="90" t="s">
        <v>2258</v>
      </c>
      <c r="X645" s="81"/>
      <c r="Y645" s="81"/>
      <c r="Z645" s="81"/>
      <c r="AA645" s="81"/>
      <c r="AB645" s="81"/>
      <c r="AC645" s="81"/>
      <c r="AD645" s="81"/>
      <c r="AE645" s="81"/>
    </row>
    <row r="646" spans="1:31" s="1" customFormat="1" ht="54">
      <c r="A646" s="247">
        <v>645</v>
      </c>
      <c r="B646" s="248">
        <v>112</v>
      </c>
      <c r="C646" s="250" t="s">
        <v>178</v>
      </c>
      <c r="D646" s="250" t="s">
        <v>1565</v>
      </c>
      <c r="E646" s="251" t="s">
        <v>2259</v>
      </c>
      <c r="F646" s="251" t="s">
        <v>2260</v>
      </c>
      <c r="G646" s="251" t="s">
        <v>2261</v>
      </c>
      <c r="H646" s="250">
        <v>1840</v>
      </c>
      <c r="I646" s="250" t="s">
        <v>1207</v>
      </c>
      <c r="J646" s="252" t="s">
        <v>2262</v>
      </c>
      <c r="K646" s="253">
        <v>19</v>
      </c>
      <c r="L646" s="253">
        <v>35</v>
      </c>
      <c r="M646" s="253">
        <v>26</v>
      </c>
      <c r="N646" s="253">
        <v>5</v>
      </c>
      <c r="O646" s="254">
        <v>360000000</v>
      </c>
      <c r="P646" s="254">
        <v>1350000000</v>
      </c>
      <c r="Q646" s="254">
        <v>150000000</v>
      </c>
      <c r="R646" s="255">
        <f t="shared" si="13"/>
        <v>1860000000</v>
      </c>
      <c r="S646" s="256" t="s">
        <v>2248</v>
      </c>
      <c r="T646" s="257" t="s">
        <v>2263</v>
      </c>
      <c r="U646" s="258"/>
      <c r="V646" s="89"/>
      <c r="W646" s="90" t="s">
        <v>2264</v>
      </c>
      <c r="X646" s="81"/>
      <c r="Y646" s="81"/>
      <c r="Z646" s="81"/>
      <c r="AA646" s="81"/>
      <c r="AB646" s="81"/>
      <c r="AC646" s="81"/>
      <c r="AD646" s="81"/>
      <c r="AE646" s="81"/>
    </row>
    <row r="647" spans="1:31" s="1" customFormat="1" ht="40.5">
      <c r="A647" s="247">
        <v>646</v>
      </c>
      <c r="B647" s="248">
        <v>112</v>
      </c>
      <c r="C647" s="250" t="s">
        <v>178</v>
      </c>
      <c r="D647" s="250" t="s">
        <v>1565</v>
      </c>
      <c r="E647" s="251" t="s">
        <v>2265</v>
      </c>
      <c r="F647" s="251" t="s">
        <v>1996</v>
      </c>
      <c r="G647" s="251" t="s">
        <v>259</v>
      </c>
      <c r="H647" s="250">
        <v>85</v>
      </c>
      <c r="I647" s="250">
        <v>0</v>
      </c>
      <c r="J647" s="252">
        <v>15</v>
      </c>
      <c r="K647" s="253">
        <v>0</v>
      </c>
      <c r="L647" s="253">
        <v>7</v>
      </c>
      <c r="M647" s="253">
        <v>1</v>
      </c>
      <c r="N647" s="253">
        <v>3</v>
      </c>
      <c r="O647" s="254">
        <v>10780000</v>
      </c>
      <c r="P647" s="254">
        <v>71160000</v>
      </c>
      <c r="Q647" s="254">
        <v>10000000</v>
      </c>
      <c r="R647" s="255">
        <f t="shared" si="13"/>
        <v>91940000</v>
      </c>
      <c r="S647" s="256" t="s">
        <v>2248</v>
      </c>
      <c r="T647" s="257" t="s">
        <v>2266</v>
      </c>
      <c r="U647" s="258"/>
      <c r="V647" s="89"/>
      <c r="W647" s="90" t="s">
        <v>1471</v>
      </c>
      <c r="X647" s="81"/>
      <c r="Y647" s="81"/>
      <c r="Z647" s="81"/>
      <c r="AA647" s="81"/>
      <c r="AB647" s="81"/>
      <c r="AC647" s="81"/>
      <c r="AD647" s="81"/>
      <c r="AE647" s="81"/>
    </row>
    <row r="648" spans="1:31" s="1" customFormat="1" ht="54">
      <c r="A648" s="247">
        <v>647</v>
      </c>
      <c r="B648" s="248">
        <v>112</v>
      </c>
      <c r="C648" s="250" t="s">
        <v>178</v>
      </c>
      <c r="D648" s="250" t="s">
        <v>1565</v>
      </c>
      <c r="E648" s="251" t="s">
        <v>2267</v>
      </c>
      <c r="F648" s="251" t="s">
        <v>2268</v>
      </c>
      <c r="G648" s="251" t="s">
        <v>2269</v>
      </c>
      <c r="H648" s="250">
        <v>270</v>
      </c>
      <c r="I648" s="250">
        <v>7</v>
      </c>
      <c r="J648" s="252">
        <v>12</v>
      </c>
      <c r="K648" s="253">
        <v>3</v>
      </c>
      <c r="L648" s="253">
        <v>11</v>
      </c>
      <c r="M648" s="253">
        <v>9</v>
      </c>
      <c r="N648" s="253">
        <v>4</v>
      </c>
      <c r="O648" s="254">
        <v>15500000</v>
      </c>
      <c r="P648" s="254">
        <v>7980000</v>
      </c>
      <c r="Q648" s="254">
        <v>9790000</v>
      </c>
      <c r="R648" s="255">
        <f t="shared" si="13"/>
        <v>33270000</v>
      </c>
      <c r="S648" s="256" t="s">
        <v>2248</v>
      </c>
      <c r="T648" s="260" t="s">
        <v>2270</v>
      </c>
      <c r="U648" s="261"/>
      <c r="V648" s="89"/>
      <c r="W648" s="90" t="s">
        <v>2271</v>
      </c>
      <c r="X648" s="81"/>
      <c r="Y648" s="81"/>
      <c r="Z648" s="81"/>
      <c r="AA648" s="81"/>
      <c r="AB648" s="81"/>
      <c r="AC648" s="81"/>
      <c r="AD648" s="81"/>
      <c r="AE648" s="81"/>
    </row>
    <row r="649" spans="1:31" s="1" customFormat="1" ht="54">
      <c r="A649" s="247">
        <v>648</v>
      </c>
      <c r="B649" s="248">
        <v>112</v>
      </c>
      <c r="C649" s="250" t="s">
        <v>178</v>
      </c>
      <c r="D649" s="250" t="s">
        <v>1565</v>
      </c>
      <c r="E649" s="251" t="s">
        <v>2272</v>
      </c>
      <c r="F649" s="251" t="s">
        <v>2269</v>
      </c>
      <c r="G649" s="251" t="s">
        <v>2273</v>
      </c>
      <c r="H649" s="250">
        <v>1350</v>
      </c>
      <c r="I649" s="250">
        <v>7</v>
      </c>
      <c r="J649" s="252">
        <v>12</v>
      </c>
      <c r="K649" s="253">
        <v>15</v>
      </c>
      <c r="L649" s="253">
        <v>94</v>
      </c>
      <c r="M649" s="253">
        <v>9</v>
      </c>
      <c r="N649" s="253">
        <v>1</v>
      </c>
      <c r="O649" s="254">
        <v>77500000</v>
      </c>
      <c r="P649" s="254">
        <v>159340000</v>
      </c>
      <c r="Q649" s="254">
        <v>7570000</v>
      </c>
      <c r="R649" s="255">
        <f t="shared" si="13"/>
        <v>244410000</v>
      </c>
      <c r="S649" s="256" t="s">
        <v>2248</v>
      </c>
      <c r="T649" s="260" t="s">
        <v>2270</v>
      </c>
      <c r="U649" s="261"/>
      <c r="V649" s="89"/>
      <c r="W649" s="90" t="s">
        <v>2271</v>
      </c>
      <c r="X649" s="81"/>
      <c r="Y649" s="81"/>
      <c r="Z649" s="81"/>
      <c r="AA649" s="81"/>
      <c r="AB649" s="81"/>
      <c r="AC649" s="81"/>
      <c r="AD649" s="81"/>
      <c r="AE649" s="81"/>
    </row>
    <row r="650" spans="1:31" s="1" customFormat="1" ht="40.5">
      <c r="A650" s="247">
        <v>649</v>
      </c>
      <c r="B650" s="248">
        <v>112</v>
      </c>
      <c r="C650" s="250" t="s">
        <v>178</v>
      </c>
      <c r="D650" s="250" t="s">
        <v>1571</v>
      </c>
      <c r="E650" s="251" t="s">
        <v>2274</v>
      </c>
      <c r="F650" s="251" t="s">
        <v>2275</v>
      </c>
      <c r="G650" s="251" t="s">
        <v>2276</v>
      </c>
      <c r="H650" s="250">
        <v>223</v>
      </c>
      <c r="I650" s="250">
        <v>0</v>
      </c>
      <c r="J650" s="252">
        <v>8</v>
      </c>
      <c r="K650" s="253">
        <v>16</v>
      </c>
      <c r="L650" s="253">
        <v>10</v>
      </c>
      <c r="M650" s="253">
        <v>0</v>
      </c>
      <c r="N650" s="253">
        <v>0</v>
      </c>
      <c r="O650" s="254">
        <v>7140000</v>
      </c>
      <c r="P650" s="254">
        <v>79040000</v>
      </c>
      <c r="Q650" s="254"/>
      <c r="R650" s="255">
        <f t="shared" si="13"/>
        <v>86180000</v>
      </c>
      <c r="S650" s="256" t="s">
        <v>2277</v>
      </c>
      <c r="T650" s="257" t="s">
        <v>2278</v>
      </c>
      <c r="U650" s="258"/>
      <c r="V650" s="89"/>
      <c r="W650" s="90" t="s">
        <v>2279</v>
      </c>
      <c r="X650" s="81"/>
      <c r="Y650" s="81"/>
      <c r="Z650" s="81"/>
      <c r="AA650" s="81"/>
      <c r="AB650" s="81"/>
      <c r="AC650" s="81"/>
      <c r="AD650" s="81"/>
      <c r="AE650" s="81"/>
    </row>
    <row r="651" spans="1:31" s="1" customFormat="1" ht="40.5">
      <c r="A651" s="247">
        <v>650</v>
      </c>
      <c r="B651" s="248">
        <v>112</v>
      </c>
      <c r="C651" s="250" t="s">
        <v>178</v>
      </c>
      <c r="D651" s="250" t="s">
        <v>1894</v>
      </c>
      <c r="E651" s="251" t="s">
        <v>2280</v>
      </c>
      <c r="F651" s="251" t="s">
        <v>2281</v>
      </c>
      <c r="G651" s="251" t="s">
        <v>2282</v>
      </c>
      <c r="H651" s="250">
        <v>275</v>
      </c>
      <c r="I651" s="250">
        <v>0</v>
      </c>
      <c r="J651" s="252">
        <v>12</v>
      </c>
      <c r="K651" s="253">
        <v>14</v>
      </c>
      <c r="L651" s="253">
        <v>10</v>
      </c>
      <c r="M651" s="253">
        <v>0</v>
      </c>
      <c r="N651" s="253">
        <v>0</v>
      </c>
      <c r="O651" s="254">
        <v>33000000</v>
      </c>
      <c r="P651" s="254">
        <v>40000000</v>
      </c>
      <c r="Q651" s="254"/>
      <c r="R651" s="255">
        <f t="shared" si="13"/>
        <v>73000000</v>
      </c>
      <c r="S651" s="256" t="s">
        <v>2277</v>
      </c>
      <c r="T651" s="257" t="s">
        <v>2283</v>
      </c>
      <c r="U651" s="258"/>
      <c r="V651" s="89"/>
      <c r="W651" s="90" t="s">
        <v>2284</v>
      </c>
      <c r="X651" s="81"/>
      <c r="Y651" s="81"/>
      <c r="Z651" s="81"/>
      <c r="AA651" s="81"/>
      <c r="AB651" s="81"/>
      <c r="AC651" s="81"/>
      <c r="AD651" s="81"/>
      <c r="AE651" s="81"/>
    </row>
    <row r="652" spans="1:31" s="1" customFormat="1" ht="40.5">
      <c r="A652" s="247">
        <v>651</v>
      </c>
      <c r="B652" s="248">
        <v>112</v>
      </c>
      <c r="C652" s="250" t="s">
        <v>178</v>
      </c>
      <c r="D652" s="250" t="s">
        <v>1894</v>
      </c>
      <c r="E652" s="251" t="s">
        <v>2285</v>
      </c>
      <c r="F652" s="251" t="s">
        <v>2281</v>
      </c>
      <c r="G652" s="251" t="s">
        <v>2282</v>
      </c>
      <c r="H652" s="250">
        <v>250</v>
      </c>
      <c r="I652" s="250">
        <v>3</v>
      </c>
      <c r="J652" s="252">
        <v>12</v>
      </c>
      <c r="K652" s="253">
        <v>10</v>
      </c>
      <c r="L652" s="253" t="s">
        <v>2286</v>
      </c>
      <c r="M652" s="253">
        <v>0</v>
      </c>
      <c r="N652" s="253">
        <v>0</v>
      </c>
      <c r="O652" s="254">
        <v>30000000</v>
      </c>
      <c r="P652" s="254">
        <v>28000000</v>
      </c>
      <c r="Q652" s="254"/>
      <c r="R652" s="255">
        <f t="shared" si="13"/>
        <v>58000000</v>
      </c>
      <c r="S652" s="256" t="s">
        <v>2248</v>
      </c>
      <c r="T652" s="257" t="s">
        <v>2287</v>
      </c>
      <c r="U652" s="258"/>
      <c r="V652" s="89"/>
      <c r="W652" s="90" t="s">
        <v>2288</v>
      </c>
      <c r="X652" s="81"/>
      <c r="Y652" s="81"/>
      <c r="Z652" s="81"/>
      <c r="AA652" s="81"/>
      <c r="AB652" s="81"/>
      <c r="AC652" s="81"/>
      <c r="AD652" s="81"/>
      <c r="AE652" s="81"/>
    </row>
    <row r="653" spans="1:31" s="1" customFormat="1" ht="40.5">
      <c r="A653" s="247">
        <v>652</v>
      </c>
      <c r="B653" s="248">
        <v>112</v>
      </c>
      <c r="C653" s="250" t="s">
        <v>178</v>
      </c>
      <c r="D653" s="250" t="s">
        <v>1636</v>
      </c>
      <c r="E653" s="251" t="s">
        <v>2289</v>
      </c>
      <c r="F653" s="251" t="s">
        <v>2290</v>
      </c>
      <c r="G653" s="251" t="s">
        <v>2291</v>
      </c>
      <c r="H653" s="250">
        <v>535</v>
      </c>
      <c r="I653" s="250">
        <v>4</v>
      </c>
      <c r="J653" s="252">
        <v>6</v>
      </c>
      <c r="K653" s="253">
        <v>12</v>
      </c>
      <c r="L653" s="253">
        <v>9</v>
      </c>
      <c r="M653" s="253">
        <v>0</v>
      </c>
      <c r="N653" s="253">
        <v>0</v>
      </c>
      <c r="O653" s="254">
        <v>25680000</v>
      </c>
      <c r="P653" s="254">
        <v>5810000</v>
      </c>
      <c r="Q653" s="254">
        <v>11190000</v>
      </c>
      <c r="R653" s="255">
        <f t="shared" si="13"/>
        <v>42680000</v>
      </c>
      <c r="S653" s="256" t="s">
        <v>2248</v>
      </c>
      <c r="T653" s="257" t="s">
        <v>2292</v>
      </c>
      <c r="U653" s="258"/>
      <c r="V653" s="89"/>
      <c r="W653" s="90" t="s">
        <v>2227</v>
      </c>
      <c r="X653" s="81"/>
      <c r="Y653" s="81"/>
      <c r="Z653" s="81"/>
      <c r="AA653" s="81"/>
      <c r="AB653" s="81"/>
      <c r="AC653" s="81"/>
      <c r="AD653" s="81"/>
      <c r="AE653" s="81"/>
    </row>
    <row r="654" spans="1:31" s="1" customFormat="1" ht="40.5">
      <c r="A654" s="247">
        <v>653</v>
      </c>
      <c r="B654" s="248">
        <v>112</v>
      </c>
      <c r="C654" s="250" t="s">
        <v>178</v>
      </c>
      <c r="D654" s="250" t="s">
        <v>1598</v>
      </c>
      <c r="E654" s="251" t="s">
        <v>2293</v>
      </c>
      <c r="F654" s="251" t="s">
        <v>635</v>
      </c>
      <c r="G654" s="251" t="s">
        <v>1649</v>
      </c>
      <c r="H654" s="250">
        <v>770</v>
      </c>
      <c r="I654" s="250">
        <v>5</v>
      </c>
      <c r="J654" s="252">
        <v>12</v>
      </c>
      <c r="K654" s="253">
        <v>5</v>
      </c>
      <c r="L654" s="250" t="s">
        <v>2294</v>
      </c>
      <c r="M654" s="253">
        <v>1</v>
      </c>
      <c r="N654" s="253">
        <v>0</v>
      </c>
      <c r="O654" s="254">
        <v>199090000</v>
      </c>
      <c r="P654" s="254">
        <v>113000000</v>
      </c>
      <c r="Q654" s="254">
        <v>2910000</v>
      </c>
      <c r="R654" s="255">
        <f t="shared" si="13"/>
        <v>315000000</v>
      </c>
      <c r="S654" s="256" t="s">
        <v>2295</v>
      </c>
      <c r="T654" s="257" t="s">
        <v>2296</v>
      </c>
      <c r="U654" s="258"/>
      <c r="V654" s="89" t="s">
        <v>2297</v>
      </c>
      <c r="W654" s="90" t="s">
        <v>1152</v>
      </c>
      <c r="X654" s="81"/>
      <c r="Y654" s="81"/>
      <c r="Z654" s="81"/>
      <c r="AA654" s="81"/>
      <c r="AB654" s="81"/>
      <c r="AC654" s="81"/>
      <c r="AD654" s="81"/>
      <c r="AE654" s="81"/>
    </row>
    <row r="655" spans="1:31" s="1" customFormat="1" ht="40.5">
      <c r="A655" s="247">
        <v>654</v>
      </c>
      <c r="B655" s="248">
        <v>112</v>
      </c>
      <c r="C655" s="250" t="s">
        <v>178</v>
      </c>
      <c r="D655" s="250" t="s">
        <v>1590</v>
      </c>
      <c r="E655" s="251" t="s">
        <v>2298</v>
      </c>
      <c r="F655" s="251" t="s">
        <v>2299</v>
      </c>
      <c r="G655" s="251" t="s">
        <v>2300</v>
      </c>
      <c r="H655" s="250">
        <v>1300</v>
      </c>
      <c r="I655" s="250">
        <v>0</v>
      </c>
      <c r="J655" s="252">
        <v>8</v>
      </c>
      <c r="K655" s="253">
        <v>38</v>
      </c>
      <c r="L655" s="253">
        <v>13</v>
      </c>
      <c r="M655" s="253">
        <v>0</v>
      </c>
      <c r="N655" s="253">
        <v>0</v>
      </c>
      <c r="O655" s="254">
        <v>600000000</v>
      </c>
      <c r="P655" s="254">
        <v>40000000</v>
      </c>
      <c r="Q655" s="254"/>
      <c r="R655" s="255">
        <f t="shared" si="13"/>
        <v>640000000</v>
      </c>
      <c r="S655" s="256" t="s">
        <v>2301</v>
      </c>
      <c r="T655" s="257" t="s">
        <v>2302</v>
      </c>
      <c r="U655" s="258"/>
      <c r="V655" s="89"/>
      <c r="W655" s="90" t="s">
        <v>2303</v>
      </c>
      <c r="X655" s="81"/>
      <c r="Y655" s="81"/>
      <c r="Z655" s="81"/>
      <c r="AA655" s="81"/>
      <c r="AB655" s="81"/>
      <c r="AC655" s="81"/>
      <c r="AD655" s="81"/>
      <c r="AE655" s="81"/>
    </row>
    <row r="656" spans="1:31" s="1" customFormat="1" ht="40.5">
      <c r="A656" s="247">
        <v>655</v>
      </c>
      <c r="B656" s="248">
        <v>112</v>
      </c>
      <c r="C656" s="250" t="s">
        <v>178</v>
      </c>
      <c r="D656" s="250" t="s">
        <v>1651</v>
      </c>
      <c r="E656" s="251" t="s">
        <v>2304</v>
      </c>
      <c r="F656" s="251" t="s">
        <v>2305</v>
      </c>
      <c r="G656" s="251" t="s">
        <v>2306</v>
      </c>
      <c r="H656" s="250">
        <v>185</v>
      </c>
      <c r="I656" s="250">
        <v>20</v>
      </c>
      <c r="J656" s="252">
        <v>24</v>
      </c>
      <c r="K656" s="253">
        <v>11</v>
      </c>
      <c r="L656" s="253">
        <v>2</v>
      </c>
      <c r="M656" s="253">
        <v>0</v>
      </c>
      <c r="N656" s="253">
        <v>3</v>
      </c>
      <c r="O656" s="254">
        <v>3000000</v>
      </c>
      <c r="P656" s="254">
        <v>74000000</v>
      </c>
      <c r="Q656" s="254">
        <v>20000000</v>
      </c>
      <c r="R656" s="255">
        <f t="shared" si="13"/>
        <v>97000000</v>
      </c>
      <c r="S656" s="256" t="s">
        <v>2307</v>
      </c>
      <c r="T656" s="257" t="s">
        <v>2308</v>
      </c>
      <c r="U656" s="258"/>
      <c r="V656" s="89"/>
      <c r="W656" s="90" t="s">
        <v>2235</v>
      </c>
      <c r="X656" s="81"/>
      <c r="Y656" s="81"/>
      <c r="Z656" s="81"/>
      <c r="AA656" s="81"/>
      <c r="AB656" s="81"/>
      <c r="AC656" s="81"/>
      <c r="AD656" s="81"/>
      <c r="AE656" s="81"/>
    </row>
    <row r="657" spans="1:31" s="1" customFormat="1" ht="148.5">
      <c r="A657" s="247">
        <v>656</v>
      </c>
      <c r="B657" s="248">
        <v>112</v>
      </c>
      <c r="C657" s="249" t="s">
        <v>2309</v>
      </c>
      <c r="D657" s="249" t="s">
        <v>2310</v>
      </c>
      <c r="E657" s="262" t="s">
        <v>2311</v>
      </c>
      <c r="F657" s="262" t="s">
        <v>245</v>
      </c>
      <c r="G657" s="262" t="s">
        <v>393</v>
      </c>
      <c r="H657" s="263">
        <v>830</v>
      </c>
      <c r="I657" s="249" t="s">
        <v>728</v>
      </c>
      <c r="J657" s="264" t="s">
        <v>555</v>
      </c>
      <c r="K657" s="249">
        <v>14</v>
      </c>
      <c r="L657" s="249">
        <v>0</v>
      </c>
      <c r="M657" s="249">
        <v>0</v>
      </c>
      <c r="N657" s="249">
        <v>0</v>
      </c>
      <c r="O657" s="265">
        <v>244460000</v>
      </c>
      <c r="P657" s="265">
        <v>0</v>
      </c>
      <c r="Q657" s="266">
        <v>0</v>
      </c>
      <c r="R657" s="265">
        <f t="shared" si="13"/>
        <v>244460000</v>
      </c>
      <c r="S657" s="249" t="s">
        <v>2245</v>
      </c>
      <c r="T657" s="267" t="s">
        <v>2312</v>
      </c>
      <c r="U657" s="258"/>
      <c r="V657" s="89" t="s">
        <v>3151</v>
      </c>
      <c r="W657" s="90" t="s">
        <v>1778</v>
      </c>
      <c r="X657" s="81"/>
      <c r="Y657" s="81"/>
      <c r="Z657" s="81"/>
      <c r="AA657" s="81"/>
      <c r="AB657" s="81"/>
      <c r="AC657" s="81"/>
      <c r="AD657" s="81"/>
      <c r="AE657" s="81"/>
    </row>
    <row r="658" spans="1:31" s="1" customFormat="1" ht="27">
      <c r="A658" s="268">
        <v>657</v>
      </c>
      <c r="B658" s="269">
        <v>113</v>
      </c>
      <c r="C658" s="270" t="s">
        <v>39</v>
      </c>
      <c r="D658" s="270" t="s">
        <v>2313</v>
      </c>
      <c r="E658" s="271" t="s">
        <v>2314</v>
      </c>
      <c r="F658" s="271" t="s">
        <v>2315</v>
      </c>
      <c r="G658" s="271" t="s">
        <v>2316</v>
      </c>
      <c r="H658" s="272">
        <v>100</v>
      </c>
      <c r="I658" s="270">
        <v>0</v>
      </c>
      <c r="J658" s="273">
        <v>8</v>
      </c>
      <c r="K658" s="270">
        <v>2</v>
      </c>
      <c r="L658" s="270">
        <v>0</v>
      </c>
      <c r="M658" s="270"/>
      <c r="N658" s="270"/>
      <c r="O658" s="274">
        <v>13000000</v>
      </c>
      <c r="P658" s="274"/>
      <c r="Q658" s="275"/>
      <c r="R658" s="274">
        <f t="shared" ref="R658:R689" si="15">SUM(O658:Q658)</f>
        <v>13000000</v>
      </c>
      <c r="S658" s="270" t="s">
        <v>2317</v>
      </c>
      <c r="T658" s="276" t="s">
        <v>2318</v>
      </c>
      <c r="U658" s="277"/>
      <c r="V658" s="278" t="s">
        <v>2319</v>
      </c>
      <c r="W658" s="279" t="s">
        <v>954</v>
      </c>
      <c r="X658" s="81"/>
      <c r="Y658" s="81"/>
      <c r="Z658" s="81"/>
      <c r="AA658" s="81"/>
      <c r="AB658" s="81"/>
      <c r="AC658" s="81"/>
      <c r="AD658" s="81"/>
      <c r="AE658" s="81"/>
    </row>
    <row r="659" spans="1:31" s="1" customFormat="1" ht="40.5">
      <c r="A659" s="268">
        <v>658</v>
      </c>
      <c r="B659" s="269">
        <v>113</v>
      </c>
      <c r="C659" s="270" t="s">
        <v>39</v>
      </c>
      <c r="D659" s="270" t="s">
        <v>2313</v>
      </c>
      <c r="E659" s="271" t="s">
        <v>2320</v>
      </c>
      <c r="F659" s="271" t="s">
        <v>2321</v>
      </c>
      <c r="G659" s="271" t="s">
        <v>2322</v>
      </c>
      <c r="H659" s="272">
        <v>52</v>
      </c>
      <c r="I659" s="270">
        <v>0</v>
      </c>
      <c r="J659" s="273">
        <v>7</v>
      </c>
      <c r="K659" s="270">
        <v>2</v>
      </c>
      <c r="L659" s="270">
        <v>1</v>
      </c>
      <c r="M659" s="270"/>
      <c r="N659" s="270"/>
      <c r="O659" s="274">
        <v>3720000</v>
      </c>
      <c r="P659" s="274">
        <v>2100000</v>
      </c>
      <c r="Q659" s="275"/>
      <c r="R659" s="274">
        <f t="shared" si="15"/>
        <v>5820000</v>
      </c>
      <c r="S659" s="270" t="s">
        <v>2323</v>
      </c>
      <c r="T659" s="276" t="s">
        <v>2324</v>
      </c>
      <c r="U659" s="277"/>
      <c r="V659" s="278" t="s">
        <v>2325</v>
      </c>
      <c r="W659" s="279" t="s">
        <v>2326</v>
      </c>
      <c r="X659" s="81"/>
      <c r="Y659" s="81"/>
      <c r="Z659" s="81"/>
      <c r="AA659" s="81"/>
      <c r="AB659" s="81"/>
      <c r="AC659" s="81"/>
      <c r="AD659" s="81"/>
      <c r="AE659" s="81"/>
    </row>
    <row r="660" spans="1:31" s="1" customFormat="1" ht="108">
      <c r="A660" s="268">
        <v>659</v>
      </c>
      <c r="B660" s="269">
        <v>113</v>
      </c>
      <c r="C660" s="270" t="s">
        <v>39</v>
      </c>
      <c r="D660" s="270" t="s">
        <v>2313</v>
      </c>
      <c r="E660" s="271" t="s">
        <v>2327</v>
      </c>
      <c r="F660" s="271" t="s">
        <v>988</v>
      </c>
      <c r="G660" s="271" t="s">
        <v>2328</v>
      </c>
      <c r="H660" s="272">
        <v>65</v>
      </c>
      <c r="I660" s="270">
        <v>0</v>
      </c>
      <c r="J660" s="273">
        <v>8</v>
      </c>
      <c r="K660" s="270">
        <v>2</v>
      </c>
      <c r="L660" s="270">
        <v>2</v>
      </c>
      <c r="M660" s="270"/>
      <c r="N660" s="270"/>
      <c r="O660" s="274"/>
      <c r="P660" s="274">
        <v>5100000</v>
      </c>
      <c r="Q660" s="275"/>
      <c r="R660" s="274">
        <f t="shared" si="15"/>
        <v>5100000</v>
      </c>
      <c r="S660" s="270" t="s">
        <v>2323</v>
      </c>
      <c r="T660" s="276" t="s">
        <v>2329</v>
      </c>
      <c r="U660" s="277"/>
      <c r="V660" s="278" t="s">
        <v>2319</v>
      </c>
      <c r="W660" s="279" t="s">
        <v>991</v>
      </c>
      <c r="X660" s="81"/>
      <c r="Y660" s="81"/>
      <c r="Z660" s="81"/>
      <c r="AA660" s="81"/>
      <c r="AB660" s="81"/>
      <c r="AC660" s="81"/>
      <c r="AD660" s="81"/>
      <c r="AE660" s="81"/>
    </row>
    <row r="661" spans="1:31" s="1" customFormat="1" ht="108">
      <c r="A661" s="268">
        <v>660</v>
      </c>
      <c r="B661" s="269">
        <v>113</v>
      </c>
      <c r="C661" s="270" t="s">
        <v>39</v>
      </c>
      <c r="D661" s="270" t="s">
        <v>2313</v>
      </c>
      <c r="E661" s="271" t="s">
        <v>2330</v>
      </c>
      <c r="F661" s="271" t="s">
        <v>988</v>
      </c>
      <c r="G661" s="271" t="s">
        <v>2328</v>
      </c>
      <c r="H661" s="272">
        <v>115</v>
      </c>
      <c r="I661" s="270">
        <v>0</v>
      </c>
      <c r="J661" s="273">
        <v>8</v>
      </c>
      <c r="K661" s="270" t="s">
        <v>2331</v>
      </c>
      <c r="L661" s="270">
        <v>2</v>
      </c>
      <c r="M661" s="270"/>
      <c r="N661" s="270"/>
      <c r="O661" s="274">
        <v>9200000</v>
      </c>
      <c r="P661" s="274">
        <v>119000000</v>
      </c>
      <c r="Q661" s="275"/>
      <c r="R661" s="274">
        <f t="shared" si="15"/>
        <v>128200000</v>
      </c>
      <c r="S661" s="270" t="s">
        <v>2332</v>
      </c>
      <c r="T661" s="276" t="s">
        <v>2329</v>
      </c>
      <c r="U661" s="277"/>
      <c r="V661" s="278" t="s">
        <v>2319</v>
      </c>
      <c r="W661" s="279" t="s">
        <v>991</v>
      </c>
      <c r="X661" s="81"/>
      <c r="Y661" s="81"/>
      <c r="Z661" s="81"/>
      <c r="AA661" s="81"/>
      <c r="AB661" s="81"/>
      <c r="AC661" s="81"/>
      <c r="AD661" s="81"/>
      <c r="AE661" s="81"/>
    </row>
    <row r="662" spans="1:31" s="1" customFormat="1" ht="40.5">
      <c r="A662" s="268">
        <v>661</v>
      </c>
      <c r="B662" s="269">
        <v>113</v>
      </c>
      <c r="C662" s="270" t="s">
        <v>39</v>
      </c>
      <c r="D662" s="270" t="s">
        <v>2333</v>
      </c>
      <c r="E662" s="271" t="s">
        <v>2334</v>
      </c>
      <c r="F662" s="271" t="s">
        <v>2335</v>
      </c>
      <c r="G662" s="271" t="s">
        <v>2336</v>
      </c>
      <c r="H662" s="272">
        <v>130</v>
      </c>
      <c r="I662" s="270">
        <v>0.6</v>
      </c>
      <c r="J662" s="273">
        <v>5</v>
      </c>
      <c r="K662" s="270">
        <v>2</v>
      </c>
      <c r="L662" s="270">
        <v>5</v>
      </c>
      <c r="M662" s="270"/>
      <c r="N662" s="270"/>
      <c r="O662" s="274">
        <v>12000000</v>
      </c>
      <c r="P662" s="274"/>
      <c r="Q662" s="275"/>
      <c r="R662" s="274">
        <f t="shared" si="15"/>
        <v>12000000</v>
      </c>
      <c r="S662" s="270" t="s">
        <v>2337</v>
      </c>
      <c r="T662" s="276" t="s">
        <v>2338</v>
      </c>
      <c r="U662" s="277"/>
      <c r="V662" s="278" t="s">
        <v>2339</v>
      </c>
      <c r="W662" s="279" t="s">
        <v>2166</v>
      </c>
      <c r="X662" s="81"/>
      <c r="Y662" s="81"/>
      <c r="Z662" s="81"/>
      <c r="AA662" s="81"/>
      <c r="AB662" s="81"/>
      <c r="AC662" s="81"/>
      <c r="AD662" s="81"/>
      <c r="AE662" s="81"/>
    </row>
    <row r="663" spans="1:31" s="1" customFormat="1" ht="54">
      <c r="A663" s="268">
        <v>662</v>
      </c>
      <c r="B663" s="269">
        <v>113</v>
      </c>
      <c r="C663" s="270" t="s">
        <v>39</v>
      </c>
      <c r="D663" s="270" t="s">
        <v>2310</v>
      </c>
      <c r="E663" s="271" t="s">
        <v>2340</v>
      </c>
      <c r="F663" s="271" t="s">
        <v>767</v>
      </c>
      <c r="G663" s="271" t="s">
        <v>2341</v>
      </c>
      <c r="H663" s="272">
        <v>145</v>
      </c>
      <c r="I663" s="270" t="s">
        <v>2342</v>
      </c>
      <c r="J663" s="273">
        <v>15</v>
      </c>
      <c r="K663" s="270">
        <v>0</v>
      </c>
      <c r="L663" s="270">
        <v>1</v>
      </c>
      <c r="M663" s="270"/>
      <c r="N663" s="270">
        <v>1</v>
      </c>
      <c r="O663" s="274">
        <v>1260000</v>
      </c>
      <c r="P663" s="274">
        <v>35000000</v>
      </c>
      <c r="Q663" s="275">
        <v>3000000</v>
      </c>
      <c r="R663" s="274">
        <f t="shared" si="15"/>
        <v>39260000</v>
      </c>
      <c r="S663" s="270" t="s">
        <v>2343</v>
      </c>
      <c r="T663" s="276" t="s">
        <v>2344</v>
      </c>
      <c r="U663" s="277"/>
      <c r="V663" s="278" t="s">
        <v>2345</v>
      </c>
      <c r="W663" s="279" t="s">
        <v>2346</v>
      </c>
      <c r="X663" s="81"/>
      <c r="Y663" s="81"/>
      <c r="Z663" s="81"/>
      <c r="AA663" s="81"/>
      <c r="AB663" s="81"/>
      <c r="AC663" s="81"/>
      <c r="AD663" s="81"/>
      <c r="AE663" s="81"/>
    </row>
    <row r="664" spans="1:31" s="1" customFormat="1" ht="54">
      <c r="A664" s="268">
        <v>663</v>
      </c>
      <c r="B664" s="269">
        <v>113</v>
      </c>
      <c r="C664" s="270" t="s">
        <v>39</v>
      </c>
      <c r="D664" s="270" t="s">
        <v>2310</v>
      </c>
      <c r="E664" s="271" t="s">
        <v>2347</v>
      </c>
      <c r="F664" s="271" t="s">
        <v>767</v>
      </c>
      <c r="G664" s="271" t="s">
        <v>2341</v>
      </c>
      <c r="H664" s="272">
        <v>145</v>
      </c>
      <c r="I664" s="270" t="s">
        <v>2342</v>
      </c>
      <c r="J664" s="273">
        <v>15</v>
      </c>
      <c r="K664" s="270">
        <v>0</v>
      </c>
      <c r="L664" s="270">
        <v>1</v>
      </c>
      <c r="M664" s="270"/>
      <c r="N664" s="270">
        <v>1</v>
      </c>
      <c r="O664" s="274">
        <v>3000000</v>
      </c>
      <c r="P664" s="274">
        <v>25000000</v>
      </c>
      <c r="Q664" s="275">
        <v>3000000</v>
      </c>
      <c r="R664" s="274">
        <f t="shared" si="15"/>
        <v>31000000</v>
      </c>
      <c r="S664" s="270" t="s">
        <v>2348</v>
      </c>
      <c r="T664" s="276" t="s">
        <v>2344</v>
      </c>
      <c r="U664" s="277"/>
      <c r="V664" s="278" t="s">
        <v>2345</v>
      </c>
      <c r="W664" s="279" t="s">
        <v>1581</v>
      </c>
      <c r="X664" s="81"/>
      <c r="Y664" s="81"/>
      <c r="Z664" s="81"/>
      <c r="AA664" s="81"/>
      <c r="AB664" s="81"/>
      <c r="AC664" s="81"/>
      <c r="AD664" s="81"/>
      <c r="AE664" s="81"/>
    </row>
    <row r="665" spans="1:31" s="1" customFormat="1" ht="27">
      <c r="A665" s="268">
        <v>664</v>
      </c>
      <c r="B665" s="269">
        <v>113</v>
      </c>
      <c r="C665" s="270" t="s">
        <v>39</v>
      </c>
      <c r="D665" s="270" t="s">
        <v>2310</v>
      </c>
      <c r="E665" s="271" t="s">
        <v>2349</v>
      </c>
      <c r="F665" s="271" t="s">
        <v>2350</v>
      </c>
      <c r="G665" s="271" t="s">
        <v>2351</v>
      </c>
      <c r="H665" s="272">
        <v>70</v>
      </c>
      <c r="I665" s="270" t="s">
        <v>2352</v>
      </c>
      <c r="J665" s="273">
        <v>8</v>
      </c>
      <c r="K665" s="270">
        <v>1</v>
      </c>
      <c r="L665" s="270">
        <v>8</v>
      </c>
      <c r="M665" s="270"/>
      <c r="N665" s="270">
        <v>1</v>
      </c>
      <c r="O665" s="274">
        <v>4450000</v>
      </c>
      <c r="P665" s="274">
        <v>18630000</v>
      </c>
      <c r="Q665" s="275">
        <v>1020000</v>
      </c>
      <c r="R665" s="274">
        <f t="shared" si="15"/>
        <v>24100000</v>
      </c>
      <c r="S665" s="270" t="s">
        <v>2323</v>
      </c>
      <c r="T665" s="276" t="s">
        <v>2353</v>
      </c>
      <c r="U665" s="277"/>
      <c r="V665" s="278" t="s">
        <v>2354</v>
      </c>
      <c r="W665" s="279" t="s">
        <v>2355</v>
      </c>
      <c r="X665" s="81"/>
      <c r="Y665" s="81"/>
      <c r="Z665" s="81"/>
      <c r="AA665" s="81"/>
      <c r="AB665" s="81"/>
      <c r="AC665" s="81"/>
      <c r="AD665" s="81"/>
      <c r="AE665" s="81"/>
    </row>
    <row r="666" spans="1:31" s="1" customFormat="1" ht="54">
      <c r="A666" s="268">
        <v>665</v>
      </c>
      <c r="B666" s="269">
        <v>113</v>
      </c>
      <c r="C666" s="270" t="s">
        <v>39</v>
      </c>
      <c r="D666" s="270" t="s">
        <v>2189</v>
      </c>
      <c r="E666" s="271" t="s">
        <v>2356</v>
      </c>
      <c r="F666" s="271" t="s">
        <v>2357</v>
      </c>
      <c r="G666" s="271" t="s">
        <v>2358</v>
      </c>
      <c r="H666" s="272">
        <v>30</v>
      </c>
      <c r="I666" s="270">
        <v>0</v>
      </c>
      <c r="J666" s="273">
        <v>7</v>
      </c>
      <c r="K666" s="270">
        <v>3</v>
      </c>
      <c r="L666" s="270">
        <v>0</v>
      </c>
      <c r="M666" s="270"/>
      <c r="N666" s="270"/>
      <c r="O666" s="274">
        <v>2500000</v>
      </c>
      <c r="P666" s="274">
        <v>2000000</v>
      </c>
      <c r="Q666" s="275"/>
      <c r="R666" s="274">
        <f t="shared" si="15"/>
        <v>4500000</v>
      </c>
      <c r="S666" s="270" t="s">
        <v>2348</v>
      </c>
      <c r="T666" s="276" t="s">
        <v>2359</v>
      </c>
      <c r="U666" s="277"/>
      <c r="V666" s="278" t="s">
        <v>2360</v>
      </c>
      <c r="W666" s="279" t="s">
        <v>2258</v>
      </c>
      <c r="X666" s="81"/>
      <c r="Y666" s="81"/>
      <c r="Z666" s="81"/>
      <c r="AA666" s="81"/>
      <c r="AB666" s="81"/>
      <c r="AC666" s="81"/>
      <c r="AD666" s="81"/>
      <c r="AE666" s="81"/>
    </row>
    <row r="667" spans="1:31" s="1" customFormat="1" ht="27">
      <c r="A667" s="268">
        <v>666</v>
      </c>
      <c r="B667" s="269">
        <v>113</v>
      </c>
      <c r="C667" s="270" t="s">
        <v>39</v>
      </c>
      <c r="D667" s="270" t="s">
        <v>2189</v>
      </c>
      <c r="E667" s="271" t="s">
        <v>2361</v>
      </c>
      <c r="F667" s="271" t="s">
        <v>2362</v>
      </c>
      <c r="G667" s="271" t="s">
        <v>2268</v>
      </c>
      <c r="H667" s="272">
        <v>200</v>
      </c>
      <c r="I667" s="270">
        <v>7</v>
      </c>
      <c r="J667" s="273">
        <v>12</v>
      </c>
      <c r="K667" s="270">
        <v>3</v>
      </c>
      <c r="L667" s="270">
        <v>0</v>
      </c>
      <c r="M667" s="270"/>
      <c r="N667" s="270">
        <v>1</v>
      </c>
      <c r="O667" s="274">
        <v>5000000</v>
      </c>
      <c r="P667" s="274"/>
      <c r="Q667" s="275">
        <v>1000000</v>
      </c>
      <c r="R667" s="274">
        <f t="shared" si="15"/>
        <v>6000000</v>
      </c>
      <c r="S667" s="270" t="s">
        <v>2363</v>
      </c>
      <c r="T667" s="276" t="s">
        <v>2364</v>
      </c>
      <c r="U667" s="277"/>
      <c r="V667" s="278" t="s">
        <v>2354</v>
      </c>
      <c r="W667" s="279" t="s">
        <v>2365</v>
      </c>
      <c r="X667" s="81"/>
      <c r="Y667" s="81"/>
      <c r="Z667" s="81"/>
      <c r="AA667" s="81"/>
      <c r="AB667" s="81"/>
      <c r="AC667" s="81"/>
      <c r="AD667" s="81"/>
      <c r="AE667" s="81"/>
    </row>
    <row r="668" spans="1:31" s="1" customFormat="1" ht="40.5">
      <c r="A668" s="268">
        <v>667</v>
      </c>
      <c r="B668" s="269">
        <v>113</v>
      </c>
      <c r="C668" s="270" t="s">
        <v>39</v>
      </c>
      <c r="D668" s="270" t="s">
        <v>2366</v>
      </c>
      <c r="E668" s="271" t="s">
        <v>2367</v>
      </c>
      <c r="F668" s="271" t="s">
        <v>1182</v>
      </c>
      <c r="G668" s="271" t="s">
        <v>1183</v>
      </c>
      <c r="H668" s="272">
        <v>147</v>
      </c>
      <c r="I668" s="270">
        <v>4</v>
      </c>
      <c r="J668" s="273">
        <v>6</v>
      </c>
      <c r="K668" s="270">
        <v>2</v>
      </c>
      <c r="L668" s="270">
        <v>4</v>
      </c>
      <c r="M668" s="270" t="s">
        <v>2368</v>
      </c>
      <c r="N668" s="270"/>
      <c r="O668" s="274">
        <v>10000000</v>
      </c>
      <c r="P668" s="274">
        <v>13000000</v>
      </c>
      <c r="Q668" s="275">
        <v>5000000</v>
      </c>
      <c r="R668" s="274">
        <f t="shared" si="15"/>
        <v>28000000</v>
      </c>
      <c r="S668" s="270" t="s">
        <v>2343</v>
      </c>
      <c r="T668" s="276" t="s">
        <v>2369</v>
      </c>
      <c r="U668" s="277"/>
      <c r="V668" s="278" t="s">
        <v>2370</v>
      </c>
      <c r="W668" s="279" t="s">
        <v>1575</v>
      </c>
      <c r="X668" s="81"/>
      <c r="Y668" s="81"/>
      <c r="Z668" s="81"/>
      <c r="AA668" s="81"/>
      <c r="AB668" s="81"/>
      <c r="AC668" s="81"/>
      <c r="AD668" s="81"/>
      <c r="AE668" s="81"/>
    </row>
    <row r="669" spans="1:31" s="1" customFormat="1" ht="40.5">
      <c r="A669" s="268">
        <v>668</v>
      </c>
      <c r="B669" s="269">
        <v>113</v>
      </c>
      <c r="C669" s="280" t="s">
        <v>178</v>
      </c>
      <c r="D669" s="270" t="s">
        <v>2371</v>
      </c>
      <c r="E669" s="271" t="s">
        <v>2372</v>
      </c>
      <c r="F669" s="271" t="s">
        <v>2373</v>
      </c>
      <c r="G669" s="271" t="s">
        <v>2374</v>
      </c>
      <c r="H669" s="272">
        <v>60</v>
      </c>
      <c r="I669" s="270">
        <v>0</v>
      </c>
      <c r="J669" s="273">
        <v>15</v>
      </c>
      <c r="K669" s="270">
        <v>0</v>
      </c>
      <c r="L669" s="270">
        <v>2</v>
      </c>
      <c r="M669" s="270"/>
      <c r="N669" s="270">
        <v>1</v>
      </c>
      <c r="O669" s="274">
        <v>9000000</v>
      </c>
      <c r="P669" s="274">
        <v>15000000</v>
      </c>
      <c r="Q669" s="275">
        <v>1600000</v>
      </c>
      <c r="R669" s="274">
        <f t="shared" si="15"/>
        <v>25600000</v>
      </c>
      <c r="S669" s="270" t="s">
        <v>2337</v>
      </c>
      <c r="T669" s="276" t="s">
        <v>2375</v>
      </c>
      <c r="U669" s="277"/>
      <c r="V669" s="278" t="s">
        <v>2370</v>
      </c>
      <c r="W669" s="279" t="s">
        <v>2376</v>
      </c>
      <c r="X669" s="81"/>
      <c r="Y669" s="81"/>
      <c r="Z669" s="81"/>
      <c r="AA669" s="81"/>
      <c r="AB669" s="81"/>
      <c r="AC669" s="81"/>
      <c r="AD669" s="81"/>
      <c r="AE669" s="81"/>
    </row>
    <row r="670" spans="1:31" s="1" customFormat="1" ht="67.5">
      <c r="A670" s="268">
        <v>669</v>
      </c>
      <c r="B670" s="269">
        <v>113</v>
      </c>
      <c r="C670" s="280" t="s">
        <v>178</v>
      </c>
      <c r="D670" s="270" t="s">
        <v>2310</v>
      </c>
      <c r="E670" s="271" t="s">
        <v>2377</v>
      </c>
      <c r="F670" s="271" t="s">
        <v>1033</v>
      </c>
      <c r="G670" s="271" t="s">
        <v>2378</v>
      </c>
      <c r="H670" s="272">
        <v>275</v>
      </c>
      <c r="I670" s="270">
        <v>10</v>
      </c>
      <c r="J670" s="273">
        <v>20</v>
      </c>
      <c r="K670" s="270" t="s">
        <v>2379</v>
      </c>
      <c r="L670" s="270">
        <v>15</v>
      </c>
      <c r="M670" s="270"/>
      <c r="N670" s="270">
        <v>1</v>
      </c>
      <c r="O670" s="274">
        <v>55000000</v>
      </c>
      <c r="P670" s="274">
        <v>300000000</v>
      </c>
      <c r="Q670" s="275">
        <v>5000000</v>
      </c>
      <c r="R670" s="274">
        <f t="shared" si="15"/>
        <v>360000000</v>
      </c>
      <c r="S670" s="270" t="s">
        <v>2380</v>
      </c>
      <c r="T670" s="276" t="s">
        <v>2381</v>
      </c>
      <c r="U670" s="277"/>
      <c r="V670" s="278" t="s">
        <v>2345</v>
      </c>
      <c r="W670" s="279" t="s">
        <v>2382</v>
      </c>
      <c r="X670" s="81"/>
      <c r="Y670" s="81"/>
      <c r="Z670" s="81"/>
      <c r="AA670" s="81"/>
      <c r="AB670" s="81"/>
      <c r="AC670" s="81"/>
      <c r="AD670" s="81"/>
      <c r="AE670" s="81"/>
    </row>
    <row r="671" spans="1:31" s="1" customFormat="1" ht="27">
      <c r="A671" s="268">
        <v>670</v>
      </c>
      <c r="B671" s="269">
        <v>113</v>
      </c>
      <c r="C671" s="280" t="s">
        <v>178</v>
      </c>
      <c r="D671" s="270" t="s">
        <v>2189</v>
      </c>
      <c r="E671" s="271" t="s">
        <v>2383</v>
      </c>
      <c r="F671" s="271" t="s">
        <v>2384</v>
      </c>
      <c r="G671" s="271" t="s">
        <v>2385</v>
      </c>
      <c r="H671" s="272">
        <v>65</v>
      </c>
      <c r="I671" s="270">
        <v>0</v>
      </c>
      <c r="J671" s="273">
        <v>8</v>
      </c>
      <c r="K671" s="270">
        <v>1</v>
      </c>
      <c r="L671" s="270">
        <v>3</v>
      </c>
      <c r="M671" s="270"/>
      <c r="N671" s="270"/>
      <c r="O671" s="274">
        <v>5000000</v>
      </c>
      <c r="P671" s="274">
        <v>48000000</v>
      </c>
      <c r="Q671" s="275"/>
      <c r="R671" s="274">
        <f t="shared" si="15"/>
        <v>53000000</v>
      </c>
      <c r="S671" s="270" t="s">
        <v>2386</v>
      </c>
      <c r="T671" s="276" t="s">
        <v>2387</v>
      </c>
      <c r="U671" s="277"/>
      <c r="V671" s="278" t="s">
        <v>2354</v>
      </c>
      <c r="W671" s="279" t="s">
        <v>2388</v>
      </c>
      <c r="X671" s="81"/>
      <c r="Y671" s="81"/>
      <c r="Z671" s="81"/>
      <c r="AA671" s="81"/>
      <c r="AB671" s="81"/>
      <c r="AC671" s="81"/>
      <c r="AD671" s="81"/>
      <c r="AE671" s="81"/>
    </row>
    <row r="672" spans="1:31" s="1" customFormat="1" ht="40.5">
      <c r="A672" s="268">
        <v>671</v>
      </c>
      <c r="B672" s="269">
        <v>113</v>
      </c>
      <c r="C672" s="280" t="s">
        <v>178</v>
      </c>
      <c r="D672" s="270" t="s">
        <v>2389</v>
      </c>
      <c r="E672" s="271" t="s">
        <v>2390</v>
      </c>
      <c r="F672" s="271" t="s">
        <v>2391</v>
      </c>
      <c r="G672" s="271" t="s">
        <v>2392</v>
      </c>
      <c r="H672" s="272">
        <v>190</v>
      </c>
      <c r="I672" s="270" t="s">
        <v>2393</v>
      </c>
      <c r="J672" s="273">
        <v>8</v>
      </c>
      <c r="K672" s="270">
        <v>3</v>
      </c>
      <c r="L672" s="270">
        <v>0</v>
      </c>
      <c r="M672" s="270"/>
      <c r="N672" s="270"/>
      <c r="O672" s="274">
        <v>13000000</v>
      </c>
      <c r="P672" s="274">
        <v>49000000</v>
      </c>
      <c r="Q672" s="275"/>
      <c r="R672" s="274">
        <f t="shared" si="15"/>
        <v>62000000</v>
      </c>
      <c r="S672" s="270" t="s">
        <v>2337</v>
      </c>
      <c r="T672" s="276" t="s">
        <v>2394</v>
      </c>
      <c r="U672" s="277"/>
      <c r="V672" s="278" t="s">
        <v>2395</v>
      </c>
      <c r="W672" s="279" t="s">
        <v>2396</v>
      </c>
      <c r="X672" s="81"/>
      <c r="Y672" s="81"/>
      <c r="Z672" s="81"/>
      <c r="AA672" s="81"/>
      <c r="AB672" s="81"/>
      <c r="AC672" s="81"/>
      <c r="AD672" s="81"/>
      <c r="AE672" s="81"/>
    </row>
    <row r="673" spans="1:31" s="1" customFormat="1" ht="40.5">
      <c r="A673" s="268">
        <v>672</v>
      </c>
      <c r="B673" s="269">
        <v>113</v>
      </c>
      <c r="C673" s="280" t="s">
        <v>178</v>
      </c>
      <c r="D673" s="270" t="s">
        <v>2366</v>
      </c>
      <c r="E673" s="271" t="s">
        <v>2397</v>
      </c>
      <c r="F673" s="271" t="s">
        <v>2398</v>
      </c>
      <c r="G673" s="271" t="s">
        <v>2399</v>
      </c>
      <c r="H673" s="272">
        <v>226.77</v>
      </c>
      <c r="I673" s="270">
        <v>3.7</v>
      </c>
      <c r="J673" s="273">
        <v>5.5</v>
      </c>
      <c r="K673" s="270">
        <v>2</v>
      </c>
      <c r="L673" s="270">
        <v>3</v>
      </c>
      <c r="M673" s="270" t="s">
        <v>2400</v>
      </c>
      <c r="N673" s="270"/>
      <c r="O673" s="274">
        <v>10000000</v>
      </c>
      <c r="P673" s="274">
        <v>8000000</v>
      </c>
      <c r="Q673" s="275"/>
      <c r="R673" s="274">
        <f t="shared" si="15"/>
        <v>18000000</v>
      </c>
      <c r="S673" s="270" t="s">
        <v>2380</v>
      </c>
      <c r="T673" s="276" t="s">
        <v>2401</v>
      </c>
      <c r="U673" s="277"/>
      <c r="V673" s="278" t="s">
        <v>2370</v>
      </c>
      <c r="W673" s="279" t="s">
        <v>1687</v>
      </c>
      <c r="X673" s="81"/>
      <c r="Y673" s="81"/>
      <c r="Z673" s="81"/>
      <c r="AA673" s="81"/>
      <c r="AB673" s="81"/>
      <c r="AC673" s="81"/>
      <c r="AD673" s="81"/>
      <c r="AE673" s="81"/>
    </row>
    <row r="674" spans="1:31" s="1" customFormat="1" ht="54">
      <c r="A674" s="268">
        <v>673</v>
      </c>
      <c r="B674" s="269">
        <v>113</v>
      </c>
      <c r="C674" s="280" t="s">
        <v>178</v>
      </c>
      <c r="D674" s="270" t="s">
        <v>2366</v>
      </c>
      <c r="E674" s="271" t="s">
        <v>2402</v>
      </c>
      <c r="F674" s="271" t="s">
        <v>2403</v>
      </c>
      <c r="G674" s="271" t="s">
        <v>2404</v>
      </c>
      <c r="H674" s="272">
        <v>500</v>
      </c>
      <c r="I674" s="270" t="s">
        <v>2405</v>
      </c>
      <c r="J674" s="273">
        <v>8</v>
      </c>
      <c r="K674" s="270">
        <v>7</v>
      </c>
      <c r="L674" s="270">
        <v>12</v>
      </c>
      <c r="M674" s="270" t="s">
        <v>2406</v>
      </c>
      <c r="N674" s="270"/>
      <c r="O674" s="274">
        <v>50000000</v>
      </c>
      <c r="P674" s="274">
        <v>22000000</v>
      </c>
      <c r="Q674" s="275">
        <v>6000000</v>
      </c>
      <c r="R674" s="274">
        <f t="shared" si="15"/>
        <v>78000000</v>
      </c>
      <c r="S674" s="270" t="s">
        <v>2323</v>
      </c>
      <c r="T674" s="276" t="s">
        <v>2407</v>
      </c>
      <c r="U674" s="277"/>
      <c r="V674" s="278" t="s">
        <v>2370</v>
      </c>
      <c r="W674" s="279" t="s">
        <v>2408</v>
      </c>
      <c r="X674" s="81"/>
      <c r="Y674" s="81"/>
      <c r="Z674" s="81"/>
      <c r="AA674" s="81"/>
      <c r="AB674" s="81"/>
      <c r="AC674" s="81"/>
      <c r="AD674" s="81"/>
      <c r="AE674" s="81"/>
    </row>
    <row r="675" spans="1:31" s="1" customFormat="1" ht="54">
      <c r="A675" s="268">
        <v>674</v>
      </c>
      <c r="B675" s="269">
        <v>113</v>
      </c>
      <c r="C675" s="280" t="s">
        <v>178</v>
      </c>
      <c r="D675" s="270" t="s">
        <v>2366</v>
      </c>
      <c r="E675" s="271" t="s">
        <v>2409</v>
      </c>
      <c r="F675" s="271" t="s">
        <v>2410</v>
      </c>
      <c r="G675" s="271" t="s">
        <v>2411</v>
      </c>
      <c r="H675" s="272">
        <v>1500</v>
      </c>
      <c r="I675" s="270" t="s">
        <v>2405</v>
      </c>
      <c r="J675" s="273">
        <v>8</v>
      </c>
      <c r="K675" s="270">
        <v>10</v>
      </c>
      <c r="L675" s="270">
        <v>11</v>
      </c>
      <c r="M675" s="270"/>
      <c r="N675" s="270"/>
      <c r="O675" s="274">
        <v>120000000</v>
      </c>
      <c r="P675" s="274">
        <v>111000000</v>
      </c>
      <c r="Q675" s="275"/>
      <c r="R675" s="274">
        <f t="shared" si="15"/>
        <v>231000000</v>
      </c>
      <c r="S675" s="270" t="s">
        <v>2332</v>
      </c>
      <c r="T675" s="276" t="s">
        <v>2407</v>
      </c>
      <c r="U675" s="277"/>
      <c r="V675" s="278" t="s">
        <v>2370</v>
      </c>
      <c r="W675" s="279" t="s">
        <v>2408</v>
      </c>
      <c r="X675" s="81"/>
      <c r="Y675" s="81"/>
      <c r="Z675" s="81"/>
      <c r="AA675" s="81"/>
      <c r="AB675" s="81"/>
      <c r="AC675" s="81"/>
      <c r="AD675" s="81"/>
      <c r="AE675" s="81"/>
    </row>
    <row r="676" spans="1:31" s="1" customFormat="1" ht="54">
      <c r="A676" s="268">
        <v>675</v>
      </c>
      <c r="B676" s="269">
        <v>113</v>
      </c>
      <c r="C676" s="280" t="s">
        <v>178</v>
      </c>
      <c r="D676" s="270" t="s">
        <v>2366</v>
      </c>
      <c r="E676" s="271" t="s">
        <v>2412</v>
      </c>
      <c r="F676" s="271" t="s">
        <v>2174</v>
      </c>
      <c r="G676" s="271" t="s">
        <v>1179</v>
      </c>
      <c r="H676" s="272" t="s">
        <v>2413</v>
      </c>
      <c r="I676" s="270" t="s">
        <v>2414</v>
      </c>
      <c r="J676" s="273">
        <v>12</v>
      </c>
      <c r="K676" s="270" t="s">
        <v>2415</v>
      </c>
      <c r="L676" s="270">
        <v>32</v>
      </c>
      <c r="M676" s="270"/>
      <c r="N676" s="270"/>
      <c r="O676" s="274">
        <f>35700000+63000000</f>
        <v>98700000</v>
      </c>
      <c r="P676" s="274">
        <f>14440000+110250000</f>
        <v>124690000</v>
      </c>
      <c r="Q676" s="275">
        <f>3000000+47000000</f>
        <v>50000000</v>
      </c>
      <c r="R676" s="274">
        <f t="shared" si="15"/>
        <v>273390000</v>
      </c>
      <c r="S676" s="270" t="s">
        <v>2380</v>
      </c>
      <c r="T676" s="276" t="s">
        <v>2416</v>
      </c>
      <c r="U676" s="277"/>
      <c r="V676" s="278" t="s">
        <v>2370</v>
      </c>
      <c r="W676" s="279" t="s">
        <v>2178</v>
      </c>
      <c r="X676" s="81"/>
      <c r="Y676" s="81"/>
      <c r="Z676" s="81"/>
      <c r="AA676" s="81"/>
      <c r="AB676" s="81"/>
      <c r="AC676" s="81"/>
      <c r="AD676" s="81"/>
      <c r="AE676" s="81"/>
    </row>
    <row r="677" spans="1:31" s="1" customFormat="1" ht="27">
      <c r="A677" s="268">
        <v>676</v>
      </c>
      <c r="B677" s="269">
        <v>113</v>
      </c>
      <c r="C677" s="280" t="s">
        <v>178</v>
      </c>
      <c r="D677" s="270" t="s">
        <v>2417</v>
      </c>
      <c r="E677" s="271" t="s">
        <v>2418</v>
      </c>
      <c r="F677" s="271" t="s">
        <v>2419</v>
      </c>
      <c r="G677" s="271" t="s">
        <v>2420</v>
      </c>
      <c r="H677" s="272">
        <v>686</v>
      </c>
      <c r="I677" s="270">
        <v>0</v>
      </c>
      <c r="J677" s="273">
        <v>20</v>
      </c>
      <c r="K677" s="270">
        <v>0</v>
      </c>
      <c r="L677" s="270">
        <v>40</v>
      </c>
      <c r="M677" s="270"/>
      <c r="N677" s="270">
        <v>1</v>
      </c>
      <c r="O677" s="274">
        <v>140000000</v>
      </c>
      <c r="P677" s="274">
        <v>200000000</v>
      </c>
      <c r="Q677" s="275">
        <v>10000000</v>
      </c>
      <c r="R677" s="274">
        <f t="shared" si="15"/>
        <v>350000000</v>
      </c>
      <c r="S677" s="270" t="s">
        <v>2363</v>
      </c>
      <c r="T677" s="276" t="s">
        <v>2421</v>
      </c>
      <c r="U677" s="277"/>
      <c r="V677" s="278" t="s">
        <v>2422</v>
      </c>
      <c r="W677" s="279" t="s">
        <v>2423</v>
      </c>
      <c r="X677" s="81"/>
      <c r="Y677" s="81"/>
      <c r="Z677" s="81"/>
      <c r="AA677" s="81"/>
      <c r="AB677" s="81"/>
      <c r="AC677" s="81"/>
      <c r="AD677" s="81"/>
      <c r="AE677" s="81"/>
    </row>
    <row r="678" spans="1:31" s="1" customFormat="1" ht="40.5">
      <c r="A678" s="268">
        <v>677</v>
      </c>
      <c r="B678" s="269">
        <v>113</v>
      </c>
      <c r="C678" s="280" t="s">
        <v>178</v>
      </c>
      <c r="D678" s="270" t="s">
        <v>2313</v>
      </c>
      <c r="E678" s="271" t="s">
        <v>2424</v>
      </c>
      <c r="F678" s="271" t="s">
        <v>2062</v>
      </c>
      <c r="G678" s="271" t="s">
        <v>2425</v>
      </c>
      <c r="H678" s="272">
        <v>100</v>
      </c>
      <c r="I678" s="270">
        <v>0</v>
      </c>
      <c r="J678" s="273">
        <v>8</v>
      </c>
      <c r="K678" s="270">
        <v>1</v>
      </c>
      <c r="L678" s="270">
        <v>1</v>
      </c>
      <c r="M678" s="270"/>
      <c r="N678" s="270"/>
      <c r="O678" s="274">
        <v>8000000</v>
      </c>
      <c r="P678" s="274">
        <v>1000000</v>
      </c>
      <c r="Q678" s="275"/>
      <c r="R678" s="274">
        <f t="shared" si="15"/>
        <v>9000000</v>
      </c>
      <c r="S678" s="270" t="s">
        <v>2363</v>
      </c>
      <c r="T678" s="276" t="s">
        <v>2156</v>
      </c>
      <c r="U678" s="277"/>
      <c r="V678" s="278" t="s">
        <v>2426</v>
      </c>
      <c r="W678" s="279" t="s">
        <v>938</v>
      </c>
      <c r="X678" s="81"/>
      <c r="Y678" s="81"/>
      <c r="Z678" s="81"/>
      <c r="AA678" s="81"/>
      <c r="AB678" s="81"/>
      <c r="AC678" s="81"/>
      <c r="AD678" s="81"/>
      <c r="AE678" s="81"/>
    </row>
    <row r="679" spans="1:31" s="1" customFormat="1" ht="67.5">
      <c r="A679" s="268">
        <v>678</v>
      </c>
      <c r="B679" s="269">
        <v>113</v>
      </c>
      <c r="C679" s="270" t="s">
        <v>2309</v>
      </c>
      <c r="D679" s="270" t="s">
        <v>2310</v>
      </c>
      <c r="E679" s="271" t="s">
        <v>2427</v>
      </c>
      <c r="F679" s="271" t="s">
        <v>2428</v>
      </c>
      <c r="G679" s="271" t="s">
        <v>2429</v>
      </c>
      <c r="H679" s="272">
        <v>80</v>
      </c>
      <c r="I679" s="270">
        <v>4.5</v>
      </c>
      <c r="J679" s="273"/>
      <c r="K679" s="270">
        <v>2</v>
      </c>
      <c r="L679" s="270">
        <v>1</v>
      </c>
      <c r="M679" s="270"/>
      <c r="N679" s="270"/>
      <c r="O679" s="274">
        <v>9000000</v>
      </c>
      <c r="P679" s="274"/>
      <c r="Q679" s="275"/>
      <c r="R679" s="274">
        <f t="shared" si="15"/>
        <v>9000000</v>
      </c>
      <c r="S679" s="270" t="s">
        <v>2323</v>
      </c>
      <c r="T679" s="276" t="s">
        <v>2430</v>
      </c>
      <c r="U679" s="281"/>
      <c r="V679" s="278" t="s">
        <v>2360</v>
      </c>
      <c r="W679" s="279" t="s">
        <v>2431</v>
      </c>
      <c r="X679" s="81"/>
      <c r="Y679" s="81"/>
      <c r="Z679" s="81"/>
      <c r="AA679" s="81"/>
      <c r="AB679" s="81"/>
      <c r="AC679" s="81"/>
      <c r="AD679" s="81"/>
      <c r="AE679" s="81"/>
    </row>
    <row r="680" spans="1:31" s="1" customFormat="1" ht="27">
      <c r="A680" s="268">
        <v>679</v>
      </c>
      <c r="B680" s="269">
        <v>113</v>
      </c>
      <c r="C680" s="280" t="s">
        <v>2153</v>
      </c>
      <c r="D680" s="280" t="s">
        <v>2432</v>
      </c>
      <c r="E680" s="282" t="s">
        <v>2433</v>
      </c>
      <c r="F680" s="282" t="s">
        <v>2434</v>
      </c>
      <c r="G680" s="282" t="s">
        <v>2435</v>
      </c>
      <c r="H680" s="283" t="s">
        <v>2436</v>
      </c>
      <c r="I680" s="280"/>
      <c r="J680" s="284"/>
      <c r="K680" s="280">
        <v>1</v>
      </c>
      <c r="L680" s="280">
        <v>5</v>
      </c>
      <c r="M680" s="280"/>
      <c r="N680" s="280"/>
      <c r="O680" s="285">
        <v>26600000</v>
      </c>
      <c r="P680" s="285">
        <v>20000000</v>
      </c>
      <c r="Q680" s="286">
        <v>22000000</v>
      </c>
      <c r="R680" s="285">
        <f t="shared" si="15"/>
        <v>68600000</v>
      </c>
      <c r="S680" s="280" t="s">
        <v>2323</v>
      </c>
      <c r="T680" s="287" t="s">
        <v>2437</v>
      </c>
      <c r="U680" s="288"/>
      <c r="V680" s="289" t="s">
        <v>2438</v>
      </c>
      <c r="W680" s="279" t="s">
        <v>2439</v>
      </c>
      <c r="X680" s="81"/>
      <c r="Y680" s="81"/>
      <c r="Z680" s="81"/>
      <c r="AA680" s="81"/>
      <c r="AB680" s="81"/>
      <c r="AC680" s="81"/>
      <c r="AD680" s="81"/>
      <c r="AE680" s="81"/>
    </row>
    <row r="681" spans="1:31" s="1" customFormat="1" ht="40.5">
      <c r="A681" s="268">
        <v>680</v>
      </c>
      <c r="B681" s="290">
        <v>113</v>
      </c>
      <c r="C681" s="277" t="s">
        <v>2440</v>
      </c>
      <c r="D681" s="277" t="s">
        <v>2313</v>
      </c>
      <c r="E681" s="291" t="s">
        <v>2441</v>
      </c>
      <c r="F681" s="291" t="s">
        <v>2442</v>
      </c>
      <c r="G681" s="291" t="s">
        <v>2443</v>
      </c>
      <c r="H681" s="292">
        <v>158</v>
      </c>
      <c r="I681" s="277">
        <v>0</v>
      </c>
      <c r="J681" s="293">
        <v>8</v>
      </c>
      <c r="K681" s="277">
        <v>7</v>
      </c>
      <c r="L681" s="277">
        <v>1</v>
      </c>
      <c r="M681" s="277"/>
      <c r="N681" s="277"/>
      <c r="O681" s="294">
        <v>12640000</v>
      </c>
      <c r="P681" s="294">
        <v>100000</v>
      </c>
      <c r="Q681" s="295">
        <v>0</v>
      </c>
      <c r="R681" s="294">
        <f t="shared" si="15"/>
        <v>12740000</v>
      </c>
      <c r="S681" s="277" t="s">
        <v>2444</v>
      </c>
      <c r="T681" s="296" t="s">
        <v>2445</v>
      </c>
      <c r="U681" s="277"/>
      <c r="V681" s="289" t="s">
        <v>2319</v>
      </c>
      <c r="W681" s="279" t="s">
        <v>2001</v>
      </c>
      <c r="X681" s="81"/>
      <c r="Y681" s="81"/>
      <c r="Z681" s="81"/>
      <c r="AA681" s="81"/>
      <c r="AB681" s="81"/>
      <c r="AC681" s="81"/>
      <c r="AD681" s="81"/>
      <c r="AE681" s="81"/>
    </row>
    <row r="682" spans="1:31" s="1" customFormat="1" ht="40.5">
      <c r="A682" s="268">
        <v>681</v>
      </c>
      <c r="B682" s="277">
        <v>113</v>
      </c>
      <c r="C682" s="277" t="s">
        <v>2440</v>
      </c>
      <c r="D682" s="277" t="s">
        <v>2313</v>
      </c>
      <c r="E682" s="291" t="s">
        <v>2446</v>
      </c>
      <c r="F682" s="291" t="s">
        <v>2447</v>
      </c>
      <c r="G682" s="291" t="s">
        <v>2448</v>
      </c>
      <c r="H682" s="277">
        <v>110</v>
      </c>
      <c r="I682" s="277">
        <v>0</v>
      </c>
      <c r="J682" s="277">
        <v>8</v>
      </c>
      <c r="K682" s="277">
        <v>6</v>
      </c>
      <c r="L682" s="277">
        <v>4</v>
      </c>
      <c r="M682" s="277"/>
      <c r="N682" s="277"/>
      <c r="O682" s="294">
        <v>8800000</v>
      </c>
      <c r="P682" s="294">
        <v>1910000</v>
      </c>
      <c r="Q682" s="294">
        <v>0</v>
      </c>
      <c r="R682" s="294">
        <f t="shared" si="15"/>
        <v>10710000</v>
      </c>
      <c r="S682" s="277" t="s">
        <v>2449</v>
      </c>
      <c r="T682" s="291" t="s">
        <v>2156</v>
      </c>
      <c r="U682" s="291"/>
      <c r="V682" s="297" t="s">
        <v>2426</v>
      </c>
      <c r="W682" s="291" t="s">
        <v>938</v>
      </c>
      <c r="X682" s="81"/>
      <c r="Y682" s="81"/>
      <c r="Z682" s="81"/>
      <c r="AA682" s="81"/>
      <c r="AB682" s="81"/>
      <c r="AC682" s="81"/>
      <c r="AD682" s="81"/>
      <c r="AE682" s="81"/>
    </row>
    <row r="683" spans="1:31" s="1" customFormat="1" ht="40.5">
      <c r="A683" s="268">
        <v>682</v>
      </c>
      <c r="B683" s="290">
        <v>113</v>
      </c>
      <c r="C683" s="277" t="s">
        <v>2440</v>
      </c>
      <c r="D683" s="277" t="s">
        <v>2313</v>
      </c>
      <c r="E683" s="291" t="s">
        <v>2450</v>
      </c>
      <c r="F683" s="291" t="s">
        <v>2451</v>
      </c>
      <c r="G683" s="291" t="s">
        <v>722</v>
      </c>
      <c r="H683" s="292">
        <v>75</v>
      </c>
      <c r="I683" s="277">
        <v>0</v>
      </c>
      <c r="J683" s="293">
        <v>4</v>
      </c>
      <c r="K683" s="277">
        <v>4</v>
      </c>
      <c r="L683" s="277">
        <v>1</v>
      </c>
      <c r="M683" s="277"/>
      <c r="N683" s="277"/>
      <c r="O683" s="294">
        <v>3000000</v>
      </c>
      <c r="P683" s="294">
        <v>1000000</v>
      </c>
      <c r="Q683" s="294">
        <v>12000000</v>
      </c>
      <c r="R683" s="294">
        <f t="shared" si="15"/>
        <v>16000000</v>
      </c>
      <c r="S683" s="277" t="s">
        <v>2449</v>
      </c>
      <c r="T683" s="296" t="s">
        <v>2452</v>
      </c>
      <c r="U683" s="277"/>
      <c r="V683" s="278" t="s">
        <v>2319</v>
      </c>
      <c r="W683" s="279" t="s">
        <v>2453</v>
      </c>
      <c r="X683" s="81"/>
      <c r="Y683" s="81"/>
      <c r="Z683" s="81"/>
      <c r="AA683" s="81"/>
      <c r="AB683" s="81"/>
      <c r="AC683" s="81"/>
      <c r="AD683" s="81"/>
      <c r="AE683" s="81"/>
    </row>
    <row r="684" spans="1:31" s="1" customFormat="1" ht="54">
      <c r="A684" s="268">
        <v>683</v>
      </c>
      <c r="B684" s="290">
        <v>113</v>
      </c>
      <c r="C684" s="277" t="s">
        <v>2440</v>
      </c>
      <c r="D684" s="277" t="s">
        <v>2313</v>
      </c>
      <c r="E684" s="291" t="s">
        <v>2454</v>
      </c>
      <c r="F684" s="291" t="s">
        <v>2455</v>
      </c>
      <c r="G684" s="291" t="s">
        <v>2456</v>
      </c>
      <c r="H684" s="292" t="s">
        <v>2457</v>
      </c>
      <c r="I684" s="277">
        <v>0</v>
      </c>
      <c r="J684" s="293">
        <v>8</v>
      </c>
      <c r="K684" s="277">
        <v>3</v>
      </c>
      <c r="L684" s="277">
        <v>6</v>
      </c>
      <c r="M684" s="277" t="s">
        <v>2458</v>
      </c>
      <c r="N684" s="277">
        <v>2</v>
      </c>
      <c r="O684" s="294">
        <v>3600000</v>
      </c>
      <c r="P684" s="294">
        <v>17710000</v>
      </c>
      <c r="Q684" s="294">
        <v>30000000</v>
      </c>
      <c r="R684" s="294">
        <f t="shared" si="15"/>
        <v>51310000</v>
      </c>
      <c r="S684" s="277" t="s">
        <v>2459</v>
      </c>
      <c r="T684" s="296" t="s">
        <v>2460</v>
      </c>
      <c r="U684" s="277"/>
      <c r="V684" s="278" t="s">
        <v>2325</v>
      </c>
      <c r="W684" s="279" t="s">
        <v>1940</v>
      </c>
      <c r="X684" s="81"/>
      <c r="Y684" s="81"/>
      <c r="Z684" s="81"/>
      <c r="AA684" s="81"/>
      <c r="AB684" s="81"/>
      <c r="AC684" s="81"/>
      <c r="AD684" s="81"/>
      <c r="AE684" s="81"/>
    </row>
    <row r="685" spans="1:31" s="1" customFormat="1" ht="81">
      <c r="A685" s="268">
        <v>684</v>
      </c>
      <c r="B685" s="290">
        <v>113</v>
      </c>
      <c r="C685" s="277" t="s">
        <v>2440</v>
      </c>
      <c r="D685" s="277" t="s">
        <v>2313</v>
      </c>
      <c r="E685" s="291" t="s">
        <v>2461</v>
      </c>
      <c r="F685" s="291" t="s">
        <v>2462</v>
      </c>
      <c r="G685" s="291" t="s">
        <v>2463</v>
      </c>
      <c r="H685" s="277">
        <v>50</v>
      </c>
      <c r="I685" s="277">
        <v>0</v>
      </c>
      <c r="J685" s="277">
        <v>10</v>
      </c>
      <c r="K685" s="277">
        <v>0</v>
      </c>
      <c r="L685" s="277">
        <v>1</v>
      </c>
      <c r="M685" s="277"/>
      <c r="N685" s="277"/>
      <c r="O685" s="294">
        <v>10000000</v>
      </c>
      <c r="P685" s="294">
        <v>42000000</v>
      </c>
      <c r="Q685" s="294">
        <v>3000000</v>
      </c>
      <c r="R685" s="294">
        <f t="shared" si="15"/>
        <v>55000000</v>
      </c>
      <c r="S685" s="277" t="s">
        <v>2449</v>
      </c>
      <c r="T685" s="291" t="s">
        <v>2464</v>
      </c>
      <c r="U685" s="291"/>
      <c r="V685" s="278" t="s">
        <v>2319</v>
      </c>
      <c r="W685" s="291" t="s">
        <v>2152</v>
      </c>
      <c r="X685" s="81"/>
      <c r="Y685" s="81"/>
      <c r="Z685" s="81"/>
      <c r="AA685" s="81"/>
      <c r="AB685" s="81"/>
      <c r="AC685" s="81"/>
      <c r="AD685" s="81"/>
      <c r="AE685" s="81"/>
    </row>
    <row r="686" spans="1:31" s="1" customFormat="1" ht="40.5">
      <c r="A686" s="268">
        <v>685</v>
      </c>
      <c r="B686" s="290">
        <v>113</v>
      </c>
      <c r="C686" s="277" t="s">
        <v>2440</v>
      </c>
      <c r="D686" s="277" t="s">
        <v>2045</v>
      </c>
      <c r="E686" s="291" t="s">
        <v>2465</v>
      </c>
      <c r="F686" s="291" t="s">
        <v>2466</v>
      </c>
      <c r="G686" s="291" t="s">
        <v>2467</v>
      </c>
      <c r="H686" s="277">
        <v>220</v>
      </c>
      <c r="I686" s="277">
        <v>8</v>
      </c>
      <c r="J686" s="277">
        <v>12</v>
      </c>
      <c r="K686" s="277">
        <v>0</v>
      </c>
      <c r="L686" s="277">
        <v>3</v>
      </c>
      <c r="M686" s="277"/>
      <c r="N686" s="277"/>
      <c r="O686" s="294">
        <v>10000000</v>
      </c>
      <c r="P686" s="294">
        <v>17000000</v>
      </c>
      <c r="Q686" s="294">
        <v>5000000</v>
      </c>
      <c r="R686" s="294">
        <f t="shared" si="15"/>
        <v>32000000</v>
      </c>
      <c r="S686" s="277" t="s">
        <v>2468</v>
      </c>
      <c r="T686" s="291" t="s">
        <v>2469</v>
      </c>
      <c r="U686" s="291"/>
      <c r="V686" s="278" t="s">
        <v>2370</v>
      </c>
      <c r="W686" s="291" t="s">
        <v>1293</v>
      </c>
      <c r="X686" s="81"/>
      <c r="Y686" s="81"/>
      <c r="Z686" s="81"/>
      <c r="AA686" s="81"/>
      <c r="AB686" s="81"/>
      <c r="AC686" s="81"/>
      <c r="AD686" s="81"/>
      <c r="AE686" s="81"/>
    </row>
    <row r="687" spans="1:31" s="1" customFormat="1" ht="40.5">
      <c r="A687" s="268">
        <v>686</v>
      </c>
      <c r="B687" s="290">
        <v>113</v>
      </c>
      <c r="C687" s="277" t="s">
        <v>2440</v>
      </c>
      <c r="D687" s="277" t="s">
        <v>2470</v>
      </c>
      <c r="E687" s="291" t="s">
        <v>2471</v>
      </c>
      <c r="F687" s="291" t="s">
        <v>2472</v>
      </c>
      <c r="G687" s="291" t="s">
        <v>2473</v>
      </c>
      <c r="H687" s="292">
        <v>115</v>
      </c>
      <c r="I687" s="277" t="s">
        <v>2474</v>
      </c>
      <c r="J687" s="293">
        <v>8</v>
      </c>
      <c r="K687" s="277">
        <v>0</v>
      </c>
      <c r="L687" s="277">
        <v>1</v>
      </c>
      <c r="M687" s="277" t="s">
        <v>2475</v>
      </c>
      <c r="N687" s="277"/>
      <c r="O687" s="294">
        <v>22680000</v>
      </c>
      <c r="P687" s="294">
        <v>7720000</v>
      </c>
      <c r="Q687" s="294">
        <v>5000000</v>
      </c>
      <c r="R687" s="294">
        <f t="shared" si="15"/>
        <v>35400000</v>
      </c>
      <c r="S687" s="277" t="s">
        <v>2459</v>
      </c>
      <c r="T687" s="296" t="s">
        <v>2476</v>
      </c>
      <c r="U687" s="277"/>
      <c r="V687" s="278" t="s">
        <v>2477</v>
      </c>
      <c r="W687" s="279" t="s">
        <v>1891</v>
      </c>
      <c r="X687" s="81"/>
      <c r="Y687" s="81"/>
      <c r="Z687" s="81"/>
      <c r="AA687" s="81"/>
      <c r="AB687" s="81"/>
      <c r="AC687" s="81"/>
      <c r="AD687" s="81"/>
      <c r="AE687" s="81"/>
    </row>
    <row r="688" spans="1:31" s="1" customFormat="1" ht="40.5">
      <c r="A688" s="268">
        <v>687</v>
      </c>
      <c r="B688" s="290">
        <v>113</v>
      </c>
      <c r="C688" s="277" t="s">
        <v>2440</v>
      </c>
      <c r="D688" s="277" t="s">
        <v>2310</v>
      </c>
      <c r="E688" s="291" t="s">
        <v>2478</v>
      </c>
      <c r="F688" s="291" t="s">
        <v>2479</v>
      </c>
      <c r="G688" s="291" t="s">
        <v>2480</v>
      </c>
      <c r="H688" s="277">
        <v>145</v>
      </c>
      <c r="I688" s="277" t="s">
        <v>2481</v>
      </c>
      <c r="J688" s="277">
        <v>15</v>
      </c>
      <c r="K688" s="277">
        <v>0</v>
      </c>
      <c r="L688" s="277">
        <v>1</v>
      </c>
      <c r="M688" s="277"/>
      <c r="N688" s="277">
        <v>1</v>
      </c>
      <c r="O688" s="294">
        <v>1260000</v>
      </c>
      <c r="P688" s="294">
        <v>35000000</v>
      </c>
      <c r="Q688" s="294">
        <v>5000000</v>
      </c>
      <c r="R688" s="294">
        <f t="shared" si="15"/>
        <v>41260000</v>
      </c>
      <c r="S688" s="277" t="s">
        <v>2449</v>
      </c>
      <c r="T688" s="291" t="s">
        <v>2482</v>
      </c>
      <c r="U688" s="291"/>
      <c r="V688" s="278" t="s">
        <v>2345</v>
      </c>
      <c r="W688" s="291" t="s">
        <v>1581</v>
      </c>
      <c r="X688" s="81"/>
      <c r="Y688" s="81"/>
      <c r="Z688" s="81"/>
      <c r="AA688" s="81"/>
      <c r="AB688" s="81"/>
      <c r="AC688" s="81"/>
      <c r="AD688" s="81"/>
      <c r="AE688" s="81"/>
    </row>
    <row r="689" spans="1:31" s="1" customFormat="1" ht="67.5">
      <c r="A689" s="268">
        <v>688</v>
      </c>
      <c r="B689" s="290">
        <v>113</v>
      </c>
      <c r="C689" s="277" t="s">
        <v>2440</v>
      </c>
      <c r="D689" s="277" t="s">
        <v>2432</v>
      </c>
      <c r="E689" s="291" t="s">
        <v>2483</v>
      </c>
      <c r="F689" s="291" t="s">
        <v>2484</v>
      </c>
      <c r="G689" s="291" t="s">
        <v>2485</v>
      </c>
      <c r="H689" s="277">
        <v>50</v>
      </c>
      <c r="I689" s="277">
        <v>0</v>
      </c>
      <c r="J689" s="277">
        <v>10</v>
      </c>
      <c r="K689" s="277">
        <v>3</v>
      </c>
      <c r="L689" s="277">
        <v>4</v>
      </c>
      <c r="M689" s="277"/>
      <c r="N689" s="277"/>
      <c r="O689" s="294">
        <v>15000000</v>
      </c>
      <c r="P689" s="294">
        <v>140000000</v>
      </c>
      <c r="Q689" s="294">
        <v>5000000</v>
      </c>
      <c r="R689" s="294">
        <f t="shared" si="15"/>
        <v>160000000</v>
      </c>
      <c r="S689" s="277" t="s">
        <v>2486</v>
      </c>
      <c r="T689" s="291" t="s">
        <v>2487</v>
      </c>
      <c r="U689" s="291"/>
      <c r="V689" s="278" t="s">
        <v>2488</v>
      </c>
      <c r="W689" s="291" t="s">
        <v>1726</v>
      </c>
      <c r="X689" s="81"/>
      <c r="Y689" s="81"/>
      <c r="Z689" s="81"/>
      <c r="AA689" s="81"/>
      <c r="AB689" s="81"/>
      <c r="AC689" s="81"/>
      <c r="AD689" s="81"/>
      <c r="AE689" s="81"/>
    </row>
    <row r="690" spans="1:31" s="1" customFormat="1" ht="40.5">
      <c r="A690" s="268">
        <v>689</v>
      </c>
      <c r="B690" s="290">
        <v>113</v>
      </c>
      <c r="C690" s="277" t="s">
        <v>2440</v>
      </c>
      <c r="D690" s="277" t="s">
        <v>2432</v>
      </c>
      <c r="E690" s="291" t="s">
        <v>2489</v>
      </c>
      <c r="F690" s="291" t="s">
        <v>2490</v>
      </c>
      <c r="G690" s="291" t="s">
        <v>2491</v>
      </c>
      <c r="H690" s="277">
        <v>200</v>
      </c>
      <c r="I690" s="277">
        <v>0</v>
      </c>
      <c r="J690" s="277" t="s">
        <v>2492</v>
      </c>
      <c r="K690" s="277">
        <v>11</v>
      </c>
      <c r="L690" s="277">
        <v>13</v>
      </c>
      <c r="M690" s="277"/>
      <c r="N690" s="277"/>
      <c r="O690" s="294">
        <v>200000000</v>
      </c>
      <c r="P690" s="294">
        <v>140000000</v>
      </c>
      <c r="Q690" s="294">
        <v>10000000</v>
      </c>
      <c r="R690" s="294">
        <f t="shared" ref="R690:R713" si="16">SUM(O690:Q690)</f>
        <v>350000000</v>
      </c>
      <c r="S690" s="277" t="s">
        <v>2459</v>
      </c>
      <c r="T690" s="291" t="s">
        <v>2493</v>
      </c>
      <c r="U690" s="291"/>
      <c r="V690" s="278" t="s">
        <v>2488</v>
      </c>
      <c r="W690" s="291" t="s">
        <v>2494</v>
      </c>
      <c r="X690" s="81"/>
      <c r="Y690" s="81"/>
      <c r="Z690" s="81"/>
      <c r="AA690" s="81"/>
      <c r="AB690" s="81"/>
      <c r="AC690" s="81"/>
      <c r="AD690" s="81"/>
      <c r="AE690" s="81"/>
    </row>
    <row r="691" spans="1:31" s="1" customFormat="1" ht="54">
      <c r="A691" s="268">
        <v>690</v>
      </c>
      <c r="B691" s="290">
        <v>113</v>
      </c>
      <c r="C691" s="277" t="s">
        <v>2440</v>
      </c>
      <c r="D691" s="277" t="s">
        <v>2495</v>
      </c>
      <c r="E691" s="291" t="s">
        <v>2496</v>
      </c>
      <c r="F691" s="291" t="s">
        <v>2497</v>
      </c>
      <c r="G691" s="291" t="s">
        <v>1185</v>
      </c>
      <c r="H691" s="277">
        <v>30</v>
      </c>
      <c r="I691" s="277" t="s">
        <v>2498</v>
      </c>
      <c r="J691" s="277">
        <v>9</v>
      </c>
      <c r="K691" s="277">
        <v>2</v>
      </c>
      <c r="L691" s="277">
        <v>3</v>
      </c>
      <c r="M691" s="277"/>
      <c r="N691" s="277"/>
      <c r="O691" s="294">
        <v>27000000</v>
      </c>
      <c r="P691" s="294">
        <v>8000000</v>
      </c>
      <c r="Q691" s="294">
        <v>5000000</v>
      </c>
      <c r="R691" s="294">
        <f t="shared" si="16"/>
        <v>40000000</v>
      </c>
      <c r="S691" s="277" t="s">
        <v>2459</v>
      </c>
      <c r="T691" s="291" t="s">
        <v>2499</v>
      </c>
      <c r="U691" s="291"/>
      <c r="V691" s="278" t="s">
        <v>2370</v>
      </c>
      <c r="W691" s="291" t="s">
        <v>1575</v>
      </c>
      <c r="X691" s="81"/>
      <c r="Y691" s="81"/>
      <c r="Z691" s="81"/>
      <c r="AA691" s="81"/>
      <c r="AB691" s="81"/>
      <c r="AC691" s="81"/>
      <c r="AD691" s="81"/>
      <c r="AE691" s="81"/>
    </row>
    <row r="692" spans="1:31" s="1" customFormat="1" ht="40.5">
      <c r="A692" s="268">
        <v>691</v>
      </c>
      <c r="B692" s="290">
        <v>113</v>
      </c>
      <c r="C692" s="270" t="s">
        <v>2309</v>
      </c>
      <c r="D692" s="277" t="s">
        <v>2500</v>
      </c>
      <c r="E692" s="291" t="s">
        <v>2501</v>
      </c>
      <c r="F692" s="291" t="s">
        <v>2502</v>
      </c>
      <c r="G692" s="291" t="s">
        <v>2503</v>
      </c>
      <c r="H692" s="277">
        <v>500</v>
      </c>
      <c r="I692" s="277">
        <v>4</v>
      </c>
      <c r="J692" s="277">
        <v>6</v>
      </c>
      <c r="K692" s="277">
        <v>3</v>
      </c>
      <c r="L692" s="277">
        <v>6</v>
      </c>
      <c r="M692" s="277"/>
      <c r="N692" s="277"/>
      <c r="O692" s="294">
        <v>20000000</v>
      </c>
      <c r="P692" s="294">
        <v>0</v>
      </c>
      <c r="Q692" s="294">
        <v>0</v>
      </c>
      <c r="R692" s="294">
        <f t="shared" si="16"/>
        <v>20000000</v>
      </c>
      <c r="S692" s="277" t="s">
        <v>2504</v>
      </c>
      <c r="T692" s="291" t="s">
        <v>2505</v>
      </c>
      <c r="U692" s="291"/>
      <c r="V692" s="278" t="s">
        <v>2370</v>
      </c>
      <c r="W692" s="291" t="s">
        <v>2506</v>
      </c>
      <c r="X692" s="81"/>
      <c r="Y692" s="81"/>
      <c r="Z692" s="81"/>
      <c r="AA692" s="81"/>
      <c r="AB692" s="81"/>
      <c r="AC692" s="81"/>
      <c r="AD692" s="81"/>
      <c r="AE692" s="81"/>
    </row>
    <row r="693" spans="1:31" s="1" customFormat="1" ht="40.5">
      <c r="A693" s="268">
        <v>692</v>
      </c>
      <c r="B693" s="290">
        <v>113</v>
      </c>
      <c r="C693" s="270" t="s">
        <v>2309</v>
      </c>
      <c r="D693" s="277" t="s">
        <v>2500</v>
      </c>
      <c r="E693" s="291" t="s">
        <v>2507</v>
      </c>
      <c r="F693" s="291" t="s">
        <v>2508</v>
      </c>
      <c r="G693" s="291" t="s">
        <v>2509</v>
      </c>
      <c r="H693" s="277">
        <v>200</v>
      </c>
      <c r="I693" s="277" t="s">
        <v>2510</v>
      </c>
      <c r="J693" s="277">
        <v>9</v>
      </c>
      <c r="K693" s="277">
        <v>0</v>
      </c>
      <c r="L693" s="277">
        <v>0</v>
      </c>
      <c r="M693" s="277"/>
      <c r="N693" s="277"/>
      <c r="O693" s="294">
        <v>11540000</v>
      </c>
      <c r="P693" s="294">
        <v>0</v>
      </c>
      <c r="Q693" s="294">
        <v>0</v>
      </c>
      <c r="R693" s="294">
        <f t="shared" si="16"/>
        <v>11540000</v>
      </c>
      <c r="S693" s="277" t="s">
        <v>2504</v>
      </c>
      <c r="T693" s="291" t="s">
        <v>2511</v>
      </c>
      <c r="U693" s="291"/>
      <c r="V693" s="278" t="s">
        <v>2370</v>
      </c>
      <c r="W693" s="291" t="s">
        <v>1028</v>
      </c>
      <c r="X693" s="81"/>
      <c r="Y693" s="81"/>
      <c r="Z693" s="81"/>
      <c r="AA693" s="81"/>
      <c r="AB693" s="81"/>
      <c r="AC693" s="81"/>
      <c r="AD693" s="81"/>
      <c r="AE693" s="81"/>
    </row>
    <row r="694" spans="1:31" s="1" customFormat="1" ht="81">
      <c r="A694" s="268">
        <v>693</v>
      </c>
      <c r="B694" s="290">
        <v>113</v>
      </c>
      <c r="C694" s="280" t="s">
        <v>178</v>
      </c>
      <c r="D694" s="277" t="s">
        <v>2512</v>
      </c>
      <c r="E694" s="291" t="s">
        <v>2513</v>
      </c>
      <c r="F694" s="291" t="s">
        <v>2514</v>
      </c>
      <c r="G694" s="291" t="s">
        <v>2515</v>
      </c>
      <c r="H694" s="277">
        <v>245</v>
      </c>
      <c r="I694" s="277" t="s">
        <v>2516</v>
      </c>
      <c r="J694" s="277">
        <v>15</v>
      </c>
      <c r="K694" s="277">
        <v>5</v>
      </c>
      <c r="L694" s="277">
        <v>14</v>
      </c>
      <c r="M694" s="277"/>
      <c r="N694" s="277"/>
      <c r="O694" s="294">
        <v>51400000</v>
      </c>
      <c r="P694" s="294">
        <v>600000000</v>
      </c>
      <c r="Q694" s="294">
        <v>0</v>
      </c>
      <c r="R694" s="294">
        <f t="shared" si="16"/>
        <v>651400000</v>
      </c>
      <c r="S694" s="277" t="s">
        <v>2504</v>
      </c>
      <c r="T694" s="291" t="s">
        <v>2517</v>
      </c>
      <c r="U694" s="291"/>
      <c r="V694" s="278" t="s">
        <v>2345</v>
      </c>
      <c r="W694" s="291" t="s">
        <v>2518</v>
      </c>
      <c r="X694" s="81"/>
      <c r="Y694" s="81"/>
      <c r="Z694" s="81"/>
      <c r="AA694" s="81"/>
      <c r="AB694" s="81"/>
      <c r="AC694" s="81"/>
      <c r="AD694" s="81"/>
      <c r="AE694" s="81"/>
    </row>
    <row r="695" spans="1:31" s="1" customFormat="1" ht="40.5">
      <c r="A695" s="268">
        <v>694</v>
      </c>
      <c r="B695" s="290">
        <v>113</v>
      </c>
      <c r="C695" s="280" t="s">
        <v>178</v>
      </c>
      <c r="D695" s="277" t="s">
        <v>2519</v>
      </c>
      <c r="E695" s="291" t="s">
        <v>2520</v>
      </c>
      <c r="F695" s="291" t="s">
        <v>2521</v>
      </c>
      <c r="G695" s="291" t="s">
        <v>2522</v>
      </c>
      <c r="H695" s="277">
        <v>300</v>
      </c>
      <c r="I695" s="277" t="s">
        <v>2523</v>
      </c>
      <c r="J695" s="277">
        <v>12</v>
      </c>
      <c r="K695" s="277">
        <v>7</v>
      </c>
      <c r="L695" s="277" t="s">
        <v>2524</v>
      </c>
      <c r="M695" s="277"/>
      <c r="N695" s="277">
        <v>1</v>
      </c>
      <c r="O695" s="294">
        <v>90000000</v>
      </c>
      <c r="P695" s="294">
        <v>600000000</v>
      </c>
      <c r="Q695" s="294">
        <v>2000000</v>
      </c>
      <c r="R695" s="294">
        <f t="shared" si="16"/>
        <v>692000000</v>
      </c>
      <c r="S695" s="277" t="s">
        <v>2504</v>
      </c>
      <c r="T695" s="296" t="s">
        <v>2065</v>
      </c>
      <c r="U695" s="291"/>
      <c r="V695" s="278" t="s">
        <v>2426</v>
      </c>
      <c r="W695" s="291" t="s">
        <v>938</v>
      </c>
      <c r="X695" s="81"/>
      <c r="Y695" s="81"/>
      <c r="Z695" s="81"/>
      <c r="AA695" s="81"/>
      <c r="AB695" s="81"/>
      <c r="AC695" s="81"/>
      <c r="AD695" s="81"/>
      <c r="AE695" s="81"/>
    </row>
    <row r="696" spans="1:31" s="1" customFormat="1" ht="40.5">
      <c r="A696" s="268">
        <v>695</v>
      </c>
      <c r="B696" s="290">
        <v>113</v>
      </c>
      <c r="C696" s="280" t="s">
        <v>178</v>
      </c>
      <c r="D696" s="277" t="s">
        <v>2519</v>
      </c>
      <c r="E696" s="291" t="s">
        <v>2525</v>
      </c>
      <c r="F696" s="291" t="s">
        <v>2526</v>
      </c>
      <c r="G696" s="291" t="s">
        <v>2527</v>
      </c>
      <c r="H696" s="277">
        <v>265</v>
      </c>
      <c r="I696" s="277">
        <v>0</v>
      </c>
      <c r="J696" s="277">
        <v>10</v>
      </c>
      <c r="K696" s="277">
        <v>9</v>
      </c>
      <c r="L696" s="277">
        <v>3</v>
      </c>
      <c r="M696" s="277"/>
      <c r="N696" s="277">
        <v>1</v>
      </c>
      <c r="O696" s="294">
        <v>15000000</v>
      </c>
      <c r="P696" s="294">
        <v>70000000</v>
      </c>
      <c r="Q696" s="294">
        <v>25000000</v>
      </c>
      <c r="R696" s="294">
        <f t="shared" si="16"/>
        <v>110000000</v>
      </c>
      <c r="S696" s="277" t="s">
        <v>2504</v>
      </c>
      <c r="T696" s="296" t="s">
        <v>2528</v>
      </c>
      <c r="U696" s="291"/>
      <c r="V696" s="278" t="s">
        <v>2319</v>
      </c>
      <c r="W696" s="291" t="s">
        <v>2031</v>
      </c>
      <c r="X696" s="81"/>
      <c r="Y696" s="81"/>
      <c r="Z696" s="81"/>
      <c r="AA696" s="81"/>
      <c r="AB696" s="81"/>
      <c r="AC696" s="81"/>
      <c r="AD696" s="81"/>
      <c r="AE696" s="81"/>
    </row>
    <row r="697" spans="1:31" s="1" customFormat="1" ht="67.5">
      <c r="A697" s="268">
        <v>696</v>
      </c>
      <c r="B697" s="290">
        <v>113</v>
      </c>
      <c r="C697" s="280" t="s">
        <v>178</v>
      </c>
      <c r="D697" s="277" t="s">
        <v>2529</v>
      </c>
      <c r="E697" s="291" t="s">
        <v>2530</v>
      </c>
      <c r="F697" s="291" t="s">
        <v>2531</v>
      </c>
      <c r="G697" s="291" t="s">
        <v>2532</v>
      </c>
      <c r="H697" s="277">
        <v>550</v>
      </c>
      <c r="I697" s="277" t="s">
        <v>2533</v>
      </c>
      <c r="J697" s="277">
        <v>10</v>
      </c>
      <c r="K697" s="277">
        <v>13</v>
      </c>
      <c r="L697" s="277">
        <v>6</v>
      </c>
      <c r="M697" s="277">
        <v>6</v>
      </c>
      <c r="N697" s="277">
        <v>4</v>
      </c>
      <c r="O697" s="294">
        <v>28000000</v>
      </c>
      <c r="P697" s="294">
        <v>21000000</v>
      </c>
      <c r="Q697" s="294">
        <v>10000000</v>
      </c>
      <c r="R697" s="294">
        <f t="shared" si="16"/>
        <v>59000000</v>
      </c>
      <c r="S697" s="277" t="s">
        <v>2534</v>
      </c>
      <c r="T697" s="291" t="s">
        <v>2535</v>
      </c>
      <c r="U697" s="291"/>
      <c r="V697" s="278" t="s">
        <v>2536</v>
      </c>
      <c r="W697" s="291" t="s">
        <v>1610</v>
      </c>
      <c r="X697" s="81"/>
      <c r="Y697" s="81"/>
      <c r="Z697" s="81"/>
      <c r="AA697" s="81"/>
      <c r="AB697" s="81"/>
      <c r="AC697" s="81"/>
      <c r="AD697" s="81"/>
      <c r="AE697" s="81"/>
    </row>
    <row r="698" spans="1:31" s="1" customFormat="1" ht="27">
      <c r="A698" s="268">
        <v>697</v>
      </c>
      <c r="B698" s="290">
        <v>113</v>
      </c>
      <c r="C698" s="280" t="s">
        <v>178</v>
      </c>
      <c r="D698" s="277" t="s">
        <v>2512</v>
      </c>
      <c r="E698" s="291" t="s">
        <v>2102</v>
      </c>
      <c r="F698" s="291" t="s">
        <v>2537</v>
      </c>
      <c r="G698" s="291" t="s">
        <v>2538</v>
      </c>
      <c r="H698" s="277">
        <v>50</v>
      </c>
      <c r="I698" s="277">
        <v>15</v>
      </c>
      <c r="J698" s="277">
        <v>30</v>
      </c>
      <c r="K698" s="277">
        <v>5</v>
      </c>
      <c r="L698" s="277" t="s">
        <v>2539</v>
      </c>
      <c r="M698" s="277"/>
      <c r="N698" s="277"/>
      <c r="O698" s="294">
        <v>10000000</v>
      </c>
      <c r="P698" s="294">
        <v>48000000</v>
      </c>
      <c r="Q698" s="294">
        <v>2000000</v>
      </c>
      <c r="R698" s="294">
        <f t="shared" si="16"/>
        <v>60000000</v>
      </c>
      <c r="S698" s="277" t="s">
        <v>2504</v>
      </c>
      <c r="T698" s="291" t="s">
        <v>2540</v>
      </c>
      <c r="U698" s="291"/>
      <c r="V698" s="278" t="s">
        <v>2354</v>
      </c>
      <c r="W698" s="291" t="s">
        <v>2423</v>
      </c>
      <c r="X698" s="81"/>
      <c r="Y698" s="81"/>
      <c r="Z698" s="81"/>
      <c r="AA698" s="81"/>
      <c r="AB698" s="81"/>
      <c r="AC698" s="81"/>
      <c r="AD698" s="81"/>
      <c r="AE698" s="81"/>
    </row>
    <row r="699" spans="1:31" s="1" customFormat="1" ht="27">
      <c r="A699" s="268">
        <v>698</v>
      </c>
      <c r="B699" s="290">
        <v>113</v>
      </c>
      <c r="C699" s="280" t="s">
        <v>178</v>
      </c>
      <c r="D699" s="277" t="s">
        <v>2529</v>
      </c>
      <c r="E699" s="291" t="s">
        <v>2541</v>
      </c>
      <c r="F699" s="291" t="s">
        <v>2542</v>
      </c>
      <c r="G699" s="291" t="s">
        <v>2543</v>
      </c>
      <c r="H699" s="277">
        <v>150</v>
      </c>
      <c r="I699" s="277">
        <v>0</v>
      </c>
      <c r="J699" s="277">
        <v>10</v>
      </c>
      <c r="K699" s="277">
        <v>1</v>
      </c>
      <c r="L699" s="277">
        <v>5</v>
      </c>
      <c r="M699" s="277"/>
      <c r="N699" s="277"/>
      <c r="O699" s="294">
        <v>15000000</v>
      </c>
      <c r="P699" s="294">
        <v>55000000</v>
      </c>
      <c r="Q699" s="294">
        <v>5000000</v>
      </c>
      <c r="R699" s="294">
        <f t="shared" si="16"/>
        <v>75000000</v>
      </c>
      <c r="S699" s="277" t="s">
        <v>2504</v>
      </c>
      <c r="T699" s="291" t="s">
        <v>2544</v>
      </c>
      <c r="U699" s="291"/>
      <c r="V699" s="278" t="s">
        <v>2345</v>
      </c>
      <c r="W699" s="291" t="s">
        <v>2545</v>
      </c>
      <c r="X699" s="81"/>
      <c r="Y699" s="81"/>
      <c r="Z699" s="81"/>
      <c r="AA699" s="81"/>
      <c r="AB699" s="81"/>
      <c r="AC699" s="81"/>
      <c r="AD699" s="81"/>
      <c r="AE699" s="81"/>
    </row>
    <row r="700" spans="1:31" s="1" customFormat="1" ht="40.5">
      <c r="A700" s="268">
        <v>699</v>
      </c>
      <c r="B700" s="290">
        <v>113</v>
      </c>
      <c r="C700" s="280" t="s">
        <v>178</v>
      </c>
      <c r="D700" s="277" t="s">
        <v>2519</v>
      </c>
      <c r="E700" s="291" t="s">
        <v>2546</v>
      </c>
      <c r="F700" s="291" t="s">
        <v>2547</v>
      </c>
      <c r="G700" s="291" t="s">
        <v>2548</v>
      </c>
      <c r="H700" s="277">
        <v>40</v>
      </c>
      <c r="I700" s="277" t="s">
        <v>2549</v>
      </c>
      <c r="J700" s="277">
        <v>8</v>
      </c>
      <c r="K700" s="277">
        <v>3</v>
      </c>
      <c r="L700" s="277" t="s">
        <v>2550</v>
      </c>
      <c r="M700" s="277"/>
      <c r="N700" s="277"/>
      <c r="O700" s="294">
        <v>3200000</v>
      </c>
      <c r="P700" s="294">
        <v>18000000</v>
      </c>
      <c r="Q700" s="294">
        <v>2000000</v>
      </c>
      <c r="R700" s="294">
        <f t="shared" si="16"/>
        <v>23200000</v>
      </c>
      <c r="S700" s="277" t="s">
        <v>2534</v>
      </c>
      <c r="T700" s="291" t="s">
        <v>2551</v>
      </c>
      <c r="U700" s="291"/>
      <c r="V700" s="278" t="s">
        <v>2426</v>
      </c>
      <c r="W700" s="291" t="s">
        <v>2552</v>
      </c>
      <c r="X700" s="81"/>
      <c r="Y700" s="81"/>
      <c r="Z700" s="81"/>
      <c r="AA700" s="81"/>
      <c r="AB700" s="81"/>
      <c r="AC700" s="81"/>
      <c r="AD700" s="81"/>
      <c r="AE700" s="81"/>
    </row>
    <row r="701" spans="1:31" s="1" customFormat="1" ht="40.5">
      <c r="A701" s="268">
        <v>700</v>
      </c>
      <c r="B701" s="290">
        <v>113</v>
      </c>
      <c r="C701" s="277" t="s">
        <v>2153</v>
      </c>
      <c r="D701" s="277" t="s">
        <v>2519</v>
      </c>
      <c r="E701" s="291" t="s">
        <v>2553</v>
      </c>
      <c r="F701" s="291" t="s">
        <v>2548</v>
      </c>
      <c r="G701" s="291" t="s">
        <v>2547</v>
      </c>
      <c r="H701" s="277" t="s">
        <v>2554</v>
      </c>
      <c r="I701" s="277"/>
      <c r="J701" s="277"/>
      <c r="K701" s="277">
        <v>2</v>
      </c>
      <c r="L701" s="277" t="s">
        <v>2555</v>
      </c>
      <c r="M701" s="277"/>
      <c r="N701" s="277"/>
      <c r="O701" s="294">
        <v>25000000</v>
      </c>
      <c r="P701" s="294">
        <v>250000000</v>
      </c>
      <c r="Q701" s="294">
        <v>5000000</v>
      </c>
      <c r="R701" s="294">
        <f t="shared" si="16"/>
        <v>280000000</v>
      </c>
      <c r="S701" s="277" t="s">
        <v>2534</v>
      </c>
      <c r="T701" s="291" t="s">
        <v>2556</v>
      </c>
      <c r="U701" s="291"/>
      <c r="V701" s="278" t="s">
        <v>2426</v>
      </c>
      <c r="W701" s="291" t="s">
        <v>2552</v>
      </c>
      <c r="X701" s="81"/>
      <c r="Y701" s="81"/>
      <c r="Z701" s="81"/>
      <c r="AA701" s="81"/>
      <c r="AB701" s="81"/>
      <c r="AC701" s="81"/>
      <c r="AD701" s="81"/>
      <c r="AE701" s="81"/>
    </row>
    <row r="702" spans="1:31" s="1" customFormat="1" ht="81">
      <c r="A702" s="268">
        <v>701</v>
      </c>
      <c r="B702" s="290">
        <v>113</v>
      </c>
      <c r="C702" s="277" t="s">
        <v>2153</v>
      </c>
      <c r="D702" s="277" t="s">
        <v>2519</v>
      </c>
      <c r="E702" s="291" t="s">
        <v>2557</v>
      </c>
      <c r="F702" s="291" t="s">
        <v>2558</v>
      </c>
      <c r="G702" s="291" t="s">
        <v>2559</v>
      </c>
      <c r="H702" s="277">
        <f>270+390+155+200</f>
        <v>1015</v>
      </c>
      <c r="I702" s="277">
        <v>0</v>
      </c>
      <c r="J702" s="277" t="s">
        <v>2560</v>
      </c>
      <c r="K702" s="277">
        <v>34</v>
      </c>
      <c r="L702" s="277" t="s">
        <v>2561</v>
      </c>
      <c r="M702" s="277"/>
      <c r="N702" s="277"/>
      <c r="O702" s="294">
        <v>90000000</v>
      </c>
      <c r="P702" s="294">
        <f>20000000+80000000</f>
        <v>100000000</v>
      </c>
      <c r="Q702" s="294">
        <v>10000000</v>
      </c>
      <c r="R702" s="294">
        <f t="shared" si="16"/>
        <v>200000000</v>
      </c>
      <c r="S702" s="277" t="s">
        <v>2504</v>
      </c>
      <c r="T702" s="296" t="s">
        <v>2562</v>
      </c>
      <c r="U702" s="291"/>
      <c r="V702" s="278" t="s">
        <v>2319</v>
      </c>
      <c r="W702" s="291" t="s">
        <v>2563</v>
      </c>
      <c r="X702" s="81"/>
      <c r="Y702" s="81"/>
      <c r="Z702" s="81"/>
      <c r="AA702" s="81"/>
      <c r="AB702" s="81"/>
      <c r="AC702" s="81"/>
      <c r="AD702" s="81"/>
      <c r="AE702" s="81"/>
    </row>
    <row r="703" spans="1:31" s="1" customFormat="1" ht="81">
      <c r="A703" s="268">
        <v>702</v>
      </c>
      <c r="B703" s="290">
        <v>113</v>
      </c>
      <c r="C703" s="277" t="s">
        <v>2153</v>
      </c>
      <c r="D703" s="277" t="s">
        <v>2519</v>
      </c>
      <c r="E703" s="291" t="s">
        <v>2553</v>
      </c>
      <c r="F703" s="291" t="s">
        <v>2548</v>
      </c>
      <c r="G703" s="291" t="s">
        <v>2547</v>
      </c>
      <c r="H703" s="277" t="s">
        <v>2554</v>
      </c>
      <c r="I703" s="277"/>
      <c r="J703" s="277"/>
      <c r="K703" s="277">
        <v>2</v>
      </c>
      <c r="L703" s="277" t="s">
        <v>2555</v>
      </c>
      <c r="M703" s="277"/>
      <c r="N703" s="277"/>
      <c r="O703" s="294">
        <v>25000000</v>
      </c>
      <c r="P703" s="294">
        <v>250000000</v>
      </c>
      <c r="Q703" s="294">
        <v>5000000</v>
      </c>
      <c r="R703" s="294">
        <f t="shared" si="16"/>
        <v>280000000</v>
      </c>
      <c r="S703" s="277" t="s">
        <v>2564</v>
      </c>
      <c r="T703" s="291" t="s">
        <v>2565</v>
      </c>
      <c r="U703" s="291"/>
      <c r="V703" s="278" t="s">
        <v>2426</v>
      </c>
      <c r="W703" s="291" t="s">
        <v>2552</v>
      </c>
      <c r="X703" s="81"/>
      <c r="Y703" s="81"/>
      <c r="Z703" s="81"/>
      <c r="AA703" s="81"/>
      <c r="AB703" s="81"/>
      <c r="AC703" s="81"/>
      <c r="AD703" s="81"/>
      <c r="AE703" s="81"/>
    </row>
    <row r="704" spans="1:31" s="1" customFormat="1" ht="27">
      <c r="A704" s="268">
        <v>703</v>
      </c>
      <c r="B704" s="290">
        <v>113</v>
      </c>
      <c r="C704" s="280" t="s">
        <v>178</v>
      </c>
      <c r="D704" s="277" t="s">
        <v>2519</v>
      </c>
      <c r="E704" s="291" t="s">
        <v>2546</v>
      </c>
      <c r="F704" s="291" t="s">
        <v>2547</v>
      </c>
      <c r="G704" s="291" t="s">
        <v>2548</v>
      </c>
      <c r="H704" s="277">
        <v>40</v>
      </c>
      <c r="I704" s="277" t="s">
        <v>2549</v>
      </c>
      <c r="J704" s="277">
        <v>8</v>
      </c>
      <c r="K704" s="277">
        <v>3</v>
      </c>
      <c r="L704" s="277" t="s">
        <v>2550</v>
      </c>
      <c r="M704" s="277"/>
      <c r="N704" s="277"/>
      <c r="O704" s="294">
        <v>3200000</v>
      </c>
      <c r="P704" s="294">
        <v>18000000</v>
      </c>
      <c r="Q704" s="294">
        <v>2000000</v>
      </c>
      <c r="R704" s="294">
        <f t="shared" si="16"/>
        <v>23200000</v>
      </c>
      <c r="S704" s="277" t="s">
        <v>2564</v>
      </c>
      <c r="T704" s="291" t="s">
        <v>2566</v>
      </c>
      <c r="U704" s="291"/>
      <c r="V704" s="278" t="s">
        <v>2426</v>
      </c>
      <c r="W704" s="291" t="s">
        <v>2552</v>
      </c>
      <c r="X704" s="81"/>
      <c r="Y704" s="81"/>
      <c r="Z704" s="81"/>
      <c r="AA704" s="81"/>
      <c r="AB704" s="81"/>
      <c r="AC704" s="81"/>
      <c r="AD704" s="81"/>
      <c r="AE704" s="81"/>
    </row>
    <row r="705" spans="1:31" s="1" customFormat="1" ht="54">
      <c r="A705" s="268">
        <v>704</v>
      </c>
      <c r="B705" s="290">
        <v>113</v>
      </c>
      <c r="C705" s="280" t="s">
        <v>178</v>
      </c>
      <c r="D705" s="277" t="s">
        <v>2519</v>
      </c>
      <c r="E705" s="291" t="s">
        <v>2567</v>
      </c>
      <c r="F705" s="291" t="s">
        <v>2568</v>
      </c>
      <c r="G705" s="291" t="s">
        <v>2569</v>
      </c>
      <c r="H705" s="277">
        <v>50</v>
      </c>
      <c r="I705" s="277">
        <v>0</v>
      </c>
      <c r="J705" s="277">
        <v>8</v>
      </c>
      <c r="K705" s="277">
        <v>2</v>
      </c>
      <c r="L705" s="277">
        <v>1</v>
      </c>
      <c r="M705" s="277"/>
      <c r="N705" s="277"/>
      <c r="O705" s="294">
        <v>5000000</v>
      </c>
      <c r="P705" s="294">
        <v>60000000</v>
      </c>
      <c r="Q705" s="294">
        <v>5000000</v>
      </c>
      <c r="R705" s="294">
        <f t="shared" si="16"/>
        <v>70000000</v>
      </c>
      <c r="S705" s="277" t="s">
        <v>2570</v>
      </c>
      <c r="T705" s="291" t="s">
        <v>2571</v>
      </c>
      <c r="U705" s="291"/>
      <c r="V705" s="278" t="s">
        <v>2572</v>
      </c>
      <c r="W705" s="291"/>
      <c r="X705" s="81"/>
      <c r="Y705" s="81"/>
      <c r="Z705" s="81"/>
      <c r="AA705" s="81"/>
      <c r="AB705" s="81"/>
      <c r="AC705" s="81"/>
      <c r="AD705" s="81"/>
      <c r="AE705" s="81"/>
    </row>
    <row r="706" spans="1:31" s="1" customFormat="1" ht="27">
      <c r="A706" s="268">
        <v>705</v>
      </c>
      <c r="B706" s="290">
        <v>113</v>
      </c>
      <c r="C706" s="280" t="s">
        <v>178</v>
      </c>
      <c r="D706" s="277" t="s">
        <v>2519</v>
      </c>
      <c r="E706" s="291" t="s">
        <v>2573</v>
      </c>
      <c r="F706" s="291" t="s">
        <v>2574</v>
      </c>
      <c r="G706" s="291" t="s">
        <v>2575</v>
      </c>
      <c r="H706" s="277">
        <v>50</v>
      </c>
      <c r="I706" s="277" t="s">
        <v>2576</v>
      </c>
      <c r="J706" s="277">
        <v>8</v>
      </c>
      <c r="K706" s="277">
        <v>2</v>
      </c>
      <c r="L706" s="277">
        <v>1</v>
      </c>
      <c r="M706" s="277" t="s">
        <v>2577</v>
      </c>
      <c r="N706" s="277"/>
      <c r="O706" s="294">
        <v>4000000</v>
      </c>
      <c r="P706" s="294">
        <v>4000000</v>
      </c>
      <c r="Q706" s="294">
        <v>500000</v>
      </c>
      <c r="R706" s="294">
        <f t="shared" si="16"/>
        <v>8500000</v>
      </c>
      <c r="S706" s="277" t="s">
        <v>2570</v>
      </c>
      <c r="T706" s="291" t="s">
        <v>2578</v>
      </c>
      <c r="U706" s="291"/>
      <c r="V706" s="278" t="s">
        <v>2579</v>
      </c>
      <c r="W706" s="291" t="s">
        <v>1436</v>
      </c>
      <c r="X706" s="81"/>
      <c r="Y706" s="81"/>
      <c r="Z706" s="81"/>
      <c r="AA706" s="81"/>
      <c r="AB706" s="81"/>
      <c r="AC706" s="81"/>
      <c r="AD706" s="81"/>
      <c r="AE706" s="81"/>
    </row>
    <row r="707" spans="1:31" s="1" customFormat="1" ht="67.5">
      <c r="A707" s="268">
        <v>706</v>
      </c>
      <c r="B707" s="290">
        <v>113</v>
      </c>
      <c r="C707" s="280" t="s">
        <v>178</v>
      </c>
      <c r="D707" s="277" t="s">
        <v>2580</v>
      </c>
      <c r="E707" s="291" t="s">
        <v>2581</v>
      </c>
      <c r="F707" s="291" t="s">
        <v>2582</v>
      </c>
      <c r="G707" s="291" t="s">
        <v>2583</v>
      </c>
      <c r="H707" s="277">
        <v>1258</v>
      </c>
      <c r="I707" s="277">
        <v>0</v>
      </c>
      <c r="J707" s="277">
        <v>20</v>
      </c>
      <c r="K707" s="298">
        <v>0.22</v>
      </c>
      <c r="L707" s="298">
        <v>0.78</v>
      </c>
      <c r="M707" s="277">
        <v>1</v>
      </c>
      <c r="N707" s="277"/>
      <c r="O707" s="294">
        <v>448000000</v>
      </c>
      <c r="P707" s="294">
        <v>207000000</v>
      </c>
      <c r="Q707" s="294">
        <v>0</v>
      </c>
      <c r="R707" s="294">
        <f t="shared" si="16"/>
        <v>655000000</v>
      </c>
      <c r="S707" s="277" t="s">
        <v>2564</v>
      </c>
      <c r="T707" s="291" t="s">
        <v>2584</v>
      </c>
      <c r="U707" s="291"/>
      <c r="V707" s="278"/>
      <c r="W707" s="291" t="s">
        <v>2227</v>
      </c>
      <c r="X707" s="81"/>
      <c r="Y707" s="81"/>
      <c r="Z707" s="81"/>
      <c r="AA707" s="81"/>
      <c r="AB707" s="81"/>
      <c r="AC707" s="81"/>
      <c r="AD707" s="81"/>
      <c r="AE707" s="81"/>
    </row>
    <row r="708" spans="1:31" s="1" customFormat="1" ht="27">
      <c r="A708" s="268">
        <v>707</v>
      </c>
      <c r="B708" s="290">
        <v>113</v>
      </c>
      <c r="C708" s="277" t="s">
        <v>178</v>
      </c>
      <c r="D708" s="277" t="s">
        <v>2495</v>
      </c>
      <c r="E708" s="291" t="s">
        <v>2585</v>
      </c>
      <c r="F708" s="291" t="s">
        <v>2586</v>
      </c>
      <c r="G708" s="291" t="s">
        <v>2587</v>
      </c>
      <c r="H708" s="277">
        <v>20</v>
      </c>
      <c r="I708" s="277">
        <v>4</v>
      </c>
      <c r="J708" s="277">
        <v>6</v>
      </c>
      <c r="K708" s="277">
        <v>1</v>
      </c>
      <c r="L708" s="277">
        <v>1</v>
      </c>
      <c r="M708" s="277" t="s">
        <v>2588</v>
      </c>
      <c r="N708" s="277"/>
      <c r="O708" s="294">
        <v>1500000</v>
      </c>
      <c r="P708" s="294">
        <v>4000000</v>
      </c>
      <c r="Q708" s="294">
        <v>2500000</v>
      </c>
      <c r="R708" s="294">
        <f t="shared" si="16"/>
        <v>8000000</v>
      </c>
      <c r="S708" s="277" t="s">
        <v>2570</v>
      </c>
      <c r="T708" s="291" t="s">
        <v>2589</v>
      </c>
      <c r="U708" s="291"/>
      <c r="V708" s="278"/>
      <c r="W708" s="291" t="s">
        <v>1575</v>
      </c>
      <c r="X708" s="81"/>
      <c r="Y708" s="81"/>
      <c r="Z708" s="81"/>
      <c r="AA708" s="81"/>
      <c r="AB708" s="81"/>
      <c r="AC708" s="81"/>
      <c r="AD708" s="81"/>
      <c r="AE708" s="81"/>
    </row>
    <row r="709" spans="1:31" s="1" customFormat="1" ht="27">
      <c r="A709" s="268">
        <v>708</v>
      </c>
      <c r="B709" s="290">
        <v>113</v>
      </c>
      <c r="C709" s="299" t="s">
        <v>178</v>
      </c>
      <c r="D709" s="277" t="s">
        <v>2500</v>
      </c>
      <c r="E709" s="291" t="s">
        <v>2590</v>
      </c>
      <c r="F709" s="291" t="s">
        <v>2591</v>
      </c>
      <c r="G709" s="291" t="s">
        <v>2592</v>
      </c>
      <c r="H709" s="277">
        <v>406</v>
      </c>
      <c r="I709" s="277">
        <v>0</v>
      </c>
      <c r="J709" s="277">
        <v>15</v>
      </c>
      <c r="K709" s="277">
        <v>9</v>
      </c>
      <c r="L709" s="277">
        <v>17</v>
      </c>
      <c r="M709" s="277"/>
      <c r="N709" s="277">
        <v>1</v>
      </c>
      <c r="O709" s="294">
        <v>90000000</v>
      </c>
      <c r="P709" s="294">
        <v>210000000</v>
      </c>
      <c r="Q709" s="294">
        <v>30000000</v>
      </c>
      <c r="R709" s="294">
        <f t="shared" si="16"/>
        <v>330000000</v>
      </c>
      <c r="S709" s="277" t="s">
        <v>2593</v>
      </c>
      <c r="T709" s="291" t="s">
        <v>2594</v>
      </c>
      <c r="U709" s="291"/>
      <c r="V709" s="278" t="s">
        <v>2595</v>
      </c>
      <c r="W709" s="291" t="s">
        <v>1381</v>
      </c>
      <c r="X709" s="81"/>
      <c r="Y709" s="81"/>
      <c r="Z709" s="81"/>
      <c r="AA709" s="81"/>
      <c r="AB709" s="81"/>
      <c r="AC709" s="81"/>
      <c r="AD709" s="81"/>
      <c r="AE709" s="81"/>
    </row>
    <row r="710" spans="1:31" s="1" customFormat="1" ht="54">
      <c r="A710" s="268">
        <v>709</v>
      </c>
      <c r="B710" s="290">
        <v>113</v>
      </c>
      <c r="C710" s="280" t="s">
        <v>178</v>
      </c>
      <c r="D710" s="277" t="s">
        <v>2529</v>
      </c>
      <c r="E710" s="291" t="s">
        <v>2596</v>
      </c>
      <c r="F710" s="291" t="s">
        <v>2597</v>
      </c>
      <c r="G710" s="291" t="s">
        <v>2598</v>
      </c>
      <c r="H710" s="277">
        <v>900</v>
      </c>
      <c r="I710" s="277" t="s">
        <v>2599</v>
      </c>
      <c r="J710" s="277">
        <v>20</v>
      </c>
      <c r="K710" s="277">
        <v>7</v>
      </c>
      <c r="L710" s="277">
        <v>71</v>
      </c>
      <c r="M710" s="277">
        <v>3</v>
      </c>
      <c r="N710" s="277">
        <v>8</v>
      </c>
      <c r="O710" s="294">
        <v>100000000</v>
      </c>
      <c r="P710" s="294">
        <v>670000000</v>
      </c>
      <c r="Q710" s="294">
        <v>30000000</v>
      </c>
      <c r="R710" s="294">
        <f t="shared" si="16"/>
        <v>800000000</v>
      </c>
      <c r="S710" s="277" t="s">
        <v>2564</v>
      </c>
      <c r="T710" s="291" t="s">
        <v>2600</v>
      </c>
      <c r="U710" s="291"/>
      <c r="V710" s="278" t="s">
        <v>2601</v>
      </c>
      <c r="W710" s="291" t="s">
        <v>1510</v>
      </c>
      <c r="X710" s="81"/>
      <c r="Y710" s="81"/>
      <c r="Z710" s="81"/>
      <c r="AA710" s="81"/>
      <c r="AB710" s="81"/>
      <c r="AC710" s="81"/>
      <c r="AD710" s="81"/>
      <c r="AE710" s="81"/>
    </row>
    <row r="711" spans="1:31" s="1" customFormat="1" ht="40.5">
      <c r="A711" s="268">
        <v>710</v>
      </c>
      <c r="B711" s="290">
        <v>113</v>
      </c>
      <c r="C711" s="277" t="s">
        <v>178</v>
      </c>
      <c r="D711" s="277" t="s">
        <v>2529</v>
      </c>
      <c r="E711" s="291" t="s">
        <v>2602</v>
      </c>
      <c r="F711" s="291" t="s">
        <v>2603</v>
      </c>
      <c r="G711" s="291" t="s">
        <v>2604</v>
      </c>
      <c r="H711" s="277">
        <v>1155</v>
      </c>
      <c r="I711" s="277" t="s">
        <v>2605</v>
      </c>
      <c r="J711" s="277">
        <v>10</v>
      </c>
      <c r="K711" s="277">
        <v>14</v>
      </c>
      <c r="L711" s="277">
        <v>48</v>
      </c>
      <c r="M711" s="277">
        <v>15</v>
      </c>
      <c r="N711" s="277" t="s">
        <v>2606</v>
      </c>
      <c r="O711" s="294">
        <v>700000000</v>
      </c>
      <c r="P711" s="294">
        <v>180000000</v>
      </c>
      <c r="Q711" s="294">
        <v>2000000</v>
      </c>
      <c r="R711" s="294">
        <f t="shared" si="16"/>
        <v>882000000</v>
      </c>
      <c r="S711" s="277" t="s">
        <v>2593</v>
      </c>
      <c r="T711" s="291" t="s">
        <v>2607</v>
      </c>
      <c r="U711" s="291"/>
      <c r="V711" s="278" t="s">
        <v>2608</v>
      </c>
      <c r="W711" s="291" t="s">
        <v>1471</v>
      </c>
      <c r="X711" s="81"/>
      <c r="Y711" s="81"/>
      <c r="Z711" s="81"/>
      <c r="AA711" s="81"/>
      <c r="AB711" s="81"/>
      <c r="AC711" s="81"/>
      <c r="AD711" s="81"/>
      <c r="AE711" s="81"/>
    </row>
    <row r="712" spans="1:31" s="1" customFormat="1" ht="54">
      <c r="A712" s="268">
        <v>711</v>
      </c>
      <c r="B712" s="290">
        <v>113</v>
      </c>
      <c r="C712" s="299" t="s">
        <v>178</v>
      </c>
      <c r="D712" s="277" t="s">
        <v>2609</v>
      </c>
      <c r="E712" s="291" t="s">
        <v>2610</v>
      </c>
      <c r="F712" s="291" t="s">
        <v>2611</v>
      </c>
      <c r="G712" s="291" t="s">
        <v>2612</v>
      </c>
      <c r="H712" s="277">
        <v>662</v>
      </c>
      <c r="I712" s="277">
        <v>0</v>
      </c>
      <c r="J712" s="277">
        <v>7.5</v>
      </c>
      <c r="K712" s="277" t="s">
        <v>2613</v>
      </c>
      <c r="L712" s="277"/>
      <c r="M712" s="277"/>
      <c r="N712" s="277"/>
      <c r="O712" s="294">
        <v>250000000</v>
      </c>
      <c r="P712" s="294">
        <v>86000000</v>
      </c>
      <c r="Q712" s="294">
        <v>0</v>
      </c>
      <c r="R712" s="294">
        <f t="shared" si="16"/>
        <v>336000000</v>
      </c>
      <c r="S712" s="277" t="s">
        <v>2614</v>
      </c>
      <c r="T712" s="291" t="s">
        <v>2615</v>
      </c>
      <c r="U712" s="291"/>
      <c r="V712" s="278"/>
      <c r="W712" s="291" t="s">
        <v>2616</v>
      </c>
      <c r="X712" s="81"/>
      <c r="Y712" s="81"/>
      <c r="Z712" s="81"/>
      <c r="AA712" s="81"/>
      <c r="AB712" s="81"/>
      <c r="AC712" s="81"/>
      <c r="AD712" s="81"/>
      <c r="AE712" s="81"/>
    </row>
    <row r="713" spans="1:31" s="1" customFormat="1" ht="54">
      <c r="A713" s="268">
        <v>712</v>
      </c>
      <c r="B713" s="290">
        <v>113</v>
      </c>
      <c r="C713" s="277" t="s">
        <v>178</v>
      </c>
      <c r="D713" s="277" t="s">
        <v>2609</v>
      </c>
      <c r="E713" s="291" t="s">
        <v>2617</v>
      </c>
      <c r="F713" s="291" t="s">
        <v>2618</v>
      </c>
      <c r="G713" s="291" t="s">
        <v>2619</v>
      </c>
      <c r="H713" s="277" t="s">
        <v>2620</v>
      </c>
      <c r="I713" s="277">
        <v>5</v>
      </c>
      <c r="J713" s="277">
        <v>12</v>
      </c>
      <c r="K713" s="277">
        <v>3</v>
      </c>
      <c r="L713" s="277">
        <v>41</v>
      </c>
      <c r="M713" s="277">
        <v>1</v>
      </c>
      <c r="N713" s="277">
        <v>6</v>
      </c>
      <c r="O713" s="294">
        <v>80000000</v>
      </c>
      <c r="P713" s="294">
        <v>100000000</v>
      </c>
      <c r="Q713" s="294">
        <v>20000000</v>
      </c>
      <c r="R713" s="294">
        <f t="shared" si="16"/>
        <v>200000000</v>
      </c>
      <c r="S713" s="277" t="s">
        <v>2593</v>
      </c>
      <c r="T713" s="291" t="s">
        <v>2621</v>
      </c>
      <c r="U713" s="291"/>
      <c r="V713" s="278"/>
      <c r="W713" s="291" t="s">
        <v>879</v>
      </c>
      <c r="X713" s="81"/>
      <c r="Y713" s="81"/>
      <c r="Z713" s="81"/>
      <c r="AA713" s="81"/>
      <c r="AB713" s="81"/>
      <c r="AC713" s="81"/>
      <c r="AD713" s="81"/>
      <c r="AE713" s="81"/>
    </row>
    <row r="714" spans="1:31" s="1" customFormat="1" ht="40.5">
      <c r="A714" s="268">
        <v>713</v>
      </c>
      <c r="B714" s="290">
        <v>113</v>
      </c>
      <c r="C714" s="277" t="s">
        <v>2622</v>
      </c>
      <c r="D714" s="277" t="s">
        <v>2519</v>
      </c>
      <c r="E714" s="291" t="s">
        <v>2553</v>
      </c>
      <c r="F714" s="291" t="s">
        <v>2548</v>
      </c>
      <c r="G714" s="291" t="s">
        <v>2547</v>
      </c>
      <c r="H714" s="277" t="s">
        <v>2554</v>
      </c>
      <c r="I714" s="277"/>
      <c r="J714" s="277"/>
      <c r="K714" s="277">
        <v>2</v>
      </c>
      <c r="L714" s="277" t="s">
        <v>2623</v>
      </c>
      <c r="M714" s="277"/>
      <c r="N714" s="277"/>
      <c r="O714" s="294">
        <v>25000000</v>
      </c>
      <c r="P714" s="294">
        <v>250000000</v>
      </c>
      <c r="Q714" s="294">
        <v>5000000</v>
      </c>
      <c r="R714" s="294">
        <f t="shared" ref="R714:R734" si="17">SUM(O714:Q714)</f>
        <v>280000000</v>
      </c>
      <c r="S714" s="277" t="s">
        <v>2624</v>
      </c>
      <c r="T714" s="291" t="s">
        <v>2625</v>
      </c>
      <c r="U714" s="291"/>
      <c r="V714" s="278"/>
      <c r="W714" s="291" t="s">
        <v>725</v>
      </c>
      <c r="X714" s="81"/>
      <c r="Y714" s="81"/>
      <c r="Z714" s="81"/>
      <c r="AA714" s="81"/>
      <c r="AB714" s="81"/>
      <c r="AC714" s="81"/>
      <c r="AD714" s="81"/>
      <c r="AE714" s="81"/>
    </row>
    <row r="715" spans="1:31" s="1" customFormat="1" ht="40.5">
      <c r="A715" s="268">
        <v>714</v>
      </c>
      <c r="B715" s="290">
        <v>113</v>
      </c>
      <c r="C715" s="277" t="s">
        <v>178</v>
      </c>
      <c r="D715" s="277" t="s">
        <v>2519</v>
      </c>
      <c r="E715" s="291" t="s">
        <v>2546</v>
      </c>
      <c r="F715" s="291" t="s">
        <v>2547</v>
      </c>
      <c r="G715" s="291" t="s">
        <v>2548</v>
      </c>
      <c r="H715" s="277">
        <v>40</v>
      </c>
      <c r="I715" s="277" t="s">
        <v>2626</v>
      </c>
      <c r="J715" s="277">
        <v>8</v>
      </c>
      <c r="K715" s="277">
        <v>3</v>
      </c>
      <c r="L715" s="277" t="s">
        <v>2627</v>
      </c>
      <c r="M715" s="277"/>
      <c r="N715" s="277"/>
      <c r="O715" s="294">
        <v>3200000</v>
      </c>
      <c r="P715" s="294">
        <v>18000000</v>
      </c>
      <c r="Q715" s="294">
        <v>2000000</v>
      </c>
      <c r="R715" s="294">
        <f t="shared" si="17"/>
        <v>23200000</v>
      </c>
      <c r="S715" s="277" t="s">
        <v>2624</v>
      </c>
      <c r="T715" s="291" t="s">
        <v>2628</v>
      </c>
      <c r="U715" s="291"/>
      <c r="V715" s="278"/>
      <c r="W715" s="291" t="s">
        <v>2629</v>
      </c>
      <c r="X715" s="81"/>
      <c r="Y715" s="81"/>
      <c r="Z715" s="81"/>
      <c r="AA715" s="81"/>
      <c r="AB715" s="81"/>
      <c r="AC715" s="81"/>
      <c r="AD715" s="81"/>
      <c r="AE715" s="81"/>
    </row>
    <row r="716" spans="1:31" s="1" customFormat="1" ht="40.5">
      <c r="A716" s="268">
        <v>715</v>
      </c>
      <c r="B716" s="290">
        <v>113</v>
      </c>
      <c r="C716" s="277" t="s">
        <v>178</v>
      </c>
      <c r="D716" s="277" t="s">
        <v>2519</v>
      </c>
      <c r="E716" s="291" t="s">
        <v>3152</v>
      </c>
      <c r="F716" s="291" t="s">
        <v>2447</v>
      </c>
      <c r="G716" s="291" t="s">
        <v>2448</v>
      </c>
      <c r="H716" s="277">
        <v>150</v>
      </c>
      <c r="I716" s="277" t="s">
        <v>2630</v>
      </c>
      <c r="J716" s="277">
        <v>8</v>
      </c>
      <c r="K716" s="277">
        <v>4</v>
      </c>
      <c r="L716" s="277" t="s">
        <v>2631</v>
      </c>
      <c r="M716" s="277"/>
      <c r="N716" s="277"/>
      <c r="O716" s="294">
        <v>12000000</v>
      </c>
      <c r="P716" s="294">
        <v>12000000</v>
      </c>
      <c r="Q716" s="294"/>
      <c r="R716" s="294">
        <f t="shared" si="17"/>
        <v>24000000</v>
      </c>
      <c r="S716" s="277" t="s">
        <v>2632</v>
      </c>
      <c r="T716" s="291" t="s">
        <v>2633</v>
      </c>
      <c r="U716" s="291"/>
      <c r="V716" s="278"/>
      <c r="W716" s="291" t="s">
        <v>938</v>
      </c>
      <c r="X716" s="81"/>
      <c r="Y716" s="81"/>
      <c r="Z716" s="81"/>
      <c r="AA716" s="81"/>
      <c r="AB716" s="81"/>
      <c r="AC716" s="81"/>
      <c r="AD716" s="81"/>
      <c r="AE716" s="81"/>
    </row>
    <row r="717" spans="1:31" s="1" customFormat="1" ht="54">
      <c r="A717" s="268">
        <v>716</v>
      </c>
      <c r="B717" s="290">
        <v>113</v>
      </c>
      <c r="C717" s="277" t="s">
        <v>178</v>
      </c>
      <c r="D717" s="277" t="s">
        <v>2519</v>
      </c>
      <c r="E717" s="291" t="s">
        <v>3153</v>
      </c>
      <c r="F717" s="291" t="s">
        <v>2634</v>
      </c>
      <c r="G717" s="291" t="s">
        <v>2463</v>
      </c>
      <c r="H717" s="277">
        <v>280</v>
      </c>
      <c r="I717" s="277" t="s">
        <v>2630</v>
      </c>
      <c r="J717" s="277">
        <v>10</v>
      </c>
      <c r="K717" s="277">
        <v>11</v>
      </c>
      <c r="L717" s="277">
        <v>1</v>
      </c>
      <c r="M717" s="277"/>
      <c r="N717" s="277"/>
      <c r="O717" s="294">
        <v>10000000</v>
      </c>
      <c r="P717" s="294">
        <v>55000000</v>
      </c>
      <c r="Q717" s="294">
        <v>3000000</v>
      </c>
      <c r="R717" s="294">
        <f t="shared" si="17"/>
        <v>68000000</v>
      </c>
      <c r="S717" s="277" t="s">
        <v>2624</v>
      </c>
      <c r="T717" s="291" t="s">
        <v>2635</v>
      </c>
      <c r="U717" s="291"/>
      <c r="V717" s="278"/>
      <c r="W717" s="291" t="s">
        <v>2152</v>
      </c>
      <c r="X717" s="81"/>
      <c r="Y717" s="81"/>
      <c r="Z717" s="81"/>
      <c r="AA717" s="81"/>
      <c r="AB717" s="81"/>
      <c r="AC717" s="81"/>
      <c r="AD717" s="81"/>
      <c r="AE717" s="81"/>
    </row>
    <row r="718" spans="1:31" s="1" customFormat="1" ht="27">
      <c r="A718" s="268">
        <v>717</v>
      </c>
      <c r="B718" s="290">
        <v>113</v>
      </c>
      <c r="C718" s="277" t="s">
        <v>178</v>
      </c>
      <c r="D718" s="277" t="s">
        <v>2045</v>
      </c>
      <c r="E718" s="300" t="s">
        <v>2636</v>
      </c>
      <c r="F718" s="291" t="s">
        <v>2637</v>
      </c>
      <c r="G718" s="291" t="s">
        <v>2638</v>
      </c>
      <c r="H718" s="277">
        <v>1200</v>
      </c>
      <c r="I718" s="277" t="s">
        <v>2639</v>
      </c>
      <c r="J718" s="277">
        <v>12</v>
      </c>
      <c r="K718" s="298">
        <v>0.5</v>
      </c>
      <c r="L718" s="298">
        <v>0.5</v>
      </c>
      <c r="M718" s="277"/>
      <c r="N718" s="277"/>
      <c r="O718" s="294">
        <v>150000000</v>
      </c>
      <c r="P718" s="294">
        <v>200000000</v>
      </c>
      <c r="Q718" s="294">
        <v>0</v>
      </c>
      <c r="R718" s="294">
        <f t="shared" ref="R718" si="18">SUM(O718:Q718)</f>
        <v>350000000</v>
      </c>
      <c r="S718" s="277" t="s">
        <v>2640</v>
      </c>
      <c r="T718" s="291" t="s">
        <v>2641</v>
      </c>
      <c r="U718" s="291"/>
      <c r="V718" s="278"/>
      <c r="W718" s="291" t="s">
        <v>1293</v>
      </c>
      <c r="X718" s="81"/>
      <c r="Y718" s="81"/>
      <c r="Z718" s="81"/>
      <c r="AA718" s="81"/>
      <c r="AB718" s="81"/>
      <c r="AC718" s="81"/>
      <c r="AD718" s="81"/>
      <c r="AE718" s="81"/>
    </row>
    <row r="719" spans="1:31" s="1" customFormat="1" ht="27">
      <c r="A719" s="268">
        <v>718</v>
      </c>
      <c r="B719" s="290">
        <v>113</v>
      </c>
      <c r="C719" s="277" t="s">
        <v>178</v>
      </c>
      <c r="D719" s="277" t="s">
        <v>2045</v>
      </c>
      <c r="E719" s="300" t="s">
        <v>2642</v>
      </c>
      <c r="F719" s="291" t="s">
        <v>2643</v>
      </c>
      <c r="G719" s="291" t="s">
        <v>2644</v>
      </c>
      <c r="H719" s="277">
        <v>120</v>
      </c>
      <c r="I719" s="277" t="s">
        <v>2639</v>
      </c>
      <c r="J719" s="277">
        <v>12</v>
      </c>
      <c r="K719" s="277">
        <v>7</v>
      </c>
      <c r="L719" s="277">
        <v>2</v>
      </c>
      <c r="M719" s="277"/>
      <c r="N719" s="277">
        <v>1</v>
      </c>
      <c r="O719" s="294">
        <v>20000000</v>
      </c>
      <c r="P719" s="294">
        <v>20000000</v>
      </c>
      <c r="Q719" s="294">
        <v>10000000</v>
      </c>
      <c r="R719" s="294">
        <f t="shared" si="17"/>
        <v>50000000</v>
      </c>
      <c r="S719" s="277" t="s">
        <v>2632</v>
      </c>
      <c r="T719" s="291" t="s">
        <v>2645</v>
      </c>
      <c r="U719" s="291"/>
      <c r="V719" s="278"/>
      <c r="W719" s="291" t="s">
        <v>1293</v>
      </c>
      <c r="X719" s="81"/>
      <c r="Y719" s="81"/>
      <c r="Z719" s="81"/>
      <c r="AA719" s="81"/>
      <c r="AB719" s="81"/>
      <c r="AC719" s="81"/>
      <c r="AD719" s="81"/>
      <c r="AE719" s="81"/>
    </row>
    <row r="720" spans="1:31" s="1" customFormat="1" ht="94.5">
      <c r="A720" s="268">
        <v>719</v>
      </c>
      <c r="B720" s="290">
        <v>113</v>
      </c>
      <c r="C720" s="277" t="s">
        <v>178</v>
      </c>
      <c r="D720" s="277" t="s">
        <v>2495</v>
      </c>
      <c r="E720" s="291" t="s">
        <v>2646</v>
      </c>
      <c r="F720" s="291" t="s">
        <v>2647</v>
      </c>
      <c r="G720" s="291" t="s">
        <v>2648</v>
      </c>
      <c r="H720" s="277">
        <v>850</v>
      </c>
      <c r="I720" s="277" t="s">
        <v>2649</v>
      </c>
      <c r="J720" s="277">
        <v>8</v>
      </c>
      <c r="K720" s="277">
        <v>11</v>
      </c>
      <c r="L720" s="277" t="s">
        <v>2650</v>
      </c>
      <c r="M720" s="277">
        <v>0</v>
      </c>
      <c r="N720" s="277">
        <v>5</v>
      </c>
      <c r="O720" s="294">
        <v>100000000</v>
      </c>
      <c r="P720" s="294">
        <v>100000000</v>
      </c>
      <c r="Q720" s="294">
        <v>50000000</v>
      </c>
      <c r="R720" s="294">
        <f t="shared" si="17"/>
        <v>250000000</v>
      </c>
      <c r="S720" s="277" t="s">
        <v>2651</v>
      </c>
      <c r="T720" s="291" t="s">
        <v>2652</v>
      </c>
      <c r="U720" s="291"/>
      <c r="V720" s="278"/>
      <c r="W720" s="291" t="s">
        <v>2653</v>
      </c>
      <c r="X720" s="81"/>
      <c r="Y720" s="81"/>
      <c r="Z720" s="81"/>
      <c r="AA720" s="81"/>
      <c r="AB720" s="81"/>
      <c r="AC720" s="81"/>
      <c r="AD720" s="81"/>
      <c r="AE720" s="81"/>
    </row>
    <row r="721" spans="1:31" s="1" customFormat="1" ht="94.5">
      <c r="A721" s="268">
        <v>720</v>
      </c>
      <c r="B721" s="290">
        <v>113</v>
      </c>
      <c r="C721" s="277" t="s">
        <v>178</v>
      </c>
      <c r="D721" s="277" t="s">
        <v>2495</v>
      </c>
      <c r="E721" s="291" t="s">
        <v>2654</v>
      </c>
      <c r="F721" s="291" t="s">
        <v>2655</v>
      </c>
      <c r="G721" s="291" t="s">
        <v>2656</v>
      </c>
      <c r="H721" s="277">
        <v>850</v>
      </c>
      <c r="I721" s="277" t="s">
        <v>2649</v>
      </c>
      <c r="J721" s="277">
        <v>12</v>
      </c>
      <c r="K721" s="277">
        <v>11</v>
      </c>
      <c r="L721" s="277" t="s">
        <v>2650</v>
      </c>
      <c r="M721" s="277">
        <v>5</v>
      </c>
      <c r="N721" s="277">
        <v>8</v>
      </c>
      <c r="O721" s="294">
        <v>150000000</v>
      </c>
      <c r="P721" s="294">
        <v>150000000</v>
      </c>
      <c r="Q721" s="294">
        <v>100000000</v>
      </c>
      <c r="R721" s="294">
        <f t="shared" ref="R721" si="19">SUM(O721:Q721)</f>
        <v>400000000</v>
      </c>
      <c r="S721" s="277" t="s">
        <v>2651</v>
      </c>
      <c r="T721" s="291" t="s">
        <v>2652</v>
      </c>
      <c r="U721" s="291"/>
      <c r="V721" s="278"/>
      <c r="W721" s="291" t="s">
        <v>2653</v>
      </c>
      <c r="X721" s="81"/>
      <c r="Y721" s="81"/>
      <c r="Z721" s="81"/>
      <c r="AA721" s="81"/>
      <c r="AB721" s="81"/>
      <c r="AC721" s="81"/>
      <c r="AD721" s="81"/>
      <c r="AE721" s="81"/>
    </row>
    <row r="722" spans="1:31" s="1" customFormat="1" ht="27">
      <c r="A722" s="268">
        <v>721</v>
      </c>
      <c r="B722" s="290">
        <v>113</v>
      </c>
      <c r="C722" s="277" t="s">
        <v>178</v>
      </c>
      <c r="D722" s="277" t="s">
        <v>2045</v>
      </c>
      <c r="E722" s="291" t="s">
        <v>3154</v>
      </c>
      <c r="F722" s="291" t="s">
        <v>2657</v>
      </c>
      <c r="G722" s="291" t="s">
        <v>2658</v>
      </c>
      <c r="H722" s="277">
        <v>60</v>
      </c>
      <c r="I722" s="277" t="s">
        <v>2630</v>
      </c>
      <c r="J722" s="277">
        <v>8</v>
      </c>
      <c r="K722" s="277">
        <v>2</v>
      </c>
      <c r="L722" s="277">
        <v>1</v>
      </c>
      <c r="M722" s="277"/>
      <c r="N722" s="277"/>
      <c r="O722" s="294">
        <v>5000000</v>
      </c>
      <c r="P722" s="294">
        <v>31000000</v>
      </c>
      <c r="Q722" s="294">
        <v>0</v>
      </c>
      <c r="R722" s="294">
        <f t="shared" si="17"/>
        <v>36000000</v>
      </c>
      <c r="S722" s="277" t="s">
        <v>2632</v>
      </c>
      <c r="T722" s="291" t="s">
        <v>2659</v>
      </c>
      <c r="U722" s="291"/>
      <c r="V722" s="278"/>
      <c r="W722" s="291" t="s">
        <v>2660</v>
      </c>
      <c r="X722" s="81"/>
      <c r="Y722" s="81"/>
      <c r="Z722" s="81"/>
      <c r="AA722" s="81"/>
      <c r="AB722" s="81"/>
      <c r="AC722" s="81"/>
      <c r="AD722" s="81"/>
      <c r="AE722" s="81"/>
    </row>
    <row r="723" spans="1:31" s="1" customFormat="1" ht="27">
      <c r="A723" s="268">
        <v>722</v>
      </c>
      <c r="B723" s="290">
        <v>113</v>
      </c>
      <c r="C723" s="277" t="s">
        <v>178</v>
      </c>
      <c r="D723" s="277" t="s">
        <v>2470</v>
      </c>
      <c r="E723" s="300" t="s">
        <v>2661</v>
      </c>
      <c r="F723" s="291" t="s">
        <v>2662</v>
      </c>
      <c r="G723" s="291" t="s">
        <v>2663</v>
      </c>
      <c r="H723" s="277">
        <v>60</v>
      </c>
      <c r="I723" s="277" t="s">
        <v>2630</v>
      </c>
      <c r="J723" s="277">
        <v>15</v>
      </c>
      <c r="K723" s="277">
        <v>0</v>
      </c>
      <c r="L723" s="277">
        <v>2</v>
      </c>
      <c r="M723" s="277"/>
      <c r="N723" s="277">
        <v>1</v>
      </c>
      <c r="O723" s="294">
        <v>9000000</v>
      </c>
      <c r="P723" s="294">
        <v>15000000</v>
      </c>
      <c r="Q723" s="294">
        <v>1600000</v>
      </c>
      <c r="R723" s="294">
        <f t="shared" si="17"/>
        <v>25600000</v>
      </c>
      <c r="S723" s="277" t="s">
        <v>2632</v>
      </c>
      <c r="T723" s="291" t="s">
        <v>2664</v>
      </c>
      <c r="U723" s="291"/>
      <c r="V723" s="278"/>
      <c r="W723" s="291" t="s">
        <v>2665</v>
      </c>
      <c r="X723" s="81"/>
      <c r="Y723" s="81"/>
      <c r="Z723" s="81"/>
      <c r="AA723" s="81"/>
      <c r="AB723" s="81"/>
      <c r="AC723" s="81"/>
      <c r="AD723" s="81"/>
      <c r="AE723" s="81"/>
    </row>
    <row r="724" spans="1:31" s="1" customFormat="1" ht="40.5">
      <c r="A724" s="268">
        <v>723</v>
      </c>
      <c r="B724" s="290">
        <v>113</v>
      </c>
      <c r="C724" s="277" t="s">
        <v>178</v>
      </c>
      <c r="D724" s="277" t="s">
        <v>2495</v>
      </c>
      <c r="E724" s="300" t="s">
        <v>2496</v>
      </c>
      <c r="F724" s="291" t="s">
        <v>2666</v>
      </c>
      <c r="G724" s="291" t="s">
        <v>2667</v>
      </c>
      <c r="H724" s="277">
        <v>230</v>
      </c>
      <c r="I724" s="277" t="s">
        <v>2668</v>
      </c>
      <c r="J724" s="277" t="s">
        <v>2669</v>
      </c>
      <c r="K724" s="277">
        <v>7</v>
      </c>
      <c r="L724" s="277" t="s">
        <v>2670</v>
      </c>
      <c r="M724" s="277"/>
      <c r="N724" s="277"/>
      <c r="O724" s="294">
        <v>20000000</v>
      </c>
      <c r="P724" s="294">
        <v>10000000</v>
      </c>
      <c r="Q724" s="294">
        <v>0</v>
      </c>
      <c r="R724" s="294">
        <f t="shared" si="17"/>
        <v>30000000</v>
      </c>
      <c r="S724" s="277" t="s">
        <v>2632</v>
      </c>
      <c r="T724" s="291" t="s">
        <v>2671</v>
      </c>
      <c r="U724" s="291"/>
      <c r="V724" s="278"/>
      <c r="W724" s="291" t="s">
        <v>1575</v>
      </c>
      <c r="X724" s="81"/>
      <c r="Y724" s="81"/>
      <c r="Z724" s="81"/>
      <c r="AA724" s="81"/>
      <c r="AB724" s="81"/>
      <c r="AC724" s="81"/>
      <c r="AD724" s="81"/>
      <c r="AE724" s="81"/>
    </row>
    <row r="725" spans="1:31" s="1" customFormat="1" ht="27">
      <c r="A725" s="268">
        <v>724</v>
      </c>
      <c r="B725" s="290">
        <v>113</v>
      </c>
      <c r="C725" s="277" t="s">
        <v>178</v>
      </c>
      <c r="D725" s="277" t="s">
        <v>2609</v>
      </c>
      <c r="E725" s="291" t="s">
        <v>3155</v>
      </c>
      <c r="F725" s="291" t="s">
        <v>2618</v>
      </c>
      <c r="G725" s="291" t="s">
        <v>2672</v>
      </c>
      <c r="H725" s="277">
        <v>770</v>
      </c>
      <c r="I725" s="277">
        <v>5</v>
      </c>
      <c r="J725" s="277">
        <v>12</v>
      </c>
      <c r="K725" s="277">
        <v>5</v>
      </c>
      <c r="L725" s="277" t="s">
        <v>2673</v>
      </c>
      <c r="M725" s="277">
        <v>1</v>
      </c>
      <c r="N725" s="277"/>
      <c r="O725" s="294">
        <v>199090000</v>
      </c>
      <c r="P725" s="294">
        <v>113000000</v>
      </c>
      <c r="Q725" s="294">
        <v>2910000</v>
      </c>
      <c r="R725" s="294">
        <f t="shared" si="17"/>
        <v>315000000</v>
      </c>
      <c r="S725" s="277" t="s">
        <v>2632</v>
      </c>
      <c r="T725" s="291" t="s">
        <v>2674</v>
      </c>
      <c r="U725" s="291"/>
      <c r="V725" s="278"/>
      <c r="W725" s="291" t="s">
        <v>879</v>
      </c>
      <c r="X725" s="81"/>
      <c r="Y725" s="81"/>
      <c r="Z725" s="81"/>
      <c r="AA725" s="81"/>
      <c r="AB725" s="81"/>
      <c r="AC725" s="81"/>
      <c r="AD725" s="81"/>
      <c r="AE725" s="81"/>
    </row>
    <row r="726" spans="1:31" s="1" customFormat="1" ht="81">
      <c r="A726" s="268">
        <v>725</v>
      </c>
      <c r="B726" s="290">
        <v>113</v>
      </c>
      <c r="C726" s="277" t="s">
        <v>178</v>
      </c>
      <c r="D726" s="277" t="s">
        <v>2529</v>
      </c>
      <c r="E726" s="291" t="s">
        <v>3156</v>
      </c>
      <c r="F726" s="291" t="s">
        <v>2531</v>
      </c>
      <c r="G726" s="291" t="s">
        <v>2675</v>
      </c>
      <c r="H726" s="277">
        <v>70</v>
      </c>
      <c r="I726" s="277" t="s">
        <v>2676</v>
      </c>
      <c r="J726" s="277">
        <v>10</v>
      </c>
      <c r="K726" s="277">
        <v>6</v>
      </c>
      <c r="L726" s="277" t="s">
        <v>2677</v>
      </c>
      <c r="M726" s="277">
        <v>2</v>
      </c>
      <c r="N726" s="277">
        <v>3</v>
      </c>
      <c r="O726" s="294">
        <v>10000000</v>
      </c>
      <c r="P726" s="294">
        <v>21000000</v>
      </c>
      <c r="Q726" s="294">
        <v>10000000</v>
      </c>
      <c r="R726" s="294">
        <f t="shared" si="17"/>
        <v>41000000</v>
      </c>
      <c r="S726" s="277" t="s">
        <v>2624</v>
      </c>
      <c r="T726" s="291" t="s">
        <v>2678</v>
      </c>
      <c r="U726" s="291"/>
      <c r="V726" s="278"/>
      <c r="W726" s="291" t="s">
        <v>1610</v>
      </c>
      <c r="X726" s="81"/>
      <c r="Y726" s="81"/>
      <c r="Z726" s="81"/>
      <c r="AA726" s="81"/>
      <c r="AB726" s="81"/>
      <c r="AC726" s="81"/>
      <c r="AD726" s="81"/>
      <c r="AE726" s="81"/>
    </row>
    <row r="727" spans="1:31" s="1" customFormat="1" ht="54">
      <c r="A727" s="268">
        <v>726</v>
      </c>
      <c r="B727" s="290">
        <v>113</v>
      </c>
      <c r="C727" s="277" t="s">
        <v>178</v>
      </c>
      <c r="D727" s="277" t="s">
        <v>2609</v>
      </c>
      <c r="E727" s="291" t="s">
        <v>2679</v>
      </c>
      <c r="F727" s="291" t="s">
        <v>2680</v>
      </c>
      <c r="G727" s="291" t="s">
        <v>2681</v>
      </c>
      <c r="H727" s="277">
        <v>300</v>
      </c>
      <c r="I727" s="277" t="s">
        <v>2630</v>
      </c>
      <c r="J727" s="277">
        <v>12</v>
      </c>
      <c r="K727" s="298">
        <v>1</v>
      </c>
      <c r="L727" s="277"/>
      <c r="M727" s="277"/>
      <c r="N727" s="277"/>
      <c r="O727" s="294">
        <v>234000000</v>
      </c>
      <c r="P727" s="294">
        <v>0</v>
      </c>
      <c r="Q727" s="294">
        <v>0</v>
      </c>
      <c r="R727" s="294">
        <f t="shared" ref="R727" si="20">SUM(O727:Q727)</f>
        <v>234000000</v>
      </c>
      <c r="S727" s="277" t="s">
        <v>2651</v>
      </c>
      <c r="T727" s="291" t="s">
        <v>2682</v>
      </c>
      <c r="U727" s="291"/>
      <c r="V727" s="278"/>
      <c r="W727" s="291" t="s">
        <v>2683</v>
      </c>
      <c r="X727" s="81"/>
      <c r="Y727" s="81"/>
      <c r="Z727" s="81"/>
      <c r="AA727" s="81"/>
      <c r="AB727" s="81"/>
      <c r="AC727" s="81"/>
      <c r="AD727" s="81"/>
      <c r="AE727" s="81"/>
    </row>
    <row r="728" spans="1:31" s="1" customFormat="1" ht="54">
      <c r="A728" s="268">
        <v>727</v>
      </c>
      <c r="B728" s="290">
        <v>113</v>
      </c>
      <c r="C728" s="277" t="s">
        <v>178</v>
      </c>
      <c r="D728" s="277" t="s">
        <v>2609</v>
      </c>
      <c r="E728" s="291" t="s">
        <v>2684</v>
      </c>
      <c r="F728" s="291" t="s">
        <v>2680</v>
      </c>
      <c r="G728" s="291" t="s">
        <v>2681</v>
      </c>
      <c r="H728" s="277">
        <v>190</v>
      </c>
      <c r="I728" s="277" t="s">
        <v>2630</v>
      </c>
      <c r="J728" s="277">
        <v>12</v>
      </c>
      <c r="K728" s="298">
        <v>1</v>
      </c>
      <c r="L728" s="277"/>
      <c r="M728" s="277"/>
      <c r="N728" s="277"/>
      <c r="O728" s="294">
        <v>74000000</v>
      </c>
      <c r="P728" s="294">
        <v>0</v>
      </c>
      <c r="Q728" s="294">
        <v>0</v>
      </c>
      <c r="R728" s="294">
        <f t="shared" si="17"/>
        <v>74000000</v>
      </c>
      <c r="S728" s="277" t="s">
        <v>2651</v>
      </c>
      <c r="T728" s="291" t="s">
        <v>2682</v>
      </c>
      <c r="U728" s="291"/>
      <c r="V728" s="278"/>
      <c r="W728" s="291" t="s">
        <v>2683</v>
      </c>
      <c r="X728" s="81"/>
      <c r="Y728" s="81"/>
      <c r="Z728" s="81"/>
      <c r="AA728" s="81"/>
      <c r="AB728" s="81"/>
      <c r="AC728" s="81"/>
      <c r="AD728" s="81"/>
      <c r="AE728" s="81"/>
    </row>
    <row r="729" spans="1:31" s="1" customFormat="1" ht="40.5">
      <c r="A729" s="268">
        <v>728</v>
      </c>
      <c r="B729" s="290">
        <v>113</v>
      </c>
      <c r="C729" s="277" t="s">
        <v>178</v>
      </c>
      <c r="D729" s="277" t="s">
        <v>2529</v>
      </c>
      <c r="E729" s="291" t="s">
        <v>3157</v>
      </c>
      <c r="F729" s="291" t="s">
        <v>2685</v>
      </c>
      <c r="G729" s="291" t="s">
        <v>2686</v>
      </c>
      <c r="H729" s="277">
        <v>160</v>
      </c>
      <c r="I729" s="277" t="s">
        <v>2687</v>
      </c>
      <c r="J729" s="277" t="s">
        <v>2688</v>
      </c>
      <c r="K729" s="277">
        <v>2</v>
      </c>
      <c r="L729" s="277" t="s">
        <v>2689</v>
      </c>
      <c r="M729" s="277">
        <v>2</v>
      </c>
      <c r="N729" s="277">
        <v>4</v>
      </c>
      <c r="O729" s="294">
        <v>10000000</v>
      </c>
      <c r="P729" s="294">
        <v>120000000</v>
      </c>
      <c r="Q729" s="294">
        <v>16000000</v>
      </c>
      <c r="R729" s="294">
        <f t="shared" si="17"/>
        <v>146000000</v>
      </c>
      <c r="S729" s="277" t="s">
        <v>2690</v>
      </c>
      <c r="T729" s="291" t="s">
        <v>2691</v>
      </c>
      <c r="U729" s="291"/>
      <c r="V729" s="278"/>
      <c r="W729" s="291" t="s">
        <v>1610</v>
      </c>
      <c r="X729" s="81"/>
      <c r="Y729" s="81"/>
      <c r="Z729" s="81"/>
      <c r="AA729" s="81"/>
      <c r="AB729" s="81"/>
      <c r="AC729" s="81"/>
      <c r="AD729" s="81"/>
      <c r="AE729" s="81"/>
    </row>
    <row r="730" spans="1:31" s="1" customFormat="1" ht="94.5">
      <c r="A730" s="268">
        <v>729</v>
      </c>
      <c r="B730" s="301">
        <v>113</v>
      </c>
      <c r="C730" s="302" t="s">
        <v>178</v>
      </c>
      <c r="D730" s="303" t="s">
        <v>2519</v>
      </c>
      <c r="E730" s="304" t="s">
        <v>2692</v>
      </c>
      <c r="F730" s="304" t="s">
        <v>2693</v>
      </c>
      <c r="G730" s="304" t="s">
        <v>2694</v>
      </c>
      <c r="H730" s="303" t="s">
        <v>2695</v>
      </c>
      <c r="I730" s="303"/>
      <c r="J730" s="303"/>
      <c r="K730" s="303"/>
      <c r="L730" s="303">
        <v>1</v>
      </c>
      <c r="M730" s="303"/>
      <c r="N730" s="303"/>
      <c r="O730" s="305">
        <v>257000000</v>
      </c>
      <c r="P730" s="305">
        <v>2976750</v>
      </c>
      <c r="Q730" s="305"/>
      <c r="R730" s="305">
        <f t="shared" si="17"/>
        <v>259976750</v>
      </c>
      <c r="S730" s="303" t="s">
        <v>2696</v>
      </c>
      <c r="T730" s="304" t="s">
        <v>2697</v>
      </c>
      <c r="U730" s="304"/>
      <c r="V730" s="306"/>
      <c r="W730" s="279" t="s">
        <v>2698</v>
      </c>
      <c r="X730" s="81"/>
      <c r="Y730" s="81"/>
      <c r="Z730" s="81"/>
      <c r="AA730" s="81"/>
      <c r="AB730" s="81"/>
      <c r="AC730" s="81"/>
      <c r="AD730" s="81"/>
      <c r="AE730" s="81"/>
    </row>
    <row r="731" spans="1:31" s="1" customFormat="1" ht="67.5">
      <c r="A731" s="268">
        <v>730</v>
      </c>
      <c r="B731" s="301">
        <v>113</v>
      </c>
      <c r="C731" s="302" t="s">
        <v>178</v>
      </c>
      <c r="D731" s="303" t="s">
        <v>2512</v>
      </c>
      <c r="E731" s="304" t="s">
        <v>2699</v>
      </c>
      <c r="F731" s="304" t="s">
        <v>2700</v>
      </c>
      <c r="G731" s="304" t="s">
        <v>2701</v>
      </c>
      <c r="H731" s="303">
        <v>170</v>
      </c>
      <c r="I731" s="303">
        <v>4</v>
      </c>
      <c r="J731" s="303">
        <v>8</v>
      </c>
      <c r="K731" s="303"/>
      <c r="L731" s="303"/>
      <c r="M731" s="303"/>
      <c r="N731" s="303"/>
      <c r="O731" s="305">
        <v>20355319</v>
      </c>
      <c r="P731" s="305">
        <v>28619715</v>
      </c>
      <c r="Q731" s="305"/>
      <c r="R731" s="305">
        <f t="shared" si="17"/>
        <v>48975034</v>
      </c>
      <c r="S731" s="303" t="s">
        <v>2696</v>
      </c>
      <c r="T731" s="304" t="s">
        <v>2702</v>
      </c>
      <c r="U731" s="304"/>
      <c r="V731" s="306"/>
      <c r="W731" s="279" t="s">
        <v>2698</v>
      </c>
      <c r="X731" s="81"/>
      <c r="Y731" s="81"/>
      <c r="Z731" s="81"/>
      <c r="AA731" s="81"/>
      <c r="AB731" s="81"/>
      <c r="AC731" s="81"/>
      <c r="AD731" s="81"/>
      <c r="AE731" s="81"/>
    </row>
    <row r="732" spans="1:31" s="1" customFormat="1" ht="94.5">
      <c r="A732" s="268">
        <v>731</v>
      </c>
      <c r="B732" s="301">
        <v>113</v>
      </c>
      <c r="C732" s="302" t="s">
        <v>178</v>
      </c>
      <c r="D732" s="303" t="s">
        <v>2045</v>
      </c>
      <c r="E732" s="304" t="s">
        <v>2703</v>
      </c>
      <c r="F732" s="304" t="s">
        <v>2704</v>
      </c>
      <c r="G732" s="304" t="s">
        <v>2705</v>
      </c>
      <c r="H732" s="303">
        <v>800</v>
      </c>
      <c r="I732" s="303">
        <v>10</v>
      </c>
      <c r="J732" s="303">
        <v>15</v>
      </c>
      <c r="K732" s="303"/>
      <c r="L732" s="303"/>
      <c r="M732" s="303"/>
      <c r="N732" s="303"/>
      <c r="O732" s="305">
        <v>77791455</v>
      </c>
      <c r="P732" s="305">
        <v>102770020</v>
      </c>
      <c r="Q732" s="305"/>
      <c r="R732" s="305">
        <f t="shared" si="17"/>
        <v>180561475</v>
      </c>
      <c r="S732" s="303" t="s">
        <v>2696</v>
      </c>
      <c r="T732" s="304" t="s">
        <v>3158</v>
      </c>
      <c r="U732" s="304"/>
      <c r="V732" s="306"/>
      <c r="W732" s="279" t="s">
        <v>2698</v>
      </c>
      <c r="X732" s="81"/>
      <c r="Y732" s="81"/>
      <c r="Z732" s="81"/>
      <c r="AA732" s="81"/>
      <c r="AB732" s="81"/>
      <c r="AC732" s="81"/>
      <c r="AD732" s="81"/>
      <c r="AE732" s="81"/>
    </row>
    <row r="733" spans="1:31" s="1" customFormat="1" ht="27">
      <c r="A733" s="268">
        <v>732</v>
      </c>
      <c r="B733" s="301">
        <v>113</v>
      </c>
      <c r="C733" s="302" t="s">
        <v>178</v>
      </c>
      <c r="D733" s="303" t="s">
        <v>2529</v>
      </c>
      <c r="E733" s="304" t="s">
        <v>2706</v>
      </c>
      <c r="F733" s="304" t="s">
        <v>2707</v>
      </c>
      <c r="G733" s="304" t="s">
        <v>2708</v>
      </c>
      <c r="H733" s="303" t="s">
        <v>2709</v>
      </c>
      <c r="I733" s="307" t="s">
        <v>2605</v>
      </c>
      <c r="J733" s="303">
        <v>10</v>
      </c>
      <c r="K733" s="303"/>
      <c r="L733" s="303"/>
      <c r="M733" s="303"/>
      <c r="N733" s="303"/>
      <c r="O733" s="305">
        <v>69000000</v>
      </c>
      <c r="P733" s="305">
        <v>110000000</v>
      </c>
      <c r="Q733" s="305"/>
      <c r="R733" s="305">
        <f t="shared" si="17"/>
        <v>179000000</v>
      </c>
      <c r="S733" s="303" t="s">
        <v>2696</v>
      </c>
      <c r="T733" s="304" t="s">
        <v>2710</v>
      </c>
      <c r="U733" s="304"/>
      <c r="V733" s="306"/>
      <c r="W733" s="279" t="s">
        <v>2698</v>
      </c>
      <c r="X733" s="81"/>
      <c r="Y733" s="81"/>
      <c r="Z733" s="81"/>
      <c r="AA733" s="81"/>
      <c r="AB733" s="81"/>
      <c r="AC733" s="81"/>
      <c r="AD733" s="81"/>
      <c r="AE733" s="81"/>
    </row>
    <row r="734" spans="1:31" s="1" customFormat="1" ht="81">
      <c r="A734" s="268">
        <v>733</v>
      </c>
      <c r="B734" s="301">
        <v>113</v>
      </c>
      <c r="C734" s="302" t="s">
        <v>178</v>
      </c>
      <c r="D734" s="303" t="s">
        <v>2500</v>
      </c>
      <c r="E734" s="304" t="s">
        <v>2711</v>
      </c>
      <c r="F734" s="304" t="s">
        <v>2712</v>
      </c>
      <c r="G734" s="304" t="s">
        <v>2713</v>
      </c>
      <c r="H734" s="303">
        <v>180</v>
      </c>
      <c r="I734" s="303" t="s">
        <v>2714</v>
      </c>
      <c r="J734" s="303">
        <v>6</v>
      </c>
      <c r="K734" s="303"/>
      <c r="L734" s="303"/>
      <c r="M734" s="303"/>
      <c r="N734" s="303"/>
      <c r="O734" s="305">
        <v>11000000</v>
      </c>
      <c r="P734" s="305">
        <v>68000000</v>
      </c>
      <c r="Q734" s="305"/>
      <c r="R734" s="305">
        <f t="shared" si="17"/>
        <v>79000000</v>
      </c>
      <c r="S734" s="303" t="s">
        <v>2696</v>
      </c>
      <c r="T734" s="304" t="s">
        <v>2715</v>
      </c>
      <c r="U734" s="304"/>
      <c r="V734" s="306"/>
      <c r="W734" s="279" t="s">
        <v>2698</v>
      </c>
      <c r="X734" s="81"/>
      <c r="Y734" s="81"/>
      <c r="Z734" s="81"/>
      <c r="AA734" s="81"/>
      <c r="AB734" s="81"/>
      <c r="AC734" s="81"/>
      <c r="AD734" s="81"/>
      <c r="AE734" s="81"/>
    </row>
    <row r="735" spans="1:31" s="1" customFormat="1" ht="27">
      <c r="A735" s="268">
        <v>734</v>
      </c>
      <c r="B735" s="301">
        <v>113</v>
      </c>
      <c r="C735" s="302" t="s">
        <v>178</v>
      </c>
      <c r="D735" s="303" t="s">
        <v>2519</v>
      </c>
      <c r="E735" s="304" t="s">
        <v>2716</v>
      </c>
      <c r="F735" s="304" t="s">
        <v>2634</v>
      </c>
      <c r="G735" s="304" t="s">
        <v>2463</v>
      </c>
      <c r="H735" s="303">
        <v>280</v>
      </c>
      <c r="I735" s="303" t="s">
        <v>2630</v>
      </c>
      <c r="J735" s="303">
        <v>10</v>
      </c>
      <c r="K735" s="303">
        <v>11</v>
      </c>
      <c r="L735" s="303">
        <v>1</v>
      </c>
      <c r="M735" s="303"/>
      <c r="N735" s="303"/>
      <c r="O735" s="305">
        <v>10000000</v>
      </c>
      <c r="P735" s="305">
        <v>55000000</v>
      </c>
      <c r="Q735" s="305">
        <v>3000000</v>
      </c>
      <c r="R735" s="305">
        <f t="shared" ref="R735:R789" si="21">SUM(O735:Q735)</f>
        <v>68000000</v>
      </c>
      <c r="S735" s="303" t="s">
        <v>2696</v>
      </c>
      <c r="T735" s="304" t="s">
        <v>2717</v>
      </c>
      <c r="U735" s="304"/>
      <c r="V735" s="306"/>
      <c r="W735" s="279" t="s">
        <v>2698</v>
      </c>
      <c r="X735" s="81"/>
      <c r="Y735" s="81"/>
      <c r="Z735" s="81"/>
      <c r="AA735" s="81"/>
      <c r="AB735" s="81"/>
      <c r="AC735" s="81"/>
      <c r="AD735" s="81"/>
      <c r="AE735" s="81"/>
    </row>
    <row r="736" spans="1:31" s="1" customFormat="1" ht="81">
      <c r="A736" s="268">
        <v>735</v>
      </c>
      <c r="B736" s="308">
        <v>113</v>
      </c>
      <c r="C736" s="302" t="s">
        <v>2718</v>
      </c>
      <c r="D736" s="309" t="s">
        <v>2045</v>
      </c>
      <c r="E736" s="310" t="s">
        <v>2051</v>
      </c>
      <c r="F736" s="310" t="s">
        <v>1102</v>
      </c>
      <c r="G736" s="310" t="s">
        <v>2052</v>
      </c>
      <c r="H736" s="311">
        <v>900</v>
      </c>
      <c r="I736" s="309" t="s">
        <v>42</v>
      </c>
      <c r="J736" s="312">
        <v>8</v>
      </c>
      <c r="K736" s="309">
        <v>7</v>
      </c>
      <c r="L736" s="309">
        <v>54</v>
      </c>
      <c r="M736" s="309" t="s">
        <v>2049</v>
      </c>
      <c r="N736" s="309">
        <v>0</v>
      </c>
      <c r="O736" s="313">
        <v>157400000</v>
      </c>
      <c r="P736" s="314">
        <v>85090000</v>
      </c>
      <c r="Q736" s="314">
        <v>1090000</v>
      </c>
      <c r="R736" s="313">
        <f t="shared" si="21"/>
        <v>243580000</v>
      </c>
      <c r="S736" s="302" t="s">
        <v>2053</v>
      </c>
      <c r="T736" s="304" t="s">
        <v>3159</v>
      </c>
      <c r="U736" s="315"/>
      <c r="V736" s="316"/>
      <c r="W736" s="279" t="s">
        <v>2054</v>
      </c>
      <c r="X736" s="81"/>
      <c r="Y736" s="81"/>
      <c r="Z736" s="81"/>
      <c r="AA736" s="81"/>
      <c r="AB736" s="81"/>
      <c r="AC736" s="81"/>
      <c r="AD736" s="81"/>
      <c r="AE736" s="81"/>
    </row>
    <row r="737" spans="1:31" ht="30" customHeight="1">
      <c r="A737" s="317">
        <v>736</v>
      </c>
      <c r="B737" s="318">
        <v>114</v>
      </c>
      <c r="C737" s="319" t="s">
        <v>178</v>
      </c>
      <c r="D737" s="319" t="s">
        <v>2719</v>
      </c>
      <c r="E737" s="320" t="s">
        <v>2720</v>
      </c>
      <c r="F737" s="320" t="s">
        <v>2721</v>
      </c>
      <c r="G737" s="320" t="s">
        <v>2722</v>
      </c>
      <c r="H737" s="321">
        <v>2300</v>
      </c>
      <c r="I737" s="322" t="s">
        <v>2723</v>
      </c>
      <c r="J737" s="323">
        <v>15</v>
      </c>
      <c r="K737" s="322"/>
      <c r="L737" s="322"/>
      <c r="M737" s="322"/>
      <c r="N737" s="322"/>
      <c r="O737" s="324">
        <v>420000000</v>
      </c>
      <c r="P737" s="325">
        <v>100000000</v>
      </c>
      <c r="Q737" s="325"/>
      <c r="R737" s="324">
        <f t="shared" si="21"/>
        <v>520000000</v>
      </c>
      <c r="S737" s="326" t="s">
        <v>2724</v>
      </c>
      <c r="T737" s="327" t="s">
        <v>2725</v>
      </c>
      <c r="U737" s="328"/>
      <c r="V737" s="329"/>
      <c r="W737" s="90" t="s">
        <v>2698</v>
      </c>
    </row>
    <row r="738" spans="1:31" ht="30" customHeight="1">
      <c r="A738" s="317">
        <v>737</v>
      </c>
      <c r="B738" s="318">
        <v>114</v>
      </c>
      <c r="C738" s="319" t="s">
        <v>178</v>
      </c>
      <c r="D738" s="319" t="s">
        <v>2719</v>
      </c>
      <c r="E738" s="320" t="s">
        <v>2726</v>
      </c>
      <c r="F738" s="320" t="s">
        <v>2727</v>
      </c>
      <c r="G738" s="320" t="s">
        <v>2728</v>
      </c>
      <c r="H738" s="321">
        <v>1115</v>
      </c>
      <c r="I738" s="319" t="s">
        <v>2729</v>
      </c>
      <c r="J738" s="323">
        <v>15</v>
      </c>
      <c r="K738" s="322"/>
      <c r="L738" s="322"/>
      <c r="M738" s="322"/>
      <c r="N738" s="322"/>
      <c r="O738" s="324">
        <v>4731000000</v>
      </c>
      <c r="P738" s="325">
        <v>113000000</v>
      </c>
      <c r="Q738" s="325"/>
      <c r="R738" s="324">
        <f t="shared" si="21"/>
        <v>4844000000</v>
      </c>
      <c r="S738" s="326" t="s">
        <v>2724</v>
      </c>
      <c r="T738" s="327" t="s">
        <v>2730</v>
      </c>
      <c r="U738" s="328"/>
      <c r="V738" s="329"/>
      <c r="W738" s="90" t="s">
        <v>2698</v>
      </c>
    </row>
    <row r="739" spans="1:31" ht="30" customHeight="1">
      <c r="A739" s="317">
        <v>738</v>
      </c>
      <c r="B739" s="318">
        <v>114</v>
      </c>
      <c r="C739" s="319" t="s">
        <v>178</v>
      </c>
      <c r="D739" s="319" t="s">
        <v>2500</v>
      </c>
      <c r="E739" s="320" t="s">
        <v>2731</v>
      </c>
      <c r="F739" s="320" t="s">
        <v>2732</v>
      </c>
      <c r="G739" s="320" t="s">
        <v>2733</v>
      </c>
      <c r="H739" s="321">
        <v>250</v>
      </c>
      <c r="I739" s="322" t="s">
        <v>2630</v>
      </c>
      <c r="J739" s="330" t="s">
        <v>2734</v>
      </c>
      <c r="K739" s="322" t="s">
        <v>2735</v>
      </c>
      <c r="L739" s="322"/>
      <c r="M739" s="322"/>
      <c r="N739" s="322"/>
      <c r="O739" s="324">
        <v>20000000</v>
      </c>
      <c r="P739" s="325">
        <v>0</v>
      </c>
      <c r="Q739" s="325"/>
      <c r="R739" s="324">
        <f t="shared" si="21"/>
        <v>20000000</v>
      </c>
      <c r="S739" s="326" t="s">
        <v>2724</v>
      </c>
      <c r="T739" s="327" t="s">
        <v>2736</v>
      </c>
      <c r="U739" s="328"/>
      <c r="V739" s="329"/>
      <c r="W739" s="90" t="s">
        <v>2698</v>
      </c>
    </row>
    <row r="740" spans="1:31" ht="30" customHeight="1">
      <c r="A740" s="317">
        <v>739</v>
      </c>
      <c r="B740" s="318">
        <v>114</v>
      </c>
      <c r="C740" s="319" t="s">
        <v>178</v>
      </c>
      <c r="D740" s="319" t="s">
        <v>2500</v>
      </c>
      <c r="E740" s="320" t="s">
        <v>2737</v>
      </c>
      <c r="F740" s="320" t="s">
        <v>2738</v>
      </c>
      <c r="G740" s="320" t="s">
        <v>2739</v>
      </c>
      <c r="H740" s="321">
        <v>1200</v>
      </c>
      <c r="I740" s="322" t="s">
        <v>2740</v>
      </c>
      <c r="J740" s="323">
        <v>12</v>
      </c>
      <c r="K740" s="322"/>
      <c r="L740" s="322"/>
      <c r="M740" s="322"/>
      <c r="N740" s="322"/>
      <c r="O740" s="324"/>
      <c r="P740" s="325"/>
      <c r="Q740" s="325"/>
      <c r="R740" s="324">
        <f t="shared" si="21"/>
        <v>0</v>
      </c>
      <c r="S740" s="326" t="s">
        <v>2724</v>
      </c>
      <c r="T740" s="327" t="s">
        <v>2741</v>
      </c>
      <c r="U740" s="328"/>
      <c r="V740" s="329"/>
      <c r="W740" s="90" t="s">
        <v>2698</v>
      </c>
    </row>
    <row r="741" spans="1:31" ht="30" customHeight="1">
      <c r="A741" s="317">
        <v>740</v>
      </c>
      <c r="B741" s="318">
        <v>114</v>
      </c>
      <c r="C741" s="319" t="s">
        <v>178</v>
      </c>
      <c r="D741" s="319" t="s">
        <v>2045</v>
      </c>
      <c r="E741" s="320" t="s">
        <v>2742</v>
      </c>
      <c r="F741" s="320" t="s">
        <v>2743</v>
      </c>
      <c r="G741" s="320" t="s">
        <v>2744</v>
      </c>
      <c r="H741" s="321" t="s">
        <v>2745</v>
      </c>
      <c r="I741" s="319" t="s">
        <v>2746</v>
      </c>
      <c r="J741" s="323">
        <v>8</v>
      </c>
      <c r="K741" s="322"/>
      <c r="L741" s="322"/>
      <c r="M741" s="322"/>
      <c r="N741" s="322"/>
      <c r="O741" s="324">
        <v>4000000</v>
      </c>
      <c r="P741" s="325">
        <v>2310000</v>
      </c>
      <c r="Q741" s="325"/>
      <c r="R741" s="324">
        <f t="shared" si="21"/>
        <v>6310000</v>
      </c>
      <c r="S741" s="326" t="s">
        <v>2724</v>
      </c>
      <c r="T741" s="327" t="s">
        <v>2747</v>
      </c>
      <c r="U741" s="328"/>
      <c r="V741" s="329"/>
      <c r="W741" s="90" t="s">
        <v>2698</v>
      </c>
    </row>
    <row r="742" spans="1:31" ht="30" customHeight="1">
      <c r="A742" s="317">
        <v>741</v>
      </c>
      <c r="B742" s="318">
        <v>114</v>
      </c>
      <c r="C742" s="319" t="s">
        <v>178</v>
      </c>
      <c r="D742" s="319" t="s">
        <v>2580</v>
      </c>
      <c r="E742" s="320" t="s">
        <v>2748</v>
      </c>
      <c r="F742" s="320" t="s">
        <v>2749</v>
      </c>
      <c r="G742" s="320" t="s">
        <v>2750</v>
      </c>
      <c r="H742" s="321">
        <v>1476</v>
      </c>
      <c r="I742" s="322" t="s">
        <v>2630</v>
      </c>
      <c r="J742" s="323"/>
      <c r="K742" s="322"/>
      <c r="L742" s="322"/>
      <c r="M742" s="322"/>
      <c r="N742" s="322"/>
      <c r="O742" s="324">
        <v>520000000</v>
      </c>
      <c r="P742" s="325">
        <v>600000000</v>
      </c>
      <c r="Q742" s="325"/>
      <c r="R742" s="324">
        <f t="shared" si="21"/>
        <v>1120000000</v>
      </c>
      <c r="S742" s="326" t="s">
        <v>2751</v>
      </c>
      <c r="T742" s="327" t="s">
        <v>2752</v>
      </c>
      <c r="U742" s="328"/>
      <c r="V742" s="329"/>
      <c r="W742" s="90" t="s">
        <v>2698</v>
      </c>
    </row>
    <row r="743" spans="1:31" ht="30" customHeight="1">
      <c r="A743" s="317">
        <v>742</v>
      </c>
      <c r="B743" s="331">
        <v>114</v>
      </c>
      <c r="C743" s="332" t="s">
        <v>2753</v>
      </c>
      <c r="D743" s="332" t="s">
        <v>2580</v>
      </c>
      <c r="E743" s="333" t="s">
        <v>2581</v>
      </c>
      <c r="F743" s="333" t="s">
        <v>2754</v>
      </c>
      <c r="G743" s="333" t="s">
        <v>2583</v>
      </c>
      <c r="H743" s="334">
        <v>1476</v>
      </c>
      <c r="I743" s="335" t="s">
        <v>2630</v>
      </c>
      <c r="J743" s="336" t="s">
        <v>2755</v>
      </c>
      <c r="K743" s="337">
        <v>0.22</v>
      </c>
      <c r="L743" s="337">
        <v>0.78</v>
      </c>
      <c r="M743" s="335"/>
      <c r="N743" s="335">
        <v>1</v>
      </c>
      <c r="O743" s="338">
        <v>520000000</v>
      </c>
      <c r="P743" s="339">
        <v>207000000</v>
      </c>
      <c r="Q743" s="339">
        <v>0</v>
      </c>
      <c r="R743" s="338">
        <f t="shared" si="21"/>
        <v>727000000</v>
      </c>
      <c r="S743" s="340" t="s">
        <v>2756</v>
      </c>
      <c r="T743" s="341" t="s">
        <v>2757</v>
      </c>
      <c r="U743" s="342"/>
      <c r="V743" s="343"/>
      <c r="W743" s="90" t="s">
        <v>2758</v>
      </c>
    </row>
    <row r="744" spans="1:31" ht="30" customHeight="1">
      <c r="A744" s="317">
        <v>743</v>
      </c>
      <c r="B744" s="331">
        <v>114</v>
      </c>
      <c r="C744" s="332" t="s">
        <v>2753</v>
      </c>
      <c r="D744" s="332" t="s">
        <v>2759</v>
      </c>
      <c r="E744" s="333" t="s">
        <v>2760</v>
      </c>
      <c r="F744" s="333" t="s">
        <v>2484</v>
      </c>
      <c r="G744" s="333" t="s">
        <v>2485</v>
      </c>
      <c r="H744" s="334">
        <v>50</v>
      </c>
      <c r="I744" s="332" t="s">
        <v>2630</v>
      </c>
      <c r="J744" s="336">
        <v>10</v>
      </c>
      <c r="K744" s="335">
        <v>3</v>
      </c>
      <c r="L744" s="335">
        <v>4</v>
      </c>
      <c r="M744" s="335"/>
      <c r="N744" s="335"/>
      <c r="O744" s="338">
        <v>15000000</v>
      </c>
      <c r="P744" s="339">
        <v>50000000</v>
      </c>
      <c r="Q744" s="339">
        <v>0</v>
      </c>
      <c r="R744" s="338">
        <f t="shared" si="21"/>
        <v>65000000</v>
      </c>
      <c r="S744" s="340" t="s">
        <v>2756</v>
      </c>
      <c r="T744" s="341" t="s">
        <v>2761</v>
      </c>
      <c r="U744" s="342"/>
      <c r="V744" s="343"/>
      <c r="W744" s="90" t="s">
        <v>2762</v>
      </c>
    </row>
    <row r="745" spans="1:31" ht="30" customHeight="1">
      <c r="A745" s="317">
        <v>744</v>
      </c>
      <c r="B745" s="331">
        <v>114</v>
      </c>
      <c r="C745" s="332" t="s">
        <v>2753</v>
      </c>
      <c r="D745" s="332" t="s">
        <v>2529</v>
      </c>
      <c r="E745" s="333" t="s">
        <v>2763</v>
      </c>
      <c r="F745" s="333" t="s">
        <v>2764</v>
      </c>
      <c r="G745" s="333" t="s">
        <v>2765</v>
      </c>
      <c r="H745" s="334">
        <v>65</v>
      </c>
      <c r="I745" s="332" t="s">
        <v>2630</v>
      </c>
      <c r="J745" s="344">
        <v>8</v>
      </c>
      <c r="K745" s="332" t="s">
        <v>2766</v>
      </c>
      <c r="L745" s="335">
        <v>2</v>
      </c>
      <c r="M745" s="335"/>
      <c r="N745" s="335"/>
      <c r="O745" s="338">
        <v>5000000</v>
      </c>
      <c r="P745" s="339">
        <v>50000000</v>
      </c>
      <c r="Q745" s="339">
        <v>0</v>
      </c>
      <c r="R745" s="338">
        <f t="shared" si="21"/>
        <v>55000000</v>
      </c>
      <c r="S745" s="340" t="s">
        <v>2756</v>
      </c>
      <c r="T745" s="341" t="s">
        <v>2767</v>
      </c>
      <c r="U745" s="342"/>
      <c r="V745" s="343"/>
      <c r="W745" s="90" t="s">
        <v>2388</v>
      </c>
    </row>
    <row r="746" spans="1:31" s="1" customFormat="1" ht="30" customHeight="1">
      <c r="A746" s="247">
        <v>745</v>
      </c>
      <c r="B746" s="345">
        <v>114</v>
      </c>
      <c r="C746" s="332" t="s">
        <v>2753</v>
      </c>
      <c r="D746" s="335" t="s">
        <v>2529</v>
      </c>
      <c r="E746" s="346" t="s">
        <v>2768</v>
      </c>
      <c r="F746" s="346" t="s">
        <v>2764</v>
      </c>
      <c r="G746" s="346"/>
      <c r="H746" s="347">
        <v>85</v>
      </c>
      <c r="I746" s="335" t="s">
        <v>2576</v>
      </c>
      <c r="J746" s="344">
        <v>8</v>
      </c>
      <c r="K746" s="335">
        <v>1</v>
      </c>
      <c r="L746" s="335">
        <v>10</v>
      </c>
      <c r="M746" s="335"/>
      <c r="N746" s="335"/>
      <c r="O746" s="338">
        <v>7000000</v>
      </c>
      <c r="P746" s="339">
        <v>100000000</v>
      </c>
      <c r="Q746" s="339"/>
      <c r="R746" s="338">
        <f t="shared" si="21"/>
        <v>107000000</v>
      </c>
      <c r="S746" s="340" t="s">
        <v>2769</v>
      </c>
      <c r="T746" s="341" t="s">
        <v>2770</v>
      </c>
      <c r="U746" s="342"/>
      <c r="V746" s="343"/>
      <c r="W746" s="90" t="s">
        <v>2388</v>
      </c>
      <c r="X746" s="81"/>
      <c r="Y746" s="81"/>
      <c r="Z746" s="81"/>
      <c r="AA746" s="81"/>
      <c r="AB746" s="81"/>
      <c r="AC746" s="81"/>
      <c r="AD746" s="81"/>
      <c r="AE746" s="81"/>
    </row>
    <row r="747" spans="1:31" ht="30" customHeight="1">
      <c r="A747" s="317">
        <v>746</v>
      </c>
      <c r="B747" s="331">
        <v>114</v>
      </c>
      <c r="C747" s="332" t="s">
        <v>2753</v>
      </c>
      <c r="D747" s="332" t="s">
        <v>2495</v>
      </c>
      <c r="E747" s="333" t="s">
        <v>2771</v>
      </c>
      <c r="F747" s="333" t="s">
        <v>2772</v>
      </c>
      <c r="G747" s="333" t="s">
        <v>2773</v>
      </c>
      <c r="H747" s="334">
        <v>1500</v>
      </c>
      <c r="I747" s="335" t="s">
        <v>2774</v>
      </c>
      <c r="J747" s="336">
        <v>8</v>
      </c>
      <c r="K747" s="337">
        <v>0.3</v>
      </c>
      <c r="L747" s="337">
        <v>0.7</v>
      </c>
      <c r="M747" s="335"/>
      <c r="N747" s="335"/>
      <c r="O747" s="338">
        <v>120000000</v>
      </c>
      <c r="P747" s="339">
        <v>95000000</v>
      </c>
      <c r="Q747" s="339">
        <v>0</v>
      </c>
      <c r="R747" s="338">
        <f t="shared" si="21"/>
        <v>215000000</v>
      </c>
      <c r="S747" s="340" t="s">
        <v>2756</v>
      </c>
      <c r="T747" s="341" t="s">
        <v>2775</v>
      </c>
      <c r="U747" s="342"/>
      <c r="V747" s="343"/>
      <c r="W747" s="90"/>
    </row>
    <row r="748" spans="1:31" s="1" customFormat="1" ht="30" customHeight="1">
      <c r="A748" s="247">
        <v>747</v>
      </c>
      <c r="B748" s="345">
        <v>114</v>
      </c>
      <c r="C748" s="332" t="s">
        <v>2753</v>
      </c>
      <c r="D748" s="335" t="s">
        <v>2495</v>
      </c>
      <c r="E748" s="333" t="s">
        <v>2776</v>
      </c>
      <c r="F748" s="333" t="s">
        <v>2777</v>
      </c>
      <c r="G748" s="346" t="s">
        <v>2778</v>
      </c>
      <c r="H748" s="347">
        <v>1500</v>
      </c>
      <c r="I748" s="335" t="s">
        <v>2779</v>
      </c>
      <c r="J748" s="336">
        <v>8</v>
      </c>
      <c r="K748" s="337">
        <v>0.2</v>
      </c>
      <c r="L748" s="337">
        <v>0.8</v>
      </c>
      <c r="M748" s="335"/>
      <c r="N748" s="335"/>
      <c r="O748" s="338">
        <v>120000000</v>
      </c>
      <c r="P748" s="339">
        <v>100000000</v>
      </c>
      <c r="Q748" s="339">
        <v>0</v>
      </c>
      <c r="R748" s="338">
        <f t="shared" si="21"/>
        <v>220000000</v>
      </c>
      <c r="S748" s="340" t="s">
        <v>2780</v>
      </c>
      <c r="T748" s="341" t="s">
        <v>2781</v>
      </c>
      <c r="U748" s="342"/>
      <c r="V748" s="343"/>
      <c r="W748" s="90"/>
      <c r="X748" s="81"/>
      <c r="Y748" s="81"/>
      <c r="Z748" s="81"/>
      <c r="AA748" s="81"/>
      <c r="AB748" s="81"/>
      <c r="AC748" s="81"/>
      <c r="AD748" s="81"/>
      <c r="AE748" s="81"/>
    </row>
    <row r="749" spans="1:31" ht="30" customHeight="1">
      <c r="A749" s="317">
        <v>748</v>
      </c>
      <c r="B749" s="331">
        <v>114</v>
      </c>
      <c r="C749" s="332" t="s">
        <v>2753</v>
      </c>
      <c r="D749" s="332" t="s">
        <v>2512</v>
      </c>
      <c r="E749" s="333" t="s">
        <v>2782</v>
      </c>
      <c r="F749" s="333" t="s">
        <v>2783</v>
      </c>
      <c r="G749" s="333" t="s">
        <v>2784</v>
      </c>
      <c r="H749" s="334">
        <v>217</v>
      </c>
      <c r="I749" s="332" t="s">
        <v>2630</v>
      </c>
      <c r="J749" s="336">
        <v>18</v>
      </c>
      <c r="K749" s="335">
        <v>5</v>
      </c>
      <c r="L749" s="335">
        <v>6</v>
      </c>
      <c r="M749" s="335"/>
      <c r="N749" s="335"/>
      <c r="O749" s="338">
        <v>31410000</v>
      </c>
      <c r="P749" s="339">
        <v>595520000</v>
      </c>
      <c r="Q749" s="339">
        <v>20000</v>
      </c>
      <c r="R749" s="338">
        <f t="shared" si="21"/>
        <v>626950000</v>
      </c>
      <c r="S749" s="340" t="s">
        <v>2756</v>
      </c>
      <c r="T749" s="341" t="s">
        <v>2785</v>
      </c>
      <c r="U749" s="342"/>
      <c r="V749" s="343"/>
      <c r="W749" s="90" t="s">
        <v>2786</v>
      </c>
    </row>
    <row r="750" spans="1:31" ht="30" customHeight="1">
      <c r="A750" s="317">
        <v>749</v>
      </c>
      <c r="B750" s="331">
        <v>114</v>
      </c>
      <c r="C750" s="332" t="s">
        <v>2787</v>
      </c>
      <c r="D750" s="332" t="s">
        <v>2512</v>
      </c>
      <c r="E750" s="333" t="s">
        <v>2788</v>
      </c>
      <c r="F750" s="333" t="s">
        <v>2789</v>
      </c>
      <c r="G750" s="333" t="s">
        <v>2790</v>
      </c>
      <c r="H750" s="334">
        <v>45</v>
      </c>
      <c r="I750" s="335" t="s">
        <v>2576</v>
      </c>
      <c r="J750" s="336">
        <v>8</v>
      </c>
      <c r="K750" s="335">
        <v>1</v>
      </c>
      <c r="L750" s="335">
        <v>1</v>
      </c>
      <c r="M750" s="335" t="s">
        <v>2791</v>
      </c>
      <c r="N750" s="335"/>
      <c r="O750" s="338">
        <v>3500000</v>
      </c>
      <c r="P750" s="339">
        <v>4000000</v>
      </c>
      <c r="Q750" s="339">
        <v>500000</v>
      </c>
      <c r="R750" s="338">
        <f t="shared" si="21"/>
        <v>8000000</v>
      </c>
      <c r="S750" s="340" t="s">
        <v>2756</v>
      </c>
      <c r="T750" s="341" t="s">
        <v>2792</v>
      </c>
      <c r="U750" s="342"/>
      <c r="V750" s="343"/>
      <c r="W750" s="90" t="s">
        <v>759</v>
      </c>
    </row>
    <row r="751" spans="1:31" ht="30" customHeight="1">
      <c r="A751" s="317">
        <v>750</v>
      </c>
      <c r="B751" s="331">
        <v>114</v>
      </c>
      <c r="C751" s="332" t="s">
        <v>2787</v>
      </c>
      <c r="D751" s="332" t="s">
        <v>2529</v>
      </c>
      <c r="E751" s="333" t="s">
        <v>2793</v>
      </c>
      <c r="F751" s="333" t="s">
        <v>2794</v>
      </c>
      <c r="G751" s="333" t="s">
        <v>2707</v>
      </c>
      <c r="H751" s="334">
        <v>10</v>
      </c>
      <c r="I751" s="332" t="s">
        <v>2630</v>
      </c>
      <c r="J751" s="336">
        <v>8</v>
      </c>
      <c r="K751" s="335">
        <v>2</v>
      </c>
      <c r="L751" s="335">
        <v>0</v>
      </c>
      <c r="M751" s="335"/>
      <c r="N751" s="335"/>
      <c r="O751" s="338">
        <v>3000000</v>
      </c>
      <c r="P751" s="339">
        <v>0</v>
      </c>
      <c r="Q751" s="339">
        <v>2000000</v>
      </c>
      <c r="R751" s="338">
        <f t="shared" si="21"/>
        <v>5000000</v>
      </c>
      <c r="S751" s="340" t="s">
        <v>2756</v>
      </c>
      <c r="T751" s="341" t="s">
        <v>2795</v>
      </c>
      <c r="U751" s="342"/>
      <c r="V751" s="343"/>
      <c r="W751" s="90" t="s">
        <v>2796</v>
      </c>
    </row>
    <row r="752" spans="1:31" s="1" customFormat="1" ht="30" customHeight="1">
      <c r="A752" s="247">
        <v>751</v>
      </c>
      <c r="B752" s="345">
        <v>114</v>
      </c>
      <c r="C752" s="332" t="s">
        <v>2753</v>
      </c>
      <c r="D752" s="335" t="s">
        <v>2045</v>
      </c>
      <c r="E752" s="346" t="s">
        <v>2797</v>
      </c>
      <c r="F752" s="346" t="s">
        <v>2798</v>
      </c>
      <c r="G752" s="346" t="s">
        <v>2799</v>
      </c>
      <c r="H752" s="347">
        <v>1100</v>
      </c>
      <c r="I752" s="332" t="s">
        <v>2800</v>
      </c>
      <c r="J752" s="336">
        <v>6</v>
      </c>
      <c r="K752" s="335">
        <v>36</v>
      </c>
      <c r="L752" s="335">
        <v>7</v>
      </c>
      <c r="M752" s="335" t="s">
        <v>2049</v>
      </c>
      <c r="N752" s="335"/>
      <c r="O752" s="338">
        <v>69790000</v>
      </c>
      <c r="P752" s="339">
        <v>27020000</v>
      </c>
      <c r="Q752" s="339">
        <v>190000</v>
      </c>
      <c r="R752" s="338">
        <f t="shared" si="21"/>
        <v>97000000</v>
      </c>
      <c r="S752" s="340" t="s">
        <v>2801</v>
      </c>
      <c r="T752" s="341" t="s">
        <v>2802</v>
      </c>
      <c r="U752" s="342"/>
      <c r="V752" s="343"/>
      <c r="W752" s="90" t="s">
        <v>2803</v>
      </c>
      <c r="X752" s="81"/>
      <c r="Y752" s="81"/>
      <c r="Z752" s="81"/>
      <c r="AA752" s="81"/>
      <c r="AB752" s="81"/>
      <c r="AC752" s="81"/>
      <c r="AD752" s="81"/>
      <c r="AE752" s="81"/>
    </row>
    <row r="753" spans="1:31" ht="30" customHeight="1">
      <c r="A753" s="317">
        <v>752</v>
      </c>
      <c r="B753" s="331">
        <v>114</v>
      </c>
      <c r="C753" s="332" t="s">
        <v>2753</v>
      </c>
      <c r="D753" s="332" t="s">
        <v>2045</v>
      </c>
      <c r="E753" s="333" t="s">
        <v>2804</v>
      </c>
      <c r="F753" s="333" t="s">
        <v>2805</v>
      </c>
      <c r="G753" s="333" t="s">
        <v>2806</v>
      </c>
      <c r="H753" s="334">
        <v>900</v>
      </c>
      <c r="I753" s="332" t="s">
        <v>2630</v>
      </c>
      <c r="J753" s="344">
        <v>8</v>
      </c>
      <c r="K753" s="335">
        <v>7</v>
      </c>
      <c r="L753" s="335">
        <v>54</v>
      </c>
      <c r="M753" s="335" t="s">
        <v>2049</v>
      </c>
      <c r="N753" s="335"/>
      <c r="O753" s="338">
        <v>157400000</v>
      </c>
      <c r="P753" s="339">
        <v>85090000</v>
      </c>
      <c r="Q753" s="339">
        <v>1090000</v>
      </c>
      <c r="R753" s="338">
        <f t="shared" si="21"/>
        <v>243580000</v>
      </c>
      <c r="S753" s="340" t="s">
        <v>2756</v>
      </c>
      <c r="T753" s="341" t="s">
        <v>2807</v>
      </c>
      <c r="U753" s="342"/>
      <c r="V753" s="343"/>
      <c r="W753" s="90" t="s">
        <v>2803</v>
      </c>
    </row>
    <row r="754" spans="1:31" ht="30" customHeight="1">
      <c r="A754" s="317">
        <v>753</v>
      </c>
      <c r="B754" s="331">
        <v>114</v>
      </c>
      <c r="C754" s="332" t="s">
        <v>2753</v>
      </c>
      <c r="D754" s="332" t="s">
        <v>2512</v>
      </c>
      <c r="E754" s="333" t="s">
        <v>2808</v>
      </c>
      <c r="F754" s="333" t="s">
        <v>2700</v>
      </c>
      <c r="G754" s="333" t="s">
        <v>2809</v>
      </c>
      <c r="H754" s="334">
        <v>170</v>
      </c>
      <c r="I754" s="335">
        <v>4</v>
      </c>
      <c r="J754" s="336">
        <v>8</v>
      </c>
      <c r="K754" s="335">
        <v>2</v>
      </c>
      <c r="L754" s="335">
        <v>9</v>
      </c>
      <c r="M754" s="335" t="s">
        <v>2810</v>
      </c>
      <c r="N754" s="335">
        <v>3</v>
      </c>
      <c r="O754" s="338">
        <v>21000000</v>
      </c>
      <c r="P754" s="339">
        <v>28000000</v>
      </c>
      <c r="Q754" s="339">
        <v>3000000</v>
      </c>
      <c r="R754" s="338">
        <f t="shared" si="21"/>
        <v>52000000</v>
      </c>
      <c r="S754" s="340" t="s">
        <v>2756</v>
      </c>
      <c r="T754" s="341" t="s">
        <v>2811</v>
      </c>
      <c r="U754" s="342"/>
      <c r="V754" s="343"/>
      <c r="W754" s="90" t="s">
        <v>2812</v>
      </c>
    </row>
    <row r="755" spans="1:31" s="1" customFormat="1" ht="30" customHeight="1">
      <c r="A755" s="247">
        <v>754</v>
      </c>
      <c r="B755" s="345">
        <v>114</v>
      </c>
      <c r="C755" s="332" t="s">
        <v>2787</v>
      </c>
      <c r="D755" s="335" t="s">
        <v>2045</v>
      </c>
      <c r="E755" s="346" t="s">
        <v>2813</v>
      </c>
      <c r="F755" s="346" t="s">
        <v>2814</v>
      </c>
      <c r="G755" s="346" t="s">
        <v>2815</v>
      </c>
      <c r="H755" s="334">
        <v>150</v>
      </c>
      <c r="I755" s="332" t="s">
        <v>2816</v>
      </c>
      <c r="J755" s="336">
        <v>3</v>
      </c>
      <c r="K755" s="335">
        <v>5</v>
      </c>
      <c r="L755" s="335">
        <v>0</v>
      </c>
      <c r="M755" s="335"/>
      <c r="N755" s="335"/>
      <c r="O755" s="338">
        <v>5000000</v>
      </c>
      <c r="P755" s="339">
        <v>1500000</v>
      </c>
      <c r="Q755" s="339">
        <v>500000</v>
      </c>
      <c r="R755" s="338">
        <f t="shared" si="21"/>
        <v>7000000</v>
      </c>
      <c r="S755" s="340" t="s">
        <v>2817</v>
      </c>
      <c r="T755" s="341" t="s">
        <v>2818</v>
      </c>
      <c r="U755" s="342"/>
      <c r="V755" s="343"/>
      <c r="W755" s="90" t="s">
        <v>2819</v>
      </c>
      <c r="X755" s="81"/>
      <c r="Y755" s="81"/>
      <c r="Z755" s="81"/>
      <c r="AA755" s="81"/>
      <c r="AB755" s="81"/>
      <c r="AC755" s="81"/>
      <c r="AD755" s="81"/>
      <c r="AE755" s="81"/>
    </row>
    <row r="756" spans="1:31" s="1" customFormat="1" ht="30" customHeight="1">
      <c r="A756" s="247">
        <v>755</v>
      </c>
      <c r="B756" s="345">
        <v>114</v>
      </c>
      <c r="C756" s="332" t="s">
        <v>2753</v>
      </c>
      <c r="D756" s="335" t="s">
        <v>2529</v>
      </c>
      <c r="E756" s="346" t="s">
        <v>2820</v>
      </c>
      <c r="F756" s="346" t="s">
        <v>2685</v>
      </c>
      <c r="G756" s="346" t="s">
        <v>2821</v>
      </c>
      <c r="H756" s="347">
        <v>60</v>
      </c>
      <c r="I756" s="335">
        <v>5</v>
      </c>
      <c r="J756" s="336">
        <v>8</v>
      </c>
      <c r="K756" s="332" t="s">
        <v>2822</v>
      </c>
      <c r="L756" s="335">
        <v>13</v>
      </c>
      <c r="M756" s="335"/>
      <c r="N756" s="335">
        <v>4</v>
      </c>
      <c r="O756" s="338">
        <v>5000000</v>
      </c>
      <c r="P756" s="339">
        <v>63000000</v>
      </c>
      <c r="Q756" s="339">
        <v>8000000</v>
      </c>
      <c r="R756" s="338">
        <f t="shared" si="21"/>
        <v>76000000</v>
      </c>
      <c r="S756" s="340" t="s">
        <v>2801</v>
      </c>
      <c r="T756" s="341" t="s">
        <v>2691</v>
      </c>
      <c r="U756" s="342"/>
      <c r="V756" s="343"/>
      <c r="W756" s="90" t="s">
        <v>1610</v>
      </c>
      <c r="X756" s="81"/>
      <c r="Y756" s="81"/>
      <c r="Z756" s="81"/>
      <c r="AA756" s="81"/>
      <c r="AB756" s="81"/>
      <c r="AC756" s="81"/>
      <c r="AD756" s="81"/>
      <c r="AE756" s="81"/>
    </row>
    <row r="757" spans="1:31" s="1" customFormat="1" ht="30" customHeight="1">
      <c r="A757" s="247">
        <v>756</v>
      </c>
      <c r="B757" s="345">
        <v>114</v>
      </c>
      <c r="C757" s="332" t="s">
        <v>2787</v>
      </c>
      <c r="D757" s="335" t="s">
        <v>2529</v>
      </c>
      <c r="E757" s="346" t="s">
        <v>2823</v>
      </c>
      <c r="F757" s="346" t="s">
        <v>2685</v>
      </c>
      <c r="G757" s="346" t="s">
        <v>2824</v>
      </c>
      <c r="H757" s="347">
        <v>60</v>
      </c>
      <c r="I757" s="335">
        <v>5</v>
      </c>
      <c r="J757" s="336">
        <v>8</v>
      </c>
      <c r="K757" s="332" t="s">
        <v>2822</v>
      </c>
      <c r="L757" s="335">
        <v>13</v>
      </c>
      <c r="M757" s="335"/>
      <c r="N757" s="335">
        <v>4</v>
      </c>
      <c r="O757" s="338">
        <v>5000000</v>
      </c>
      <c r="P757" s="339">
        <v>42000000</v>
      </c>
      <c r="Q757" s="339">
        <v>8000000</v>
      </c>
      <c r="R757" s="338">
        <f t="shared" si="21"/>
        <v>55000000</v>
      </c>
      <c r="S757" s="340" t="s">
        <v>2801</v>
      </c>
      <c r="T757" s="341" t="s">
        <v>2691</v>
      </c>
      <c r="U757" s="342"/>
      <c r="V757" s="343"/>
      <c r="W757" s="90" t="s">
        <v>1610</v>
      </c>
      <c r="X757" s="81"/>
      <c r="Y757" s="81"/>
      <c r="Z757" s="81"/>
      <c r="AA757" s="81"/>
      <c r="AB757" s="81"/>
      <c r="AC757" s="81"/>
      <c r="AD757" s="81"/>
      <c r="AE757" s="81"/>
    </row>
    <row r="758" spans="1:31" s="1" customFormat="1" ht="30" customHeight="1">
      <c r="A758" s="247">
        <v>757</v>
      </c>
      <c r="B758" s="345">
        <v>114</v>
      </c>
      <c r="C758" s="332" t="s">
        <v>2753</v>
      </c>
      <c r="D758" s="335" t="s">
        <v>2529</v>
      </c>
      <c r="E758" s="346" t="s">
        <v>2825</v>
      </c>
      <c r="F758" s="333" t="s">
        <v>2826</v>
      </c>
      <c r="G758" s="346" t="s">
        <v>2827</v>
      </c>
      <c r="H758" s="347">
        <v>60</v>
      </c>
      <c r="I758" s="332" t="s">
        <v>2630</v>
      </c>
      <c r="J758" s="336">
        <v>8</v>
      </c>
      <c r="K758" s="335">
        <v>1</v>
      </c>
      <c r="L758" s="335">
        <v>1</v>
      </c>
      <c r="M758" s="335"/>
      <c r="N758" s="335"/>
      <c r="O758" s="338">
        <v>3000000</v>
      </c>
      <c r="P758" s="339">
        <v>13000000</v>
      </c>
      <c r="Q758" s="339">
        <v>0</v>
      </c>
      <c r="R758" s="338">
        <f t="shared" si="21"/>
        <v>16000000</v>
      </c>
      <c r="S758" s="340" t="s">
        <v>2817</v>
      </c>
      <c r="T758" s="341" t="s">
        <v>2828</v>
      </c>
      <c r="U758" s="342"/>
      <c r="V758" s="343"/>
      <c r="W758" s="90" t="s">
        <v>2258</v>
      </c>
      <c r="X758" s="81"/>
      <c r="Y758" s="81"/>
      <c r="Z758" s="81"/>
      <c r="AA758" s="81"/>
      <c r="AB758" s="81"/>
      <c r="AC758" s="81"/>
      <c r="AD758" s="81"/>
      <c r="AE758" s="81"/>
    </row>
    <row r="759" spans="1:31" ht="30" customHeight="1">
      <c r="A759" s="317">
        <v>758</v>
      </c>
      <c r="B759" s="331">
        <v>114</v>
      </c>
      <c r="C759" s="332" t="s">
        <v>2753</v>
      </c>
      <c r="D759" s="332" t="s">
        <v>2512</v>
      </c>
      <c r="E759" s="333" t="s">
        <v>2829</v>
      </c>
      <c r="F759" s="333" t="s">
        <v>2830</v>
      </c>
      <c r="G759" s="333" t="s">
        <v>2831</v>
      </c>
      <c r="H759" s="334">
        <v>70</v>
      </c>
      <c r="I759" s="332" t="s">
        <v>2832</v>
      </c>
      <c r="J759" s="336">
        <v>8</v>
      </c>
      <c r="K759" s="335">
        <v>1</v>
      </c>
      <c r="L759" s="335">
        <v>8</v>
      </c>
      <c r="M759" s="335"/>
      <c r="N759" s="335">
        <v>1</v>
      </c>
      <c r="O759" s="338">
        <v>6000000</v>
      </c>
      <c r="P759" s="339">
        <v>40000000</v>
      </c>
      <c r="Q759" s="339">
        <v>1000000</v>
      </c>
      <c r="R759" s="338">
        <f t="shared" si="21"/>
        <v>47000000</v>
      </c>
      <c r="S759" s="340" t="s">
        <v>2756</v>
      </c>
      <c r="T759" s="341" t="s">
        <v>2833</v>
      </c>
      <c r="U759" s="342"/>
      <c r="V759" s="343"/>
      <c r="W759" s="90" t="s">
        <v>2355</v>
      </c>
    </row>
    <row r="760" spans="1:31" ht="30" customHeight="1">
      <c r="A760" s="317">
        <v>759</v>
      </c>
      <c r="B760" s="331">
        <v>114</v>
      </c>
      <c r="C760" s="332" t="s">
        <v>2753</v>
      </c>
      <c r="D760" s="332" t="s">
        <v>2045</v>
      </c>
      <c r="E760" s="333" t="s">
        <v>2834</v>
      </c>
      <c r="F760" s="333" t="s">
        <v>2835</v>
      </c>
      <c r="G760" s="333" t="s">
        <v>2836</v>
      </c>
      <c r="H760" s="334">
        <v>270</v>
      </c>
      <c r="I760" s="332" t="s">
        <v>2630</v>
      </c>
      <c r="J760" s="344">
        <v>8</v>
      </c>
      <c r="K760" s="335">
        <v>8</v>
      </c>
      <c r="L760" s="335">
        <v>0</v>
      </c>
      <c r="M760" s="335"/>
      <c r="N760" s="335"/>
      <c r="O760" s="338">
        <v>68000000</v>
      </c>
      <c r="P760" s="339">
        <v>0</v>
      </c>
      <c r="Q760" s="339">
        <v>0</v>
      </c>
      <c r="R760" s="338">
        <f t="shared" si="21"/>
        <v>68000000</v>
      </c>
      <c r="S760" s="340" t="s">
        <v>2756</v>
      </c>
      <c r="T760" s="341" t="s">
        <v>2837</v>
      </c>
      <c r="U760" s="342"/>
      <c r="V760" s="343"/>
      <c r="W760" s="90" t="s">
        <v>2786</v>
      </c>
    </row>
    <row r="761" spans="1:31" s="1" customFormat="1" ht="30" customHeight="1">
      <c r="A761" s="247">
        <v>760</v>
      </c>
      <c r="B761" s="345">
        <v>114</v>
      </c>
      <c r="C761" s="332" t="s">
        <v>2753</v>
      </c>
      <c r="D761" s="335" t="s">
        <v>2045</v>
      </c>
      <c r="E761" s="346" t="s">
        <v>2838</v>
      </c>
      <c r="F761" s="346" t="s">
        <v>2835</v>
      </c>
      <c r="G761" s="346" t="s">
        <v>2836</v>
      </c>
      <c r="H761" s="347">
        <v>200</v>
      </c>
      <c r="I761" s="332" t="s">
        <v>2630</v>
      </c>
      <c r="J761" s="344">
        <v>8</v>
      </c>
      <c r="K761" s="335">
        <v>3</v>
      </c>
      <c r="L761" s="335">
        <v>2</v>
      </c>
      <c r="M761" s="335"/>
      <c r="N761" s="335"/>
      <c r="O761" s="338">
        <v>50000000</v>
      </c>
      <c r="P761" s="339">
        <v>2000000</v>
      </c>
      <c r="Q761" s="339">
        <v>0</v>
      </c>
      <c r="R761" s="338">
        <f t="shared" si="21"/>
        <v>52000000</v>
      </c>
      <c r="S761" s="340" t="s">
        <v>2839</v>
      </c>
      <c r="T761" s="341" t="s">
        <v>2840</v>
      </c>
      <c r="U761" s="342"/>
      <c r="V761" s="343"/>
      <c r="W761" s="90" t="s">
        <v>2563</v>
      </c>
      <c r="X761" s="81"/>
      <c r="Y761" s="81"/>
      <c r="Z761" s="81"/>
      <c r="AA761" s="81"/>
      <c r="AB761" s="81"/>
      <c r="AC761" s="81"/>
      <c r="AD761" s="81"/>
      <c r="AE761" s="81"/>
    </row>
    <row r="762" spans="1:31" ht="30" customHeight="1">
      <c r="A762" s="317">
        <v>761</v>
      </c>
      <c r="B762" s="331">
        <v>114</v>
      </c>
      <c r="C762" s="332" t="s">
        <v>2753</v>
      </c>
      <c r="D762" s="332" t="s">
        <v>2759</v>
      </c>
      <c r="E762" s="333" t="s">
        <v>2841</v>
      </c>
      <c r="F762" s="333" t="s">
        <v>2842</v>
      </c>
      <c r="G762" s="333" t="s">
        <v>2843</v>
      </c>
      <c r="H762" s="334">
        <v>593</v>
      </c>
      <c r="I762" s="332" t="s">
        <v>2630</v>
      </c>
      <c r="J762" s="336">
        <v>10</v>
      </c>
      <c r="K762" s="335">
        <v>11</v>
      </c>
      <c r="L762" s="335">
        <v>36</v>
      </c>
      <c r="M762" s="335"/>
      <c r="N762" s="335"/>
      <c r="O762" s="338">
        <v>180000000</v>
      </c>
      <c r="P762" s="339">
        <v>416000000</v>
      </c>
      <c r="Q762" s="339">
        <v>0</v>
      </c>
      <c r="R762" s="338">
        <f t="shared" si="21"/>
        <v>596000000</v>
      </c>
      <c r="S762" s="340" t="s">
        <v>2756</v>
      </c>
      <c r="T762" s="341" t="s">
        <v>2844</v>
      </c>
      <c r="U762" s="342"/>
      <c r="V762" s="343"/>
      <c r="W762" s="90" t="s">
        <v>2439</v>
      </c>
    </row>
    <row r="763" spans="1:31" s="1" customFormat="1" ht="30" customHeight="1">
      <c r="A763" s="247">
        <v>762</v>
      </c>
      <c r="B763" s="345">
        <v>114</v>
      </c>
      <c r="C763" s="332" t="s">
        <v>2753</v>
      </c>
      <c r="D763" s="335" t="s">
        <v>2519</v>
      </c>
      <c r="E763" s="346" t="s">
        <v>2845</v>
      </c>
      <c r="F763" s="346" t="s">
        <v>2846</v>
      </c>
      <c r="G763" s="346" t="s">
        <v>2847</v>
      </c>
      <c r="H763" s="334">
        <v>1850</v>
      </c>
      <c r="I763" s="332" t="s">
        <v>2630</v>
      </c>
      <c r="J763" s="336">
        <v>8</v>
      </c>
      <c r="K763" s="335"/>
      <c r="L763" s="335"/>
      <c r="M763" s="335"/>
      <c r="N763" s="335"/>
      <c r="O763" s="338">
        <v>230000000</v>
      </c>
      <c r="P763" s="339">
        <v>410000000</v>
      </c>
      <c r="Q763" s="339">
        <v>0</v>
      </c>
      <c r="R763" s="338">
        <f t="shared" si="21"/>
        <v>640000000</v>
      </c>
      <c r="S763" s="340" t="s">
        <v>2848</v>
      </c>
      <c r="T763" s="341" t="s">
        <v>2849</v>
      </c>
      <c r="U763" s="342"/>
      <c r="V763" s="343"/>
      <c r="W763" s="90" t="s">
        <v>2786</v>
      </c>
      <c r="X763" s="81"/>
      <c r="Y763" s="81"/>
      <c r="Z763" s="81"/>
      <c r="AA763" s="81"/>
      <c r="AB763" s="81"/>
      <c r="AC763" s="81"/>
      <c r="AD763" s="81"/>
      <c r="AE763" s="81"/>
    </row>
    <row r="764" spans="1:31" s="1" customFormat="1" ht="30" customHeight="1">
      <c r="A764" s="247">
        <v>763</v>
      </c>
      <c r="B764" s="345">
        <v>114</v>
      </c>
      <c r="C764" s="332" t="s">
        <v>2753</v>
      </c>
      <c r="D764" s="335" t="s">
        <v>2519</v>
      </c>
      <c r="E764" s="346" t="s">
        <v>2850</v>
      </c>
      <c r="F764" s="346" t="s">
        <v>2851</v>
      </c>
      <c r="G764" s="346" t="s">
        <v>2852</v>
      </c>
      <c r="H764" s="334" t="s">
        <v>2853</v>
      </c>
      <c r="I764" s="332" t="s">
        <v>2630</v>
      </c>
      <c r="J764" s="336">
        <v>8</v>
      </c>
      <c r="K764" s="335"/>
      <c r="L764" s="335"/>
      <c r="M764" s="335"/>
      <c r="N764" s="335"/>
      <c r="O764" s="338">
        <v>240000000</v>
      </c>
      <c r="P764" s="339">
        <v>510000000</v>
      </c>
      <c r="Q764" s="339">
        <v>0</v>
      </c>
      <c r="R764" s="338">
        <f t="shared" si="21"/>
        <v>750000000</v>
      </c>
      <c r="S764" s="340" t="s">
        <v>2848</v>
      </c>
      <c r="T764" s="341" t="s">
        <v>2849</v>
      </c>
      <c r="U764" s="342"/>
      <c r="V764" s="343"/>
      <c r="W764" s="90" t="s">
        <v>2786</v>
      </c>
      <c r="X764" s="81"/>
      <c r="Y764" s="81"/>
      <c r="Z764" s="81"/>
      <c r="AA764" s="81"/>
      <c r="AB764" s="81"/>
      <c r="AC764" s="81"/>
      <c r="AD764" s="81"/>
      <c r="AE764" s="81"/>
    </row>
    <row r="765" spans="1:31" ht="30" customHeight="1">
      <c r="A765" s="317">
        <v>764</v>
      </c>
      <c r="B765" s="331">
        <v>114</v>
      </c>
      <c r="C765" s="332" t="s">
        <v>2753</v>
      </c>
      <c r="D765" s="332" t="s">
        <v>2609</v>
      </c>
      <c r="E765" s="333" t="s">
        <v>2854</v>
      </c>
      <c r="F765" s="333" t="s">
        <v>2680</v>
      </c>
      <c r="G765" s="333" t="s">
        <v>2681</v>
      </c>
      <c r="H765" s="334" t="s">
        <v>2855</v>
      </c>
      <c r="I765" s="332" t="s">
        <v>2630</v>
      </c>
      <c r="J765" s="336">
        <v>12</v>
      </c>
      <c r="K765" s="337">
        <v>1</v>
      </c>
      <c r="L765" s="337">
        <v>0</v>
      </c>
      <c r="M765" s="335"/>
      <c r="N765" s="335"/>
      <c r="O765" s="338">
        <v>234000000</v>
      </c>
      <c r="P765" s="339">
        <v>0</v>
      </c>
      <c r="Q765" s="339">
        <v>0</v>
      </c>
      <c r="R765" s="338">
        <f t="shared" si="21"/>
        <v>234000000</v>
      </c>
      <c r="S765" s="340" t="s">
        <v>2756</v>
      </c>
      <c r="T765" s="341" t="s">
        <v>2856</v>
      </c>
      <c r="U765" s="342"/>
      <c r="V765" s="343"/>
      <c r="W765" s="90" t="s">
        <v>2786</v>
      </c>
    </row>
    <row r="766" spans="1:31" ht="30" customHeight="1">
      <c r="A766" s="317">
        <v>765</v>
      </c>
      <c r="B766" s="331">
        <v>114</v>
      </c>
      <c r="C766" s="332" t="s">
        <v>2787</v>
      </c>
      <c r="D766" s="332" t="s">
        <v>2519</v>
      </c>
      <c r="E766" s="333" t="s">
        <v>2857</v>
      </c>
      <c r="F766" s="333" t="s">
        <v>2858</v>
      </c>
      <c r="G766" s="333" t="s">
        <v>2859</v>
      </c>
      <c r="H766" s="334">
        <v>140</v>
      </c>
      <c r="I766" s="335" t="s">
        <v>2576</v>
      </c>
      <c r="J766" s="336">
        <v>4</v>
      </c>
      <c r="K766" s="332" t="s">
        <v>2860</v>
      </c>
      <c r="L766" s="335"/>
      <c r="M766" s="335"/>
      <c r="N766" s="335"/>
      <c r="O766" s="338">
        <v>6000000</v>
      </c>
      <c r="P766" s="339">
        <v>2000000</v>
      </c>
      <c r="Q766" s="339">
        <v>0</v>
      </c>
      <c r="R766" s="338">
        <f t="shared" si="21"/>
        <v>8000000</v>
      </c>
      <c r="S766" s="340" t="s">
        <v>2756</v>
      </c>
      <c r="T766" s="341" t="s">
        <v>2861</v>
      </c>
      <c r="U766" s="342"/>
      <c r="V766" s="343"/>
      <c r="W766" s="90" t="s">
        <v>2506</v>
      </c>
    </row>
    <row r="767" spans="1:31" s="1" customFormat="1" ht="30" customHeight="1">
      <c r="A767" s="247">
        <v>766</v>
      </c>
      <c r="B767" s="345">
        <v>114</v>
      </c>
      <c r="C767" s="332" t="s">
        <v>2787</v>
      </c>
      <c r="D767" s="335" t="s">
        <v>2512</v>
      </c>
      <c r="E767" s="346" t="s">
        <v>2862</v>
      </c>
      <c r="F767" s="346" t="s">
        <v>2863</v>
      </c>
      <c r="G767" s="346" t="s">
        <v>2864</v>
      </c>
      <c r="H767" s="347">
        <v>219</v>
      </c>
      <c r="I767" s="335" t="s">
        <v>2481</v>
      </c>
      <c r="J767" s="336">
        <v>15</v>
      </c>
      <c r="K767" s="332" t="s">
        <v>2865</v>
      </c>
      <c r="L767" s="335">
        <v>1</v>
      </c>
      <c r="M767" s="335"/>
      <c r="N767" s="335">
        <v>1</v>
      </c>
      <c r="O767" s="338">
        <v>30000000</v>
      </c>
      <c r="P767" s="339">
        <v>29000000</v>
      </c>
      <c r="Q767" s="339">
        <v>1000000</v>
      </c>
      <c r="R767" s="338">
        <f t="shared" si="21"/>
        <v>60000000</v>
      </c>
      <c r="S767" s="340" t="s">
        <v>2848</v>
      </c>
      <c r="T767" s="341" t="s">
        <v>2866</v>
      </c>
      <c r="U767" s="342"/>
      <c r="V767" s="343"/>
      <c r="W767" s="90" t="s">
        <v>2867</v>
      </c>
      <c r="X767" s="81"/>
      <c r="Y767" s="81"/>
      <c r="Z767" s="81"/>
      <c r="AA767" s="81"/>
      <c r="AB767" s="81"/>
      <c r="AC767" s="81"/>
      <c r="AD767" s="81"/>
      <c r="AE767" s="81"/>
    </row>
    <row r="768" spans="1:31" ht="30" customHeight="1">
      <c r="A768" s="317">
        <v>767</v>
      </c>
      <c r="B768" s="331">
        <v>114</v>
      </c>
      <c r="C768" s="332" t="s">
        <v>2787</v>
      </c>
      <c r="D768" s="332" t="s">
        <v>2045</v>
      </c>
      <c r="E768" s="333" t="s">
        <v>2868</v>
      </c>
      <c r="F768" s="333" t="s">
        <v>2869</v>
      </c>
      <c r="G768" s="333" t="s">
        <v>2870</v>
      </c>
      <c r="H768" s="334">
        <v>20</v>
      </c>
      <c r="I768" s="335" t="s">
        <v>2871</v>
      </c>
      <c r="J768" s="336">
        <v>8</v>
      </c>
      <c r="K768" s="335">
        <v>3</v>
      </c>
      <c r="L768" s="335">
        <v>0</v>
      </c>
      <c r="M768" s="335"/>
      <c r="N768" s="335"/>
      <c r="O768" s="338">
        <v>2000000</v>
      </c>
      <c r="P768" s="339">
        <v>400000</v>
      </c>
      <c r="Q768" s="339">
        <v>600000</v>
      </c>
      <c r="R768" s="338">
        <f t="shared" si="21"/>
        <v>3000000</v>
      </c>
      <c r="S768" s="340" t="s">
        <v>2756</v>
      </c>
      <c r="T768" s="341" t="s">
        <v>2840</v>
      </c>
      <c r="U768" s="342"/>
      <c r="V768" s="343"/>
      <c r="W768" s="90" t="s">
        <v>2786</v>
      </c>
    </row>
    <row r="769" spans="1:31" s="1" customFormat="1" ht="30" customHeight="1">
      <c r="A769" s="247">
        <v>768</v>
      </c>
      <c r="B769" s="345">
        <v>114</v>
      </c>
      <c r="C769" s="332" t="s">
        <v>2753</v>
      </c>
      <c r="D769" s="335" t="s">
        <v>2495</v>
      </c>
      <c r="E769" s="346" t="s">
        <v>2872</v>
      </c>
      <c r="F769" s="346" t="s">
        <v>2647</v>
      </c>
      <c r="G769" s="346" t="s">
        <v>2648</v>
      </c>
      <c r="H769" s="347">
        <v>911</v>
      </c>
      <c r="I769" s="335" t="s">
        <v>2649</v>
      </c>
      <c r="J769" s="336">
        <v>12</v>
      </c>
      <c r="K769" s="332" t="s">
        <v>2873</v>
      </c>
      <c r="L769" s="335">
        <v>25</v>
      </c>
      <c r="M769" s="335"/>
      <c r="N769" s="335">
        <v>5</v>
      </c>
      <c r="O769" s="338">
        <v>110000000</v>
      </c>
      <c r="P769" s="339">
        <v>134000000</v>
      </c>
      <c r="Q769" s="339">
        <v>3000000</v>
      </c>
      <c r="R769" s="338">
        <f t="shared" si="21"/>
        <v>247000000</v>
      </c>
      <c r="S769" s="340" t="s">
        <v>2874</v>
      </c>
      <c r="T769" s="341" t="s">
        <v>2875</v>
      </c>
      <c r="U769" s="342"/>
      <c r="V769" s="343"/>
      <c r="W769" s="90" t="s">
        <v>2653</v>
      </c>
      <c r="X769" s="81"/>
      <c r="Y769" s="81"/>
      <c r="Z769" s="81"/>
      <c r="AA769" s="81"/>
      <c r="AB769" s="81"/>
      <c r="AC769" s="81"/>
      <c r="AD769" s="81"/>
      <c r="AE769" s="81"/>
    </row>
    <row r="770" spans="1:31" ht="30" customHeight="1">
      <c r="A770" s="317">
        <v>769</v>
      </c>
      <c r="B770" s="331">
        <v>114</v>
      </c>
      <c r="C770" s="332" t="s">
        <v>2753</v>
      </c>
      <c r="D770" s="332" t="s">
        <v>2529</v>
      </c>
      <c r="E770" s="333" t="s">
        <v>2876</v>
      </c>
      <c r="F770" s="333" t="s">
        <v>2531</v>
      </c>
      <c r="G770" s="333" t="s">
        <v>2675</v>
      </c>
      <c r="H770" s="334">
        <v>70</v>
      </c>
      <c r="I770" s="335" t="s">
        <v>2676</v>
      </c>
      <c r="J770" s="336">
        <v>10</v>
      </c>
      <c r="K770" s="332" t="s">
        <v>2877</v>
      </c>
      <c r="L770" s="335">
        <v>2</v>
      </c>
      <c r="M770" s="335">
        <v>2</v>
      </c>
      <c r="N770" s="335">
        <v>3</v>
      </c>
      <c r="O770" s="338">
        <v>10000000</v>
      </c>
      <c r="P770" s="339">
        <v>21000000</v>
      </c>
      <c r="Q770" s="339">
        <v>10000000</v>
      </c>
      <c r="R770" s="338">
        <f t="shared" si="21"/>
        <v>41000000</v>
      </c>
      <c r="S770" s="340" t="s">
        <v>2878</v>
      </c>
      <c r="T770" s="341" t="s">
        <v>2879</v>
      </c>
      <c r="U770" s="342"/>
      <c r="V770" s="343"/>
      <c r="W770" s="90" t="s">
        <v>1610</v>
      </c>
    </row>
    <row r="771" spans="1:31" s="1" customFormat="1" ht="30" customHeight="1">
      <c r="A771" s="247">
        <v>770</v>
      </c>
      <c r="B771" s="345">
        <v>114</v>
      </c>
      <c r="C771" s="332" t="s">
        <v>2880</v>
      </c>
      <c r="D771" s="335" t="s">
        <v>2495</v>
      </c>
      <c r="E771" s="346" t="s">
        <v>3111</v>
      </c>
      <c r="F771" s="346" t="s">
        <v>2881</v>
      </c>
      <c r="G771" s="346" t="s">
        <v>2882</v>
      </c>
      <c r="H771" s="347">
        <v>115</v>
      </c>
      <c r="I771" s="335" t="s">
        <v>2630</v>
      </c>
      <c r="J771" s="336">
        <v>6</v>
      </c>
      <c r="K771" s="335">
        <v>8</v>
      </c>
      <c r="L771" s="335">
        <v>0</v>
      </c>
      <c r="M771" s="335"/>
      <c r="N771" s="335"/>
      <c r="O771" s="338">
        <v>7500000</v>
      </c>
      <c r="P771" s="339">
        <v>0</v>
      </c>
      <c r="Q771" s="339">
        <v>0</v>
      </c>
      <c r="R771" s="338">
        <f t="shared" si="21"/>
        <v>7500000</v>
      </c>
      <c r="S771" s="340" t="s">
        <v>2878</v>
      </c>
      <c r="T771" s="341" t="s">
        <v>2883</v>
      </c>
      <c r="U771" s="342"/>
      <c r="V771" s="343"/>
      <c r="W771" s="90" t="s">
        <v>2884</v>
      </c>
      <c r="X771" s="81"/>
      <c r="Y771" s="81" t="s">
        <v>3112</v>
      </c>
      <c r="Z771" s="81"/>
      <c r="AA771" s="81"/>
      <c r="AB771" s="81"/>
      <c r="AC771" s="81"/>
      <c r="AD771" s="81"/>
      <c r="AE771" s="81"/>
    </row>
    <row r="772" spans="1:31" s="1" customFormat="1" ht="30" customHeight="1">
      <c r="A772" s="247">
        <v>771</v>
      </c>
      <c r="B772" s="345">
        <v>114</v>
      </c>
      <c r="C772" s="332" t="s">
        <v>2880</v>
      </c>
      <c r="D772" s="335" t="s">
        <v>2495</v>
      </c>
      <c r="E772" s="346" t="s">
        <v>2885</v>
      </c>
      <c r="F772" s="346" t="s">
        <v>2886</v>
      </c>
      <c r="G772" s="346" t="s">
        <v>2887</v>
      </c>
      <c r="H772" s="347">
        <v>100</v>
      </c>
      <c r="I772" s="335">
        <v>5</v>
      </c>
      <c r="J772" s="336">
        <v>8</v>
      </c>
      <c r="K772" s="335">
        <v>4</v>
      </c>
      <c r="L772" s="335">
        <v>0</v>
      </c>
      <c r="M772" s="335"/>
      <c r="N772" s="335"/>
      <c r="O772" s="338">
        <v>12150000</v>
      </c>
      <c r="P772" s="339">
        <v>0</v>
      </c>
      <c r="Q772" s="339">
        <v>0</v>
      </c>
      <c r="R772" s="338">
        <f t="shared" si="21"/>
        <v>12150000</v>
      </c>
      <c r="S772" s="340" t="s">
        <v>2878</v>
      </c>
      <c r="T772" s="341" t="s">
        <v>2888</v>
      </c>
      <c r="U772" s="342"/>
      <c r="V772" s="343"/>
      <c r="W772" s="90" t="s">
        <v>2889</v>
      </c>
      <c r="X772" s="81"/>
      <c r="Y772" s="81"/>
      <c r="Z772" s="81"/>
      <c r="AA772" s="81"/>
      <c r="AB772" s="81"/>
      <c r="AC772" s="81"/>
      <c r="AD772" s="81"/>
      <c r="AE772" s="81"/>
    </row>
    <row r="773" spans="1:31" s="1" customFormat="1" ht="30" customHeight="1">
      <c r="A773" s="247">
        <v>772</v>
      </c>
      <c r="B773" s="345">
        <v>114</v>
      </c>
      <c r="C773" s="332" t="s">
        <v>2787</v>
      </c>
      <c r="D773" s="335" t="s">
        <v>2512</v>
      </c>
      <c r="E773" s="346" t="s">
        <v>2890</v>
      </c>
      <c r="F773" s="346" t="s">
        <v>2863</v>
      </c>
      <c r="G773" s="346" t="s">
        <v>2864</v>
      </c>
      <c r="H773" s="347">
        <v>219</v>
      </c>
      <c r="I773" s="335" t="s">
        <v>2481</v>
      </c>
      <c r="J773" s="336">
        <v>15</v>
      </c>
      <c r="K773" s="332" t="s">
        <v>2865</v>
      </c>
      <c r="L773" s="335">
        <v>1</v>
      </c>
      <c r="M773" s="335"/>
      <c r="N773" s="335">
        <v>1</v>
      </c>
      <c r="O773" s="338">
        <v>30000000</v>
      </c>
      <c r="P773" s="339">
        <v>29000000</v>
      </c>
      <c r="Q773" s="339">
        <v>1000000</v>
      </c>
      <c r="R773" s="338">
        <f t="shared" si="21"/>
        <v>60000000</v>
      </c>
      <c r="S773" s="340" t="s">
        <v>2874</v>
      </c>
      <c r="T773" s="341" t="s">
        <v>3160</v>
      </c>
      <c r="U773" s="342"/>
      <c r="V773" s="343"/>
      <c r="W773" s="90" t="s">
        <v>2867</v>
      </c>
      <c r="X773" s="81"/>
      <c r="Y773" s="81"/>
      <c r="Z773" s="81"/>
      <c r="AA773" s="81"/>
      <c r="AB773" s="81"/>
      <c r="AC773" s="81"/>
      <c r="AD773" s="81"/>
      <c r="AE773" s="81"/>
    </row>
    <row r="774" spans="1:31" s="1" customFormat="1" ht="30" customHeight="1">
      <c r="A774" s="247">
        <v>773</v>
      </c>
      <c r="B774" s="345">
        <v>114</v>
      </c>
      <c r="C774" s="332" t="s">
        <v>2787</v>
      </c>
      <c r="D774" s="335" t="s">
        <v>2529</v>
      </c>
      <c r="E774" s="346" t="s">
        <v>2891</v>
      </c>
      <c r="F774" s="333" t="s">
        <v>2892</v>
      </c>
      <c r="G774" s="346" t="s">
        <v>2893</v>
      </c>
      <c r="H774" s="347">
        <v>316</v>
      </c>
      <c r="I774" s="335" t="s">
        <v>2576</v>
      </c>
      <c r="J774" s="336">
        <v>6</v>
      </c>
      <c r="K774" s="335">
        <v>4</v>
      </c>
      <c r="L774" s="335">
        <v>5</v>
      </c>
      <c r="M774" s="335"/>
      <c r="N774" s="335"/>
      <c r="O774" s="338">
        <v>6500000</v>
      </c>
      <c r="P774" s="339">
        <v>8500000</v>
      </c>
      <c r="Q774" s="339">
        <v>0</v>
      </c>
      <c r="R774" s="338">
        <f t="shared" si="21"/>
        <v>15000000</v>
      </c>
      <c r="S774" s="340" t="s">
        <v>2894</v>
      </c>
      <c r="T774" s="341" t="s">
        <v>2895</v>
      </c>
      <c r="U774" s="342"/>
      <c r="V774" s="343"/>
      <c r="W774" s="90" t="s">
        <v>2271</v>
      </c>
      <c r="X774" s="81"/>
      <c r="Y774" s="81"/>
      <c r="Z774" s="81"/>
      <c r="AA774" s="81"/>
      <c r="AB774" s="81"/>
      <c r="AC774" s="81"/>
      <c r="AD774" s="81"/>
      <c r="AE774" s="81"/>
    </row>
    <row r="775" spans="1:31" ht="30" customHeight="1">
      <c r="A775" s="317">
        <v>774</v>
      </c>
      <c r="B775" s="331">
        <v>114</v>
      </c>
      <c r="C775" s="332" t="s">
        <v>2787</v>
      </c>
      <c r="D775" s="332" t="s">
        <v>2529</v>
      </c>
      <c r="E775" s="333" t="s">
        <v>2896</v>
      </c>
      <c r="F775" s="333" t="s">
        <v>2892</v>
      </c>
      <c r="G775" s="333" t="s">
        <v>2893</v>
      </c>
      <c r="H775" s="334">
        <v>316</v>
      </c>
      <c r="I775" s="335" t="s">
        <v>2576</v>
      </c>
      <c r="J775" s="336">
        <v>6</v>
      </c>
      <c r="K775" s="335">
        <v>4</v>
      </c>
      <c r="L775" s="335">
        <v>0</v>
      </c>
      <c r="M775" s="335"/>
      <c r="N775" s="335"/>
      <c r="O775" s="338">
        <v>4000000</v>
      </c>
      <c r="P775" s="339">
        <v>0</v>
      </c>
      <c r="Q775" s="339">
        <v>0</v>
      </c>
      <c r="R775" s="338">
        <f t="shared" si="21"/>
        <v>4000000</v>
      </c>
      <c r="S775" s="340" t="s">
        <v>2878</v>
      </c>
      <c r="T775" s="341" t="s">
        <v>2897</v>
      </c>
      <c r="U775" s="342"/>
      <c r="V775" s="343"/>
      <c r="W775" s="90" t="s">
        <v>2271</v>
      </c>
    </row>
    <row r="776" spans="1:31" ht="30" customHeight="1">
      <c r="A776" s="317">
        <v>775</v>
      </c>
      <c r="B776" s="331">
        <v>114</v>
      </c>
      <c r="C776" s="332" t="s">
        <v>2787</v>
      </c>
      <c r="D776" s="332" t="s">
        <v>2495</v>
      </c>
      <c r="E776" s="333" t="s">
        <v>2898</v>
      </c>
      <c r="F776" s="333" t="s">
        <v>2899</v>
      </c>
      <c r="G776" s="333"/>
      <c r="H776" s="334">
        <v>25</v>
      </c>
      <c r="I776" s="335">
        <v>5.2</v>
      </c>
      <c r="J776" s="336">
        <v>7</v>
      </c>
      <c r="K776" s="335">
        <v>5</v>
      </c>
      <c r="L776" s="335">
        <v>0</v>
      </c>
      <c r="M776" s="335"/>
      <c r="N776" s="332" t="s">
        <v>2900</v>
      </c>
      <c r="O776" s="338">
        <v>800000</v>
      </c>
      <c r="P776" s="339">
        <v>100000</v>
      </c>
      <c r="Q776" s="339">
        <v>400000</v>
      </c>
      <c r="R776" s="338">
        <f t="shared" si="21"/>
        <v>1300000</v>
      </c>
      <c r="S776" s="340" t="s">
        <v>2878</v>
      </c>
      <c r="T776" s="341" t="s">
        <v>2589</v>
      </c>
      <c r="U776" s="342"/>
      <c r="V776" s="343"/>
      <c r="W776" s="90" t="s">
        <v>1575</v>
      </c>
    </row>
    <row r="777" spans="1:31" s="1" customFormat="1" ht="30" customHeight="1">
      <c r="A777" s="247">
        <v>776</v>
      </c>
      <c r="B777" s="345">
        <v>114</v>
      </c>
      <c r="C777" s="332" t="s">
        <v>2787</v>
      </c>
      <c r="D777" s="335" t="s">
        <v>2495</v>
      </c>
      <c r="E777" s="346" t="s">
        <v>2901</v>
      </c>
      <c r="F777" s="346" t="s">
        <v>2902</v>
      </c>
      <c r="G777" s="346" t="s">
        <v>2903</v>
      </c>
      <c r="H777" s="347">
        <v>140</v>
      </c>
      <c r="I777" s="335" t="s">
        <v>2630</v>
      </c>
      <c r="J777" s="336">
        <v>8</v>
      </c>
      <c r="K777" s="332" t="s">
        <v>2904</v>
      </c>
      <c r="L777" s="335">
        <v>2</v>
      </c>
      <c r="M777" s="335"/>
      <c r="N777" s="335"/>
      <c r="O777" s="338">
        <v>12000000</v>
      </c>
      <c r="P777" s="339">
        <v>65000000</v>
      </c>
      <c r="Q777" s="339">
        <v>1000000</v>
      </c>
      <c r="R777" s="338">
        <f t="shared" si="21"/>
        <v>78000000</v>
      </c>
      <c r="S777" s="340" t="s">
        <v>2905</v>
      </c>
      <c r="T777" s="341" t="s">
        <v>2906</v>
      </c>
      <c r="U777" s="342"/>
      <c r="V777" s="343"/>
      <c r="W777" s="90" t="s">
        <v>2907</v>
      </c>
      <c r="X777" s="81"/>
      <c r="Y777" s="81"/>
      <c r="Z777" s="81"/>
      <c r="AA777" s="81"/>
      <c r="AB777" s="81"/>
      <c r="AC777" s="81"/>
      <c r="AD777" s="81"/>
      <c r="AE777" s="81"/>
    </row>
    <row r="778" spans="1:31" s="1" customFormat="1" ht="30" customHeight="1">
      <c r="A778" s="247">
        <v>777</v>
      </c>
      <c r="B778" s="345">
        <v>114</v>
      </c>
      <c r="C778" s="332" t="s">
        <v>2753</v>
      </c>
      <c r="D778" s="335" t="s">
        <v>2500</v>
      </c>
      <c r="E778" s="346" t="s">
        <v>2908</v>
      </c>
      <c r="F778" s="346" t="s">
        <v>2738</v>
      </c>
      <c r="G778" s="346" t="s">
        <v>2909</v>
      </c>
      <c r="H778" s="347">
        <v>350</v>
      </c>
      <c r="I778" s="332" t="s">
        <v>2910</v>
      </c>
      <c r="J778" s="336"/>
      <c r="K778" s="332" t="s">
        <v>2911</v>
      </c>
      <c r="L778" s="335">
        <v>1</v>
      </c>
      <c r="M778" s="335"/>
      <c r="N778" s="335"/>
      <c r="O778" s="338">
        <v>280000000</v>
      </c>
      <c r="P778" s="339">
        <v>80000000</v>
      </c>
      <c r="Q778" s="339">
        <v>0</v>
      </c>
      <c r="R778" s="338">
        <f t="shared" si="21"/>
        <v>360000000</v>
      </c>
      <c r="S778" s="340" t="s">
        <v>2912</v>
      </c>
      <c r="T778" s="341" t="s">
        <v>2913</v>
      </c>
      <c r="U778" s="342"/>
      <c r="V778" s="343"/>
      <c r="W778" s="90" t="s">
        <v>2563</v>
      </c>
      <c r="X778" s="81"/>
      <c r="Y778" s="81"/>
      <c r="Z778" s="81"/>
      <c r="AA778" s="81"/>
      <c r="AB778" s="81"/>
      <c r="AC778" s="81"/>
      <c r="AD778" s="81"/>
      <c r="AE778" s="81"/>
    </row>
    <row r="779" spans="1:31" ht="30" customHeight="1">
      <c r="A779" s="317">
        <v>778</v>
      </c>
      <c r="B779" s="331">
        <v>114</v>
      </c>
      <c r="C779" s="332" t="s">
        <v>2787</v>
      </c>
      <c r="D779" s="332" t="s">
        <v>2519</v>
      </c>
      <c r="E779" s="333" t="s">
        <v>2914</v>
      </c>
      <c r="F779" s="333" t="s">
        <v>2915</v>
      </c>
      <c r="G779" s="333" t="s">
        <v>2916</v>
      </c>
      <c r="H779" s="334">
        <v>50</v>
      </c>
      <c r="I779" s="332" t="s">
        <v>2871</v>
      </c>
      <c r="J779" s="336">
        <v>8</v>
      </c>
      <c r="K779" s="332">
        <v>1</v>
      </c>
      <c r="L779" s="335">
        <v>0</v>
      </c>
      <c r="M779" s="335"/>
      <c r="N779" s="335" t="s">
        <v>2917</v>
      </c>
      <c r="O779" s="338">
        <v>20000000</v>
      </c>
      <c r="P779" s="339">
        <v>0</v>
      </c>
      <c r="Q779" s="339">
        <v>500000</v>
      </c>
      <c r="R779" s="338">
        <f t="shared" si="21"/>
        <v>20500000</v>
      </c>
      <c r="S779" s="340" t="s">
        <v>2918</v>
      </c>
      <c r="T779" s="341" t="s">
        <v>2919</v>
      </c>
      <c r="U779" s="342"/>
      <c r="V779" s="343"/>
      <c r="W779" s="90" t="s">
        <v>938</v>
      </c>
    </row>
    <row r="780" spans="1:31" ht="30" customHeight="1">
      <c r="A780" s="317">
        <v>779</v>
      </c>
      <c r="B780" s="331">
        <v>114</v>
      </c>
      <c r="C780" s="332" t="s">
        <v>2787</v>
      </c>
      <c r="D780" s="332" t="s">
        <v>2519</v>
      </c>
      <c r="E780" s="333" t="s">
        <v>2920</v>
      </c>
      <c r="F780" s="333" t="s">
        <v>2921</v>
      </c>
      <c r="G780" s="333" t="s">
        <v>2915</v>
      </c>
      <c r="H780" s="334">
        <v>110</v>
      </c>
      <c r="I780" s="335" t="s">
        <v>2630</v>
      </c>
      <c r="J780" s="336">
        <v>15</v>
      </c>
      <c r="K780" s="332">
        <v>5</v>
      </c>
      <c r="L780" s="335">
        <v>2</v>
      </c>
      <c r="M780" s="335"/>
      <c r="N780" s="335"/>
      <c r="O780" s="338">
        <v>15000000</v>
      </c>
      <c r="P780" s="339">
        <v>16000000</v>
      </c>
      <c r="Q780" s="339"/>
      <c r="R780" s="338">
        <f t="shared" si="21"/>
        <v>31000000</v>
      </c>
      <c r="S780" s="340" t="s">
        <v>2918</v>
      </c>
      <c r="T780" s="341" t="s">
        <v>2922</v>
      </c>
      <c r="U780" s="342"/>
      <c r="V780" s="343"/>
      <c r="W780" s="90" t="s">
        <v>691</v>
      </c>
    </row>
    <row r="781" spans="1:31" s="1" customFormat="1" ht="30" customHeight="1">
      <c r="A781" s="247">
        <v>780</v>
      </c>
      <c r="B781" s="345">
        <v>114</v>
      </c>
      <c r="C781" s="332" t="s">
        <v>2787</v>
      </c>
      <c r="D781" s="335" t="s">
        <v>2529</v>
      </c>
      <c r="E781" s="346" t="s">
        <v>2923</v>
      </c>
      <c r="F781" s="346" t="s">
        <v>2924</v>
      </c>
      <c r="G781" s="346" t="s">
        <v>2656</v>
      </c>
      <c r="H781" s="347">
        <v>25</v>
      </c>
      <c r="I781" s="332">
        <v>3.5</v>
      </c>
      <c r="J781" s="336">
        <v>18</v>
      </c>
      <c r="K781" s="332">
        <v>4</v>
      </c>
      <c r="L781" s="335">
        <v>1</v>
      </c>
      <c r="M781" s="335">
        <v>0</v>
      </c>
      <c r="N781" s="335" t="s">
        <v>2925</v>
      </c>
      <c r="O781" s="338">
        <v>5000000</v>
      </c>
      <c r="P781" s="339">
        <v>16000000</v>
      </c>
      <c r="Q781" s="339">
        <v>15000000</v>
      </c>
      <c r="R781" s="338">
        <f t="shared" si="21"/>
        <v>36000000</v>
      </c>
      <c r="S781" s="340" t="s">
        <v>2926</v>
      </c>
      <c r="T781" s="341" t="s">
        <v>2927</v>
      </c>
      <c r="U781" s="342"/>
      <c r="V781" s="343"/>
      <c r="W781" s="90" t="s">
        <v>2928</v>
      </c>
      <c r="X781" s="81"/>
      <c r="Y781" s="81"/>
      <c r="Z781" s="81"/>
      <c r="AA781" s="81"/>
      <c r="AB781" s="81"/>
      <c r="AC781" s="81"/>
      <c r="AD781" s="81"/>
      <c r="AE781" s="81"/>
    </row>
    <row r="782" spans="1:31" ht="30" customHeight="1">
      <c r="A782" s="317">
        <v>781</v>
      </c>
      <c r="B782" s="331">
        <v>114</v>
      </c>
      <c r="C782" s="332" t="s">
        <v>2787</v>
      </c>
      <c r="D782" s="332" t="s">
        <v>2495</v>
      </c>
      <c r="E782" s="333" t="s">
        <v>2929</v>
      </c>
      <c r="F782" s="333" t="s">
        <v>2930</v>
      </c>
      <c r="G782" s="333" t="s">
        <v>2931</v>
      </c>
      <c r="H782" s="334">
        <v>105</v>
      </c>
      <c r="I782" s="332">
        <v>4</v>
      </c>
      <c r="J782" s="336">
        <v>6</v>
      </c>
      <c r="K782" s="332">
        <v>1</v>
      </c>
      <c r="L782" s="335">
        <v>0</v>
      </c>
      <c r="M782" s="335" t="s">
        <v>2932</v>
      </c>
      <c r="N782" s="335"/>
      <c r="O782" s="338">
        <v>9000000</v>
      </c>
      <c r="P782" s="339">
        <v>0</v>
      </c>
      <c r="Q782" s="339">
        <v>3000000</v>
      </c>
      <c r="R782" s="338">
        <f t="shared" si="21"/>
        <v>12000000</v>
      </c>
      <c r="S782" s="340" t="s">
        <v>2918</v>
      </c>
      <c r="T782" s="341" t="s">
        <v>2589</v>
      </c>
      <c r="U782" s="342"/>
      <c r="V782" s="343"/>
      <c r="W782" s="90"/>
    </row>
    <row r="783" spans="1:31" s="1" customFormat="1" ht="30" customHeight="1">
      <c r="A783" s="247">
        <v>782</v>
      </c>
      <c r="B783" s="345">
        <v>114</v>
      </c>
      <c r="C783" s="332" t="s">
        <v>2787</v>
      </c>
      <c r="D783" s="335" t="s">
        <v>2495</v>
      </c>
      <c r="E783" s="346" t="s">
        <v>2933</v>
      </c>
      <c r="F783" s="346" t="s">
        <v>2934</v>
      </c>
      <c r="G783" s="346" t="s">
        <v>2935</v>
      </c>
      <c r="H783" s="347">
        <v>200</v>
      </c>
      <c r="I783" s="332" t="s">
        <v>2871</v>
      </c>
      <c r="J783" s="336">
        <v>6</v>
      </c>
      <c r="K783" s="332">
        <v>2</v>
      </c>
      <c r="L783" s="335">
        <v>3</v>
      </c>
      <c r="M783" s="335"/>
      <c r="N783" s="335"/>
      <c r="O783" s="338">
        <v>16000000</v>
      </c>
      <c r="P783" s="339">
        <v>4000000</v>
      </c>
      <c r="Q783" s="339">
        <v>500000</v>
      </c>
      <c r="R783" s="338">
        <f t="shared" si="21"/>
        <v>20500000</v>
      </c>
      <c r="S783" s="340" t="s">
        <v>2926</v>
      </c>
      <c r="T783" s="341" t="s">
        <v>2936</v>
      </c>
      <c r="U783" s="342"/>
      <c r="V783" s="343"/>
      <c r="W783" s="90"/>
      <c r="X783" s="81"/>
      <c r="Y783" s="81"/>
      <c r="Z783" s="81"/>
      <c r="AA783" s="81"/>
      <c r="AB783" s="81"/>
      <c r="AC783" s="81"/>
      <c r="AD783" s="81"/>
      <c r="AE783" s="81"/>
    </row>
    <row r="784" spans="1:31" s="1" customFormat="1" ht="30" customHeight="1">
      <c r="A784" s="247">
        <v>783</v>
      </c>
      <c r="B784" s="345">
        <v>114</v>
      </c>
      <c r="C784" s="332" t="s">
        <v>2787</v>
      </c>
      <c r="D784" s="335" t="s">
        <v>2512</v>
      </c>
      <c r="E784" s="346" t="s">
        <v>2937</v>
      </c>
      <c r="F784" s="346" t="s">
        <v>2938</v>
      </c>
      <c r="G784" s="346" t="s">
        <v>2939</v>
      </c>
      <c r="H784" s="347">
        <v>51</v>
      </c>
      <c r="I784" s="332" t="s">
        <v>2630</v>
      </c>
      <c r="J784" s="336">
        <v>15</v>
      </c>
      <c r="K784" s="332">
        <v>1</v>
      </c>
      <c r="L784" s="335">
        <v>1</v>
      </c>
      <c r="M784" s="335"/>
      <c r="N784" s="332" t="s">
        <v>2940</v>
      </c>
      <c r="O784" s="338">
        <v>10000000</v>
      </c>
      <c r="P784" s="339">
        <v>13000000</v>
      </c>
      <c r="Q784" s="339">
        <v>5000000</v>
      </c>
      <c r="R784" s="338">
        <f t="shared" si="21"/>
        <v>28000000</v>
      </c>
      <c r="S784" s="340" t="s">
        <v>2941</v>
      </c>
      <c r="T784" s="341" t="s">
        <v>2942</v>
      </c>
      <c r="U784" s="342"/>
      <c r="V784" s="343"/>
      <c r="W784" s="90"/>
      <c r="X784" s="81"/>
      <c r="Y784" s="81"/>
      <c r="Z784" s="81"/>
      <c r="AA784" s="81"/>
      <c r="AB784" s="81"/>
      <c r="AC784" s="81"/>
      <c r="AD784" s="81"/>
      <c r="AE784" s="81"/>
    </row>
    <row r="785" spans="1:31" ht="30" customHeight="1">
      <c r="A785" s="317">
        <v>784</v>
      </c>
      <c r="B785" s="331">
        <v>114</v>
      </c>
      <c r="C785" s="332" t="s">
        <v>2787</v>
      </c>
      <c r="D785" s="332" t="s">
        <v>2512</v>
      </c>
      <c r="E785" s="333" t="s">
        <v>2943</v>
      </c>
      <c r="F785" s="333" t="s">
        <v>2944</v>
      </c>
      <c r="G785" s="333" t="s">
        <v>2945</v>
      </c>
      <c r="H785" s="334" t="s">
        <v>2946</v>
      </c>
      <c r="I785" s="332" t="s">
        <v>2626</v>
      </c>
      <c r="J785" s="336" t="s">
        <v>2947</v>
      </c>
      <c r="K785" s="332">
        <v>0</v>
      </c>
      <c r="L785" s="335">
        <v>2</v>
      </c>
      <c r="M785" s="335"/>
      <c r="N785" s="335"/>
      <c r="O785" s="338">
        <v>18000000</v>
      </c>
      <c r="P785" s="339">
        <v>68000000</v>
      </c>
      <c r="Q785" s="339">
        <v>500000</v>
      </c>
      <c r="R785" s="338">
        <f t="shared" si="21"/>
        <v>86500000</v>
      </c>
      <c r="S785" s="340" t="s">
        <v>2918</v>
      </c>
      <c r="T785" s="341" t="s">
        <v>2948</v>
      </c>
      <c r="U785" s="342"/>
      <c r="V785" s="343"/>
      <c r="W785" s="90"/>
    </row>
    <row r="786" spans="1:31" s="1" customFormat="1" ht="30" customHeight="1">
      <c r="A786" s="247">
        <v>785</v>
      </c>
      <c r="B786" s="345">
        <v>114</v>
      </c>
      <c r="C786" s="332" t="s">
        <v>2787</v>
      </c>
      <c r="D786" s="335" t="s">
        <v>2519</v>
      </c>
      <c r="E786" s="346" t="s">
        <v>2949</v>
      </c>
      <c r="F786" s="346" t="s">
        <v>2950</v>
      </c>
      <c r="G786" s="346" t="s">
        <v>2951</v>
      </c>
      <c r="H786" s="347">
        <v>270</v>
      </c>
      <c r="I786" s="332" t="s">
        <v>2952</v>
      </c>
      <c r="J786" s="336">
        <v>12</v>
      </c>
      <c r="K786" s="332">
        <v>17</v>
      </c>
      <c r="L786" s="335" t="s">
        <v>2953</v>
      </c>
      <c r="M786" s="335"/>
      <c r="N786" s="335">
        <v>2</v>
      </c>
      <c r="O786" s="338">
        <v>30000000</v>
      </c>
      <c r="P786" s="339">
        <v>200000000</v>
      </c>
      <c r="Q786" s="339">
        <v>20000000</v>
      </c>
      <c r="R786" s="338">
        <f t="shared" si="21"/>
        <v>250000000</v>
      </c>
      <c r="S786" s="340" t="s">
        <v>2926</v>
      </c>
      <c r="T786" s="341" t="s">
        <v>2954</v>
      </c>
      <c r="U786" s="342"/>
      <c r="V786" s="343"/>
      <c r="W786" s="90"/>
      <c r="X786" s="81"/>
      <c r="Y786" s="81"/>
      <c r="Z786" s="81"/>
      <c r="AA786" s="81"/>
      <c r="AB786" s="81"/>
      <c r="AC786" s="81"/>
      <c r="AD786" s="81"/>
      <c r="AE786" s="81"/>
    </row>
    <row r="787" spans="1:31" s="1" customFormat="1" ht="30" customHeight="1">
      <c r="A787" s="247">
        <v>786</v>
      </c>
      <c r="B787" s="345">
        <v>114</v>
      </c>
      <c r="C787" s="332" t="s">
        <v>2753</v>
      </c>
      <c r="D787" s="335" t="s">
        <v>2045</v>
      </c>
      <c r="E787" s="346" t="s">
        <v>2955</v>
      </c>
      <c r="F787" s="346" t="s">
        <v>2956</v>
      </c>
      <c r="G787" s="346" t="s">
        <v>2957</v>
      </c>
      <c r="H787" s="347">
        <v>650</v>
      </c>
      <c r="I787" s="332" t="s">
        <v>2958</v>
      </c>
      <c r="J787" s="336">
        <v>10</v>
      </c>
      <c r="K787" s="348">
        <v>0.03</v>
      </c>
      <c r="L787" s="337">
        <v>0.97</v>
      </c>
      <c r="M787" s="335" t="s">
        <v>2932</v>
      </c>
      <c r="N787" s="335"/>
      <c r="O787" s="338">
        <v>78000000</v>
      </c>
      <c r="P787" s="339">
        <v>71000000</v>
      </c>
      <c r="Q787" s="339">
        <v>1000000</v>
      </c>
      <c r="R787" s="338">
        <f t="shared" si="21"/>
        <v>150000000</v>
      </c>
      <c r="S787" s="340" t="s">
        <v>2959</v>
      </c>
      <c r="T787" s="341" t="s">
        <v>2960</v>
      </c>
      <c r="U787" s="342"/>
      <c r="V787" s="343"/>
      <c r="W787" s="90"/>
      <c r="X787" s="81"/>
      <c r="Y787" s="81"/>
      <c r="Z787" s="81"/>
      <c r="AA787" s="81"/>
      <c r="AB787" s="81"/>
      <c r="AC787" s="81"/>
      <c r="AD787" s="81"/>
      <c r="AE787" s="81"/>
    </row>
    <row r="788" spans="1:31" s="1" customFormat="1" ht="30" customHeight="1">
      <c r="A788" s="247">
        <v>787</v>
      </c>
      <c r="B788" s="345">
        <v>114</v>
      </c>
      <c r="C788" s="332" t="s">
        <v>2753</v>
      </c>
      <c r="D788" s="335" t="s">
        <v>2495</v>
      </c>
      <c r="E788" s="346" t="s">
        <v>2961</v>
      </c>
      <c r="F788" s="346" t="s">
        <v>2647</v>
      </c>
      <c r="G788" s="346" t="s">
        <v>2648</v>
      </c>
      <c r="H788" s="347">
        <v>911</v>
      </c>
      <c r="I788" s="336" t="s">
        <v>2649</v>
      </c>
      <c r="J788" s="332">
        <v>12</v>
      </c>
      <c r="K788" s="332">
        <v>12</v>
      </c>
      <c r="L788" s="335" t="s">
        <v>2962</v>
      </c>
      <c r="M788" s="335"/>
      <c r="N788" s="335" t="s">
        <v>2963</v>
      </c>
      <c r="O788" s="338">
        <v>160000000</v>
      </c>
      <c r="P788" s="339">
        <v>230000000</v>
      </c>
      <c r="Q788" s="339">
        <v>25000000</v>
      </c>
      <c r="R788" s="338">
        <f t="shared" si="21"/>
        <v>415000000</v>
      </c>
      <c r="S788" s="340" t="s">
        <v>2941</v>
      </c>
      <c r="T788" s="341" t="s">
        <v>2964</v>
      </c>
      <c r="U788" s="342"/>
      <c r="V788" s="343"/>
      <c r="W788" s="90"/>
      <c r="X788" s="81"/>
      <c r="Y788" s="81"/>
      <c r="Z788" s="81"/>
      <c r="AA788" s="81"/>
      <c r="AB788" s="81"/>
      <c r="AC788" s="81"/>
      <c r="AD788" s="81"/>
      <c r="AE788" s="81"/>
    </row>
    <row r="789" spans="1:31" s="1" customFormat="1" ht="30" customHeight="1">
      <c r="A789" s="247">
        <v>788</v>
      </c>
      <c r="B789" s="345">
        <v>114</v>
      </c>
      <c r="C789" s="332" t="s">
        <v>2753</v>
      </c>
      <c r="D789" s="335" t="s">
        <v>2719</v>
      </c>
      <c r="E789" s="346" t="s">
        <v>2965</v>
      </c>
      <c r="F789" s="346" t="s">
        <v>2966</v>
      </c>
      <c r="G789" s="346" t="s">
        <v>2967</v>
      </c>
      <c r="H789" s="347">
        <v>1060</v>
      </c>
      <c r="I789" s="336" t="s">
        <v>2714</v>
      </c>
      <c r="J789" s="336">
        <v>8</v>
      </c>
      <c r="K789" s="332">
        <v>4</v>
      </c>
      <c r="L789" s="335"/>
      <c r="M789" s="335"/>
      <c r="N789" s="335"/>
      <c r="O789" s="338">
        <v>72000000</v>
      </c>
      <c r="P789" s="339">
        <v>2000000</v>
      </c>
      <c r="Q789" s="339"/>
      <c r="R789" s="338">
        <f t="shared" si="21"/>
        <v>74000000</v>
      </c>
      <c r="S789" s="340" t="s">
        <v>2959</v>
      </c>
      <c r="T789" s="341" t="s">
        <v>2968</v>
      </c>
      <c r="U789" s="342"/>
      <c r="V789" s="343"/>
      <c r="W789" s="90"/>
      <c r="X789" s="81"/>
      <c r="Y789" s="81"/>
      <c r="Z789" s="81"/>
      <c r="AA789" s="81"/>
      <c r="AB789" s="81"/>
      <c r="AC789" s="81"/>
      <c r="AD789" s="81"/>
      <c r="AE789" s="81"/>
    </row>
    <row r="790" spans="1:31" s="1" customFormat="1" ht="30" customHeight="1">
      <c r="A790" s="247">
        <v>789</v>
      </c>
      <c r="B790" s="345">
        <v>114</v>
      </c>
      <c r="C790" s="332" t="s">
        <v>2753</v>
      </c>
      <c r="D790" s="335" t="s">
        <v>2759</v>
      </c>
      <c r="E790" s="346" t="s">
        <v>2760</v>
      </c>
      <c r="F790" s="346" t="s">
        <v>2484</v>
      </c>
      <c r="G790" s="346" t="s">
        <v>2485</v>
      </c>
      <c r="H790" s="347">
        <v>50</v>
      </c>
      <c r="I790" s="332" t="s">
        <v>2630</v>
      </c>
      <c r="J790" s="336">
        <v>10</v>
      </c>
      <c r="K790" s="332">
        <v>3</v>
      </c>
      <c r="L790" s="335">
        <v>3</v>
      </c>
      <c r="M790" s="335"/>
      <c r="N790" s="335"/>
      <c r="O790" s="338">
        <v>15000000</v>
      </c>
      <c r="P790" s="339">
        <v>150000000</v>
      </c>
      <c r="Q790" s="339"/>
      <c r="R790" s="338">
        <f>SUM(O790:Q790)</f>
        <v>165000000</v>
      </c>
      <c r="S790" s="340" t="s">
        <v>2941</v>
      </c>
      <c r="T790" s="341" t="s">
        <v>2969</v>
      </c>
      <c r="U790" s="342"/>
      <c r="V790" s="343"/>
      <c r="W790" s="90"/>
      <c r="X790" s="81"/>
      <c r="Y790" s="81"/>
      <c r="Z790" s="81"/>
      <c r="AA790" s="81"/>
      <c r="AB790" s="81"/>
      <c r="AC790" s="81"/>
      <c r="AD790" s="81"/>
      <c r="AE790" s="81"/>
    </row>
    <row r="791" spans="1:31" s="1" customFormat="1" ht="30" customHeight="1" thickBot="1">
      <c r="A791" s="247">
        <v>790</v>
      </c>
      <c r="B791" s="349">
        <v>115</v>
      </c>
      <c r="C791" s="332" t="s">
        <v>2753</v>
      </c>
      <c r="D791" s="349" t="s">
        <v>1558</v>
      </c>
      <c r="E791" s="1" t="s">
        <v>3114</v>
      </c>
      <c r="F791" s="350"/>
      <c r="G791" s="350"/>
      <c r="H791" s="351"/>
      <c r="I791" s="352"/>
      <c r="J791" s="353"/>
      <c r="K791" s="352"/>
      <c r="L791" s="349"/>
      <c r="M791" s="349"/>
      <c r="N791" s="349"/>
      <c r="O791" s="354"/>
      <c r="P791" s="355"/>
      <c r="Q791" s="355"/>
      <c r="R791" s="354"/>
      <c r="S791" s="352"/>
      <c r="T791" s="356"/>
      <c r="U791" s="357"/>
      <c r="V791" s="358"/>
      <c r="W791" s="359"/>
      <c r="X791" s="81" t="s">
        <v>3135</v>
      </c>
      <c r="Y791" s="81" t="s">
        <v>3112</v>
      </c>
      <c r="Z791" s="81" t="s">
        <v>3113</v>
      </c>
      <c r="AA791" s="81" t="s">
        <v>3145</v>
      </c>
      <c r="AB791" s="68" t="s">
        <v>2973</v>
      </c>
      <c r="AC791" s="81"/>
      <c r="AD791" s="81"/>
      <c r="AE791" s="81"/>
    </row>
    <row r="792" spans="1:31" s="1" customFormat="1" ht="30" customHeight="1" thickBot="1">
      <c r="A792" s="360"/>
      <c r="B792" s="349">
        <v>115</v>
      </c>
      <c r="C792" s="352" t="s">
        <v>39</v>
      </c>
      <c r="D792" s="349" t="s">
        <v>1576</v>
      </c>
      <c r="E792" s="1" t="s">
        <v>3173</v>
      </c>
      <c r="F792" s="350"/>
      <c r="G792" s="350"/>
      <c r="H792" s="351"/>
      <c r="I792" s="352"/>
      <c r="J792" s="353"/>
      <c r="K792" s="352"/>
      <c r="L792" s="349"/>
      <c r="M792" s="349"/>
      <c r="N792" s="349"/>
      <c r="O792" s="354"/>
      <c r="P792" s="355"/>
      <c r="Q792" s="355"/>
      <c r="R792" s="354"/>
      <c r="S792" s="352"/>
      <c r="T792" s="356"/>
      <c r="U792" s="357"/>
      <c r="V792" s="358"/>
      <c r="W792" s="359"/>
      <c r="X792" s="81" t="s">
        <v>3135</v>
      </c>
      <c r="Y792" s="371" t="s">
        <v>3189</v>
      </c>
      <c r="Z792" s="81" t="s">
        <v>3172</v>
      </c>
      <c r="AA792" s="81" t="s">
        <v>3171</v>
      </c>
      <c r="AB792" s="68" t="s">
        <v>2972</v>
      </c>
      <c r="AC792" s="81"/>
      <c r="AD792" s="81"/>
      <c r="AE792" s="81"/>
    </row>
    <row r="793" spans="1:31" s="1" customFormat="1" ht="30" customHeight="1" thickBot="1">
      <c r="A793" s="360"/>
      <c r="B793" s="349"/>
      <c r="C793" s="352"/>
      <c r="D793" s="349"/>
      <c r="F793" s="350"/>
      <c r="G793" s="350"/>
      <c r="H793" s="351"/>
      <c r="I793" s="352"/>
      <c r="J793" s="353"/>
      <c r="K793" s="352"/>
      <c r="L793" s="349"/>
      <c r="M793" s="349"/>
      <c r="N793" s="349"/>
      <c r="O793" s="354"/>
      <c r="P793" s="355"/>
      <c r="Q793" s="355"/>
      <c r="R793" s="354"/>
      <c r="S793" s="352"/>
      <c r="T793" s="356"/>
      <c r="U793" s="357"/>
      <c r="V793" s="358"/>
      <c r="W793" s="359"/>
      <c r="X793" s="81"/>
      <c r="Y793" s="81"/>
      <c r="Z793" s="81"/>
      <c r="AA793" s="81"/>
      <c r="AB793" s="81"/>
      <c r="AC793" s="81"/>
      <c r="AD793" s="81"/>
      <c r="AE793" s="81"/>
    </row>
    <row r="794" spans="1:31" ht="30" customHeight="1" thickBot="1">
      <c r="E794" s="361" t="s">
        <v>3103</v>
      </c>
    </row>
    <row r="795" spans="1:31" ht="30" customHeight="1" thickBot="1">
      <c r="E795" s="361" t="s">
        <v>3034</v>
      </c>
    </row>
    <row r="796" spans="1:31" ht="30" customHeight="1" thickBot="1">
      <c r="E796" s="362" t="s">
        <v>3035</v>
      </c>
    </row>
    <row r="797" spans="1:31" ht="30" customHeight="1" thickBot="1">
      <c r="E797" s="362" t="s">
        <v>3036</v>
      </c>
    </row>
    <row r="798" spans="1:31" ht="30" customHeight="1" thickBot="1">
      <c r="E798" s="362" t="s">
        <v>3037</v>
      </c>
    </row>
    <row r="799" spans="1:31" ht="30" customHeight="1" thickBot="1">
      <c r="E799" s="362" t="s">
        <v>3038</v>
      </c>
    </row>
    <row r="800" spans="1:31" ht="30" customHeight="1" thickBot="1">
      <c r="E800" s="363" t="s">
        <v>3039</v>
      </c>
    </row>
    <row r="801" spans="5:5" ht="30" customHeight="1" thickBot="1">
      <c r="E801" s="363" t="s">
        <v>3040</v>
      </c>
    </row>
    <row r="802" spans="5:5" ht="30" customHeight="1" thickBot="1">
      <c r="E802" s="364" t="s">
        <v>3042</v>
      </c>
    </row>
    <row r="803" spans="5:5" ht="30" customHeight="1">
      <c r="E803" s="365" t="s">
        <v>3104</v>
      </c>
    </row>
  </sheetData>
  <autoFilter ref="A1:AE792" xr:uid="{833412BA-7637-4C86-913B-0AE5C58BFA83}"/>
  <mergeCells count="3">
    <mergeCell ref="T343:T344"/>
    <mergeCell ref="T380:T381"/>
    <mergeCell ref="T451:T45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C8DC-A1DF-4E5A-93B0-AFF81B923130}">
  <sheetPr filterMode="1">
    <tabColor rgb="FF00B0F0"/>
  </sheetPr>
  <dimension ref="A1:Q524"/>
  <sheetViews>
    <sheetView workbookViewId="0">
      <selection activeCell="Q16" sqref="Q16"/>
    </sheetView>
  </sheetViews>
  <sheetFormatPr defaultRowHeight="15"/>
  <cols>
    <col min="1" max="1" width="4.75" style="17" bestFit="1" customWidth="1"/>
    <col min="2" max="2" width="10.75" style="10" customWidth="1"/>
    <col min="3" max="3" width="13.5" style="10" customWidth="1"/>
    <col min="4" max="4" width="17" style="49" bestFit="1" customWidth="1"/>
    <col min="5" max="5" width="27.625" style="18" bestFit="1" customWidth="1"/>
    <col min="6" max="6" width="54" style="19" customWidth="1"/>
    <col min="7" max="7" width="25.25" style="19" customWidth="1"/>
    <col min="8" max="8" width="21.125" style="18" customWidth="1"/>
    <col min="9" max="9" width="25.375" style="51" customWidth="1"/>
    <col min="10" max="10" width="34.5" style="19" customWidth="1"/>
    <col min="11" max="11" width="19.875" style="28" customWidth="1"/>
    <col min="12" max="12" width="20.5" style="9" customWidth="1"/>
    <col min="13" max="13" width="34.375" style="19" customWidth="1"/>
    <col min="14" max="14" width="16.625" style="19" bestFit="1" customWidth="1"/>
    <col min="15" max="15" width="19.125" style="19" bestFit="1" customWidth="1"/>
    <col min="16" max="16" width="23.5" style="18" customWidth="1"/>
    <col min="17" max="17" width="34.375" style="19" customWidth="1"/>
    <col min="18" max="16384" width="9" style="18"/>
  </cols>
  <sheetData>
    <row r="1" spans="1:17">
      <c r="A1" s="23" t="s">
        <v>3006</v>
      </c>
      <c r="B1" s="23" t="s">
        <v>3058</v>
      </c>
      <c r="C1" s="37" t="s">
        <v>3059</v>
      </c>
      <c r="D1" s="48" t="s">
        <v>3060</v>
      </c>
      <c r="E1" s="23" t="s">
        <v>3061</v>
      </c>
      <c r="F1" s="23" t="s">
        <v>3062</v>
      </c>
      <c r="G1" s="38" t="s">
        <v>3141</v>
      </c>
      <c r="H1" s="34" t="s">
        <v>3105</v>
      </c>
      <c r="I1" s="34" t="s">
        <v>2999</v>
      </c>
      <c r="J1" s="39" t="s">
        <v>3063</v>
      </c>
      <c r="K1" s="39" t="s">
        <v>0</v>
      </c>
      <c r="L1" s="40" t="s">
        <v>3064</v>
      </c>
      <c r="M1" s="23" t="s">
        <v>3065</v>
      </c>
      <c r="N1" s="23" t="s">
        <v>3190</v>
      </c>
      <c r="O1" s="23" t="s">
        <v>3191</v>
      </c>
      <c r="P1" s="23" t="s">
        <v>3043</v>
      </c>
      <c r="Q1" s="23" t="s">
        <v>3044</v>
      </c>
    </row>
    <row r="2" spans="1:17" ht="45" hidden="1">
      <c r="A2" s="20"/>
      <c r="B2" s="10" t="s">
        <v>3066</v>
      </c>
      <c r="C2" s="10" t="s">
        <v>3067</v>
      </c>
      <c r="D2" s="49" t="s">
        <v>3068</v>
      </c>
      <c r="E2" s="18" t="s">
        <v>3069</v>
      </c>
      <c r="F2" s="19" t="s">
        <v>3070</v>
      </c>
      <c r="G2" s="19" t="s">
        <v>3071</v>
      </c>
      <c r="H2" s="35" t="s">
        <v>3000</v>
      </c>
      <c r="I2" s="51" t="s">
        <v>3097</v>
      </c>
      <c r="J2" s="19" t="s">
        <v>3071</v>
      </c>
      <c r="K2" s="20" t="s">
        <v>3011</v>
      </c>
      <c r="L2" s="35" t="s">
        <v>3072</v>
      </c>
      <c r="M2" s="20"/>
      <c r="N2" s="20"/>
      <c r="O2" s="20"/>
      <c r="P2" s="41" t="s">
        <v>3014</v>
      </c>
      <c r="Q2" s="20"/>
    </row>
    <row r="3" spans="1:17" ht="30" hidden="1">
      <c r="A3" s="20"/>
      <c r="B3" s="10" t="s">
        <v>3066</v>
      </c>
      <c r="C3" s="10" t="s">
        <v>3067</v>
      </c>
      <c r="D3" s="49" t="s">
        <v>3073</v>
      </c>
      <c r="E3" s="18" t="s">
        <v>3074</v>
      </c>
      <c r="F3" s="19" t="s">
        <v>3075</v>
      </c>
      <c r="G3" s="19" t="s">
        <v>3076</v>
      </c>
      <c r="H3" s="35" t="s">
        <v>3000</v>
      </c>
      <c r="J3" s="19" t="s">
        <v>3071</v>
      </c>
      <c r="K3" s="20"/>
      <c r="L3" s="35"/>
      <c r="M3" s="20"/>
      <c r="N3" s="20"/>
      <c r="O3" s="20"/>
      <c r="Q3" s="20"/>
    </row>
    <row r="4" spans="1:17" ht="45" hidden="1">
      <c r="A4" s="20"/>
      <c r="B4" s="10" t="s">
        <v>3066</v>
      </c>
      <c r="C4" s="10" t="s">
        <v>3067</v>
      </c>
      <c r="D4" s="49" t="s">
        <v>3068</v>
      </c>
      <c r="E4" s="18" t="s">
        <v>3069</v>
      </c>
      <c r="F4" s="19" t="s">
        <v>3077</v>
      </c>
      <c r="G4" s="19" t="s">
        <v>3078</v>
      </c>
      <c r="H4" s="35" t="s">
        <v>3010</v>
      </c>
      <c r="I4" s="51" t="s">
        <v>3098</v>
      </c>
      <c r="J4" s="19" t="s">
        <v>3078</v>
      </c>
      <c r="K4" s="20" t="s">
        <v>3012</v>
      </c>
      <c r="L4" s="35" t="s">
        <v>3072</v>
      </c>
      <c r="M4" s="20"/>
      <c r="N4" s="20"/>
      <c r="O4" s="20"/>
      <c r="Q4" s="20"/>
    </row>
    <row r="5" spans="1:17" ht="90" hidden="1">
      <c r="A5" s="17">
        <v>1</v>
      </c>
      <c r="B5" s="10" t="s">
        <v>3066</v>
      </c>
      <c r="C5" s="10" t="s">
        <v>3119</v>
      </c>
      <c r="D5" s="50">
        <v>45994</v>
      </c>
      <c r="E5" s="26" t="s">
        <v>3045</v>
      </c>
      <c r="F5" s="26" t="s">
        <v>3046</v>
      </c>
      <c r="G5" s="19" t="s">
        <v>3079</v>
      </c>
      <c r="I5" s="51" t="s">
        <v>3095</v>
      </c>
      <c r="K5" s="18"/>
      <c r="L5" s="9" t="s">
        <v>3080</v>
      </c>
      <c r="M5" s="19" t="s">
        <v>3081</v>
      </c>
    </row>
    <row r="6" spans="1:17" ht="45" hidden="1">
      <c r="A6" s="17">
        <v>2</v>
      </c>
      <c r="B6" s="10" t="s">
        <v>3066</v>
      </c>
      <c r="C6" s="10" t="s">
        <v>3067</v>
      </c>
      <c r="D6" s="50">
        <v>46007</v>
      </c>
      <c r="E6" s="26" t="s">
        <v>3047</v>
      </c>
      <c r="F6" s="26" t="s">
        <v>3048</v>
      </c>
      <c r="G6" s="19" t="s">
        <v>3030</v>
      </c>
      <c r="I6" s="51" t="s">
        <v>3095</v>
      </c>
      <c r="K6" s="18"/>
      <c r="L6" s="9" t="s">
        <v>3082</v>
      </c>
      <c r="M6" s="19" t="s">
        <v>3083</v>
      </c>
    </row>
    <row r="7" spans="1:17" ht="45" hidden="1">
      <c r="A7" s="17">
        <v>3</v>
      </c>
      <c r="B7" s="10" t="s">
        <v>3067</v>
      </c>
      <c r="C7" s="10" t="s">
        <v>3066</v>
      </c>
      <c r="D7" s="50">
        <v>46010</v>
      </c>
      <c r="E7" s="26" t="s">
        <v>3049</v>
      </c>
      <c r="F7" s="26" t="s">
        <v>3088</v>
      </c>
      <c r="G7" s="19" t="s">
        <v>3161</v>
      </c>
      <c r="I7" s="51" t="s">
        <v>3102</v>
      </c>
    </row>
    <row r="8" spans="1:17" ht="60" hidden="1">
      <c r="A8" s="17">
        <v>4</v>
      </c>
      <c r="B8" s="10" t="s">
        <v>3067</v>
      </c>
      <c r="C8" s="10" t="s">
        <v>3066</v>
      </c>
      <c r="D8" s="50">
        <v>46022</v>
      </c>
      <c r="E8" s="26" t="s">
        <v>3050</v>
      </c>
      <c r="F8" s="26" t="s">
        <v>3089</v>
      </c>
      <c r="G8" s="19" t="s">
        <v>3090</v>
      </c>
      <c r="H8" s="36"/>
      <c r="I8" s="51" t="s">
        <v>3102</v>
      </c>
    </row>
    <row r="9" spans="1:17" ht="45" hidden="1">
      <c r="A9" s="17">
        <v>5</v>
      </c>
      <c r="B9" s="10" t="s">
        <v>3067</v>
      </c>
      <c r="C9" s="10" t="s">
        <v>3066</v>
      </c>
      <c r="D9" s="50">
        <v>46022</v>
      </c>
      <c r="E9" s="26" t="s">
        <v>3051</v>
      </c>
      <c r="F9" s="26" t="s">
        <v>3091</v>
      </c>
      <c r="G9" s="19" t="s">
        <v>3092</v>
      </c>
      <c r="H9" s="36"/>
      <c r="I9" s="51" t="s">
        <v>3102</v>
      </c>
    </row>
    <row r="10" spans="1:17" ht="45" hidden="1">
      <c r="A10" s="17">
        <v>6</v>
      </c>
      <c r="B10" s="10" t="s">
        <v>3067</v>
      </c>
      <c r="C10" s="10" t="s">
        <v>3066</v>
      </c>
      <c r="D10" s="49" t="s">
        <v>3181</v>
      </c>
      <c r="E10" s="26" t="s">
        <v>3052</v>
      </c>
      <c r="F10" s="26" t="s">
        <v>3093</v>
      </c>
      <c r="G10" s="19" t="s">
        <v>3094</v>
      </c>
      <c r="H10" s="36"/>
      <c r="I10" s="51" t="s">
        <v>3132</v>
      </c>
    </row>
    <row r="11" spans="1:17" ht="75.75" thickBot="1">
      <c r="A11" s="17">
        <v>7</v>
      </c>
      <c r="B11" s="10" t="s">
        <v>3066</v>
      </c>
      <c r="C11" s="10" t="s">
        <v>3067</v>
      </c>
      <c r="D11" s="49" t="s">
        <v>3181</v>
      </c>
      <c r="E11" s="26" t="s">
        <v>3053</v>
      </c>
      <c r="F11" s="26" t="s">
        <v>3054</v>
      </c>
      <c r="G11" s="19" t="s">
        <v>3166</v>
      </c>
      <c r="H11" s="35" t="s">
        <v>3165</v>
      </c>
      <c r="I11" s="51" t="s">
        <v>3041</v>
      </c>
      <c r="J11" s="19" t="str">
        <f>_xlfn.CONCAT(H11,+"_",I11)</f>
        <v>115年度第1次教育訓練_07.辦理教育訓練</v>
      </c>
      <c r="K11" s="19" t="s">
        <v>3143</v>
      </c>
      <c r="L11" s="9" t="s">
        <v>3185</v>
      </c>
      <c r="P11" s="42" t="s">
        <v>3013</v>
      </c>
      <c r="Q11" s="19" t="s">
        <v>3170</v>
      </c>
    </row>
    <row r="12" spans="1:17" ht="45.75" hidden="1" thickBot="1">
      <c r="A12" s="17">
        <v>8</v>
      </c>
      <c r="B12" s="10" t="s">
        <v>3067</v>
      </c>
      <c r="C12" s="10" t="s">
        <v>3066</v>
      </c>
      <c r="D12" s="49" t="s">
        <v>3180</v>
      </c>
      <c r="E12" s="26" t="s">
        <v>3055</v>
      </c>
      <c r="F12" s="26" t="s">
        <v>3084</v>
      </c>
      <c r="G12" s="19" t="s">
        <v>3085</v>
      </c>
      <c r="H12" s="36"/>
      <c r="I12" s="51" t="s">
        <v>3102</v>
      </c>
    </row>
    <row r="13" spans="1:17" ht="60.75" hidden="1" thickBot="1">
      <c r="A13" s="17">
        <v>9</v>
      </c>
      <c r="B13" s="10" t="s">
        <v>3066</v>
      </c>
      <c r="C13" s="10" t="s">
        <v>3067</v>
      </c>
      <c r="D13" s="49" t="s">
        <v>3179</v>
      </c>
      <c r="E13" s="26" t="s">
        <v>3056</v>
      </c>
      <c r="F13" s="26" t="s">
        <v>3086</v>
      </c>
      <c r="G13" s="19" t="s">
        <v>3162</v>
      </c>
      <c r="H13" s="36"/>
      <c r="I13" s="51" t="s">
        <v>3102</v>
      </c>
    </row>
    <row r="14" spans="1:17" ht="45.75" hidden="1" thickBot="1">
      <c r="A14" s="17">
        <v>10</v>
      </c>
      <c r="B14" s="10" t="s">
        <v>3066</v>
      </c>
      <c r="C14" s="10" t="s">
        <v>3067</v>
      </c>
      <c r="D14" s="49" t="s">
        <v>3178</v>
      </c>
      <c r="E14" s="26" t="s">
        <v>3057</v>
      </c>
      <c r="F14" s="26" t="s">
        <v>3087</v>
      </c>
      <c r="G14" s="19" t="s">
        <v>3163</v>
      </c>
      <c r="H14" s="36"/>
      <c r="I14" s="51" t="s">
        <v>3102</v>
      </c>
      <c r="L14" s="9" t="s">
        <v>3184</v>
      </c>
    </row>
    <row r="15" spans="1:17" ht="75.75" thickBot="1">
      <c r="A15" s="17">
        <v>11</v>
      </c>
      <c r="B15" s="10" t="s">
        <v>3066</v>
      </c>
      <c r="C15" s="10" t="s">
        <v>3067</v>
      </c>
      <c r="D15" s="49" t="s">
        <v>3178</v>
      </c>
      <c r="E15" s="26" t="s">
        <v>3109</v>
      </c>
      <c r="F15" s="19" t="s">
        <v>3116</v>
      </c>
      <c r="G15" s="19" t="s">
        <v>3164</v>
      </c>
      <c r="H15" s="36" t="s">
        <v>3114</v>
      </c>
      <c r="I15" s="51" t="s">
        <v>3097</v>
      </c>
      <c r="J15" s="19" t="str">
        <f>_xlfn.CONCAT(H15,+"_",I15)</f>
        <v>桃園市八德區霄裡公園及周邊道路興闢工程_02.土地協議市價查估作業</v>
      </c>
      <c r="K15" s="19" t="s">
        <v>3145</v>
      </c>
      <c r="L15" s="81" t="s">
        <v>3183</v>
      </c>
      <c r="M15" s="19" t="str">
        <f>_xlfn.CONCAT(D15,+"_",E5,+"_",G15)</f>
        <v>115年01月15日_桃工用字第11400491701號_通知辦理115年_派工單號002</v>
      </c>
      <c r="N15" s="45" t="s">
        <v>3146</v>
      </c>
      <c r="O15" s="373" t="s">
        <v>3005</v>
      </c>
      <c r="P15" s="24" t="s">
        <v>3140</v>
      </c>
      <c r="Q15" s="19" t="s">
        <v>3169</v>
      </c>
    </row>
    <row r="16" spans="1:17" ht="150.75" thickBot="1">
      <c r="B16" s="10" t="s">
        <v>3066</v>
      </c>
      <c r="C16" s="10" t="s">
        <v>3067</v>
      </c>
      <c r="D16" s="49" t="s">
        <v>3177</v>
      </c>
      <c r="E16" s="26" t="s">
        <v>3175</v>
      </c>
      <c r="F16" s="19" t="s">
        <v>3176</v>
      </c>
      <c r="G16" s="19" t="s">
        <v>3174</v>
      </c>
      <c r="H16" s="36" t="s">
        <v>3173</v>
      </c>
      <c r="I16" s="51" t="s">
        <v>3097</v>
      </c>
      <c r="J16" s="19" t="str">
        <f>_xlfn.CONCAT(H16,+"_",I16)</f>
        <v>中壢區龍岡路4-1-10M計畫道路路口瓶頸打通工程_02.土地協議市價查估作業</v>
      </c>
      <c r="K16" s="19" t="s">
        <v>3171</v>
      </c>
      <c r="L16" s="81" t="s">
        <v>3182</v>
      </c>
      <c r="M16" s="19" t="str">
        <f>_xlfn.CONCAT(D16,+"_",E6,+"_",G16)</f>
        <v>115年01月14日_桃工用字第11400504761號_通知辦理115年_派工單號003</v>
      </c>
      <c r="N16" s="371" t="s">
        <v>3189</v>
      </c>
      <c r="O16" s="372" t="s">
        <v>3003</v>
      </c>
      <c r="P16" s="18" t="s">
        <v>3167</v>
      </c>
      <c r="Q16" s="19" t="s">
        <v>3168</v>
      </c>
    </row>
    <row r="17" spans="8:8" hidden="1">
      <c r="H17" s="36"/>
    </row>
    <row r="18" spans="8:8" hidden="1">
      <c r="H18" s="36"/>
    </row>
    <row r="19" spans="8:8" hidden="1">
      <c r="H19" s="36"/>
    </row>
    <row r="20" spans="8:8" hidden="1">
      <c r="H20" s="36"/>
    </row>
    <row r="21" spans="8:8" hidden="1">
      <c r="H21" s="36"/>
    </row>
    <row r="22" spans="8:8" hidden="1">
      <c r="H22" s="36"/>
    </row>
    <row r="23" spans="8:8" hidden="1">
      <c r="H23" s="36"/>
    </row>
    <row r="24" spans="8:8" hidden="1">
      <c r="H24" s="36"/>
    </row>
    <row r="25" spans="8:8" hidden="1">
      <c r="H25" s="36"/>
    </row>
    <row r="26" spans="8:8" hidden="1">
      <c r="H26" s="36"/>
    </row>
    <row r="27" spans="8:8" hidden="1">
      <c r="H27" s="36"/>
    </row>
    <row r="28" spans="8:8" hidden="1">
      <c r="H28" s="36"/>
    </row>
    <row r="29" spans="8:8" hidden="1">
      <c r="H29" s="36"/>
    </row>
    <row r="30" spans="8:8" hidden="1">
      <c r="H30" s="36"/>
    </row>
    <row r="31" spans="8:8" hidden="1">
      <c r="H31" s="36"/>
    </row>
    <row r="32" spans="8:8" hidden="1">
      <c r="H32" s="36"/>
    </row>
    <row r="33" spans="8:8" hidden="1">
      <c r="H33" s="36"/>
    </row>
    <row r="34" spans="8:8" hidden="1">
      <c r="H34" s="36"/>
    </row>
    <row r="35" spans="8:8" hidden="1">
      <c r="H35" s="36"/>
    </row>
    <row r="36" spans="8:8" hidden="1">
      <c r="H36" s="36"/>
    </row>
    <row r="37" spans="8:8" hidden="1">
      <c r="H37" s="36"/>
    </row>
    <row r="38" spans="8:8" hidden="1">
      <c r="H38" s="36"/>
    </row>
    <row r="39" spans="8:8" hidden="1">
      <c r="H39" s="36"/>
    </row>
    <row r="40" spans="8:8" hidden="1">
      <c r="H40" s="36"/>
    </row>
    <row r="41" spans="8:8" hidden="1">
      <c r="H41" s="36"/>
    </row>
    <row r="42" spans="8:8" hidden="1">
      <c r="H42" s="36"/>
    </row>
    <row r="43" spans="8:8" hidden="1">
      <c r="H43" s="36"/>
    </row>
    <row r="44" spans="8:8" hidden="1">
      <c r="H44" s="36"/>
    </row>
    <row r="45" spans="8:8" hidden="1">
      <c r="H45" s="36"/>
    </row>
    <row r="46" spans="8:8" hidden="1">
      <c r="H46" s="36"/>
    </row>
    <row r="47" spans="8:8" hidden="1">
      <c r="H47" s="36"/>
    </row>
    <row r="48" spans="8:8" hidden="1">
      <c r="H48" s="36"/>
    </row>
    <row r="49" spans="8:8" hidden="1">
      <c r="H49" s="36"/>
    </row>
    <row r="50" spans="8:8" hidden="1">
      <c r="H50" s="36"/>
    </row>
    <row r="51" spans="8:8" hidden="1">
      <c r="H51" s="36"/>
    </row>
    <row r="52" spans="8:8" hidden="1">
      <c r="H52" s="36"/>
    </row>
    <row r="53" spans="8:8" hidden="1">
      <c r="H53" s="36"/>
    </row>
    <row r="54" spans="8:8" hidden="1">
      <c r="H54" s="36"/>
    </row>
    <row r="55" spans="8:8" hidden="1">
      <c r="H55" s="36"/>
    </row>
    <row r="56" spans="8:8" hidden="1">
      <c r="H56" s="36"/>
    </row>
    <row r="57" spans="8:8" hidden="1">
      <c r="H57" s="36"/>
    </row>
    <row r="58" spans="8:8" hidden="1">
      <c r="H58" s="36"/>
    </row>
    <row r="59" spans="8:8" hidden="1">
      <c r="H59" s="36"/>
    </row>
    <row r="60" spans="8:8" hidden="1">
      <c r="H60" s="36"/>
    </row>
    <row r="61" spans="8:8" hidden="1">
      <c r="H61" s="36"/>
    </row>
    <row r="62" spans="8:8" hidden="1">
      <c r="H62" s="36"/>
    </row>
    <row r="63" spans="8:8" hidden="1">
      <c r="H63" s="36"/>
    </row>
    <row r="64" spans="8:8" hidden="1">
      <c r="H64" s="36"/>
    </row>
    <row r="65" spans="8:8" hidden="1">
      <c r="H65" s="36"/>
    </row>
    <row r="66" spans="8:8" hidden="1">
      <c r="H66" s="36"/>
    </row>
    <row r="67" spans="8:8" hidden="1">
      <c r="H67" s="36"/>
    </row>
    <row r="68" spans="8:8" hidden="1">
      <c r="H68" s="36"/>
    </row>
    <row r="69" spans="8:8" hidden="1">
      <c r="H69" s="36"/>
    </row>
    <row r="70" spans="8:8" hidden="1">
      <c r="H70" s="36"/>
    </row>
    <row r="71" spans="8:8" hidden="1">
      <c r="H71" s="36"/>
    </row>
    <row r="72" spans="8:8" hidden="1">
      <c r="H72" s="36"/>
    </row>
    <row r="73" spans="8:8" hidden="1">
      <c r="H73" s="36"/>
    </row>
    <row r="74" spans="8:8" hidden="1">
      <c r="H74" s="36"/>
    </row>
    <row r="75" spans="8:8" hidden="1">
      <c r="H75" s="36"/>
    </row>
    <row r="76" spans="8:8" hidden="1">
      <c r="H76" s="36"/>
    </row>
    <row r="77" spans="8:8" hidden="1">
      <c r="H77" s="36"/>
    </row>
    <row r="78" spans="8:8" hidden="1">
      <c r="H78" s="36"/>
    </row>
    <row r="79" spans="8:8" hidden="1">
      <c r="H79" s="36"/>
    </row>
    <row r="80" spans="8:8" hidden="1">
      <c r="H80" s="36"/>
    </row>
    <row r="81" spans="8:8" hidden="1">
      <c r="H81" s="36"/>
    </row>
    <row r="82" spans="8:8" hidden="1">
      <c r="H82" s="36"/>
    </row>
    <row r="83" spans="8:8" hidden="1">
      <c r="H83" s="36"/>
    </row>
    <row r="84" spans="8:8" hidden="1">
      <c r="H84" s="36"/>
    </row>
    <row r="85" spans="8:8" hidden="1">
      <c r="H85" s="36"/>
    </row>
    <row r="86" spans="8:8" hidden="1">
      <c r="H86" s="36"/>
    </row>
    <row r="87" spans="8:8" hidden="1">
      <c r="H87" s="36"/>
    </row>
    <row r="88" spans="8:8" hidden="1">
      <c r="H88" s="36"/>
    </row>
    <row r="89" spans="8:8" hidden="1">
      <c r="H89" s="36"/>
    </row>
    <row r="90" spans="8:8" hidden="1">
      <c r="H90" s="36"/>
    </row>
    <row r="91" spans="8:8" hidden="1">
      <c r="H91" s="36"/>
    </row>
    <row r="92" spans="8:8" hidden="1">
      <c r="H92" s="36"/>
    </row>
    <row r="93" spans="8:8" hidden="1">
      <c r="H93" s="36"/>
    </row>
    <row r="94" spans="8:8" hidden="1">
      <c r="H94" s="36"/>
    </row>
    <row r="95" spans="8:8" hidden="1">
      <c r="H95" s="36"/>
    </row>
    <row r="96" spans="8:8" hidden="1">
      <c r="H96" s="36"/>
    </row>
    <row r="97" spans="8:8" hidden="1">
      <c r="H97" s="36"/>
    </row>
    <row r="98" spans="8:8" hidden="1">
      <c r="H98" s="36"/>
    </row>
    <row r="99" spans="8:8" hidden="1">
      <c r="H99" s="36"/>
    </row>
    <row r="100" spans="8:8" hidden="1">
      <c r="H100" s="36"/>
    </row>
    <row r="101" spans="8:8" hidden="1">
      <c r="H101" s="36"/>
    </row>
    <row r="102" spans="8:8" hidden="1">
      <c r="H102" s="36"/>
    </row>
    <row r="103" spans="8:8" hidden="1">
      <c r="H103" s="36"/>
    </row>
    <row r="104" spans="8:8" hidden="1">
      <c r="H104" s="36"/>
    </row>
    <row r="105" spans="8:8" hidden="1">
      <c r="H105" s="36"/>
    </row>
    <row r="106" spans="8:8" hidden="1">
      <c r="H106" s="36"/>
    </row>
    <row r="107" spans="8:8" hidden="1">
      <c r="H107" s="36"/>
    </row>
    <row r="108" spans="8:8" hidden="1">
      <c r="H108" s="36"/>
    </row>
    <row r="109" spans="8:8" hidden="1">
      <c r="H109" s="36"/>
    </row>
    <row r="110" spans="8:8" hidden="1">
      <c r="H110" s="36"/>
    </row>
    <row r="111" spans="8:8" hidden="1">
      <c r="H111" s="36"/>
    </row>
    <row r="112" spans="8:8" hidden="1">
      <c r="H112" s="36"/>
    </row>
    <row r="113" spans="8:8" hidden="1">
      <c r="H113" s="36"/>
    </row>
    <row r="114" spans="8:8" hidden="1">
      <c r="H114" s="36"/>
    </row>
    <row r="115" spans="8:8" hidden="1">
      <c r="H115" s="36"/>
    </row>
    <row r="116" spans="8:8" hidden="1">
      <c r="H116" s="36"/>
    </row>
    <row r="117" spans="8:8" hidden="1">
      <c r="H117" s="36"/>
    </row>
    <row r="118" spans="8:8" hidden="1">
      <c r="H118" s="36"/>
    </row>
    <row r="119" spans="8:8" hidden="1">
      <c r="H119" s="36"/>
    </row>
    <row r="120" spans="8:8" hidden="1">
      <c r="H120" s="36"/>
    </row>
    <row r="121" spans="8:8" hidden="1">
      <c r="H121" s="36"/>
    </row>
    <row r="122" spans="8:8" hidden="1">
      <c r="H122" s="36"/>
    </row>
    <row r="123" spans="8:8" hidden="1">
      <c r="H123" s="36"/>
    </row>
    <row r="124" spans="8:8" hidden="1">
      <c r="H124" s="36"/>
    </row>
    <row r="125" spans="8:8" hidden="1">
      <c r="H125" s="36"/>
    </row>
    <row r="126" spans="8:8" hidden="1">
      <c r="H126" s="36"/>
    </row>
    <row r="127" spans="8:8" hidden="1">
      <c r="H127" s="36"/>
    </row>
    <row r="128" spans="8:8" hidden="1">
      <c r="H128" s="36"/>
    </row>
    <row r="129" spans="8:8" hidden="1">
      <c r="H129" s="36"/>
    </row>
    <row r="130" spans="8:8" hidden="1">
      <c r="H130" s="36"/>
    </row>
    <row r="131" spans="8:8" hidden="1">
      <c r="H131" s="36"/>
    </row>
    <row r="132" spans="8:8" hidden="1">
      <c r="H132" s="36"/>
    </row>
    <row r="133" spans="8:8" hidden="1">
      <c r="H133" s="36"/>
    </row>
    <row r="134" spans="8:8" hidden="1">
      <c r="H134" s="36"/>
    </row>
    <row r="135" spans="8:8" hidden="1">
      <c r="H135" s="36"/>
    </row>
    <row r="136" spans="8:8" hidden="1">
      <c r="H136" s="36"/>
    </row>
    <row r="137" spans="8:8" hidden="1">
      <c r="H137" s="36"/>
    </row>
    <row r="138" spans="8:8" hidden="1">
      <c r="H138" s="36"/>
    </row>
    <row r="139" spans="8:8" hidden="1">
      <c r="H139" s="36"/>
    </row>
    <row r="140" spans="8:8" hidden="1">
      <c r="H140" s="36"/>
    </row>
    <row r="141" spans="8:8" hidden="1">
      <c r="H141" s="36"/>
    </row>
    <row r="142" spans="8:8" hidden="1">
      <c r="H142" s="36"/>
    </row>
    <row r="143" spans="8:8" hidden="1">
      <c r="H143" s="36"/>
    </row>
    <row r="144" spans="8:8" hidden="1">
      <c r="H144" s="36"/>
    </row>
    <row r="145" spans="8:8" hidden="1">
      <c r="H145" s="36"/>
    </row>
    <row r="146" spans="8:8" hidden="1">
      <c r="H146" s="36"/>
    </row>
    <row r="147" spans="8:8" hidden="1">
      <c r="H147" s="36"/>
    </row>
    <row r="148" spans="8:8" hidden="1">
      <c r="H148" s="36"/>
    </row>
    <row r="149" spans="8:8" hidden="1">
      <c r="H149" s="36"/>
    </row>
    <row r="150" spans="8:8" hidden="1">
      <c r="H150" s="36"/>
    </row>
    <row r="151" spans="8:8" hidden="1">
      <c r="H151" s="36"/>
    </row>
    <row r="152" spans="8:8" hidden="1">
      <c r="H152" s="36"/>
    </row>
    <row r="153" spans="8:8" hidden="1">
      <c r="H153" s="36"/>
    </row>
    <row r="154" spans="8:8" hidden="1">
      <c r="H154" s="36"/>
    </row>
    <row r="155" spans="8:8" hidden="1">
      <c r="H155" s="36"/>
    </row>
    <row r="156" spans="8:8" hidden="1">
      <c r="H156" s="36"/>
    </row>
    <row r="157" spans="8:8" hidden="1">
      <c r="H157" s="36"/>
    </row>
    <row r="158" spans="8:8" hidden="1">
      <c r="H158" s="36"/>
    </row>
    <row r="159" spans="8:8" hidden="1">
      <c r="H159" s="36"/>
    </row>
    <row r="160" spans="8:8" hidden="1">
      <c r="H160" s="36"/>
    </row>
    <row r="161" spans="8:8" hidden="1">
      <c r="H161" s="36"/>
    </row>
    <row r="162" spans="8:8" hidden="1">
      <c r="H162" s="36"/>
    </row>
    <row r="163" spans="8:8" hidden="1">
      <c r="H163" s="36"/>
    </row>
    <row r="164" spans="8:8" hidden="1">
      <c r="H164" s="36"/>
    </row>
    <row r="165" spans="8:8" hidden="1">
      <c r="H165" s="36"/>
    </row>
    <row r="166" spans="8:8" hidden="1">
      <c r="H166" s="36"/>
    </row>
    <row r="167" spans="8:8" hidden="1">
      <c r="H167" s="36"/>
    </row>
    <row r="168" spans="8:8" hidden="1">
      <c r="H168" s="36"/>
    </row>
    <row r="169" spans="8:8" hidden="1">
      <c r="H169" s="36"/>
    </row>
    <row r="170" spans="8:8" hidden="1">
      <c r="H170" s="36"/>
    </row>
    <row r="171" spans="8:8" hidden="1">
      <c r="H171" s="36"/>
    </row>
    <row r="172" spans="8:8" hidden="1">
      <c r="H172" s="36"/>
    </row>
    <row r="173" spans="8:8" hidden="1">
      <c r="H173" s="36"/>
    </row>
    <row r="174" spans="8:8" hidden="1">
      <c r="H174" s="36"/>
    </row>
    <row r="175" spans="8:8" hidden="1">
      <c r="H175" s="36"/>
    </row>
    <row r="176" spans="8:8" hidden="1">
      <c r="H176" s="36"/>
    </row>
    <row r="177" spans="8:8" hidden="1">
      <c r="H177" s="36"/>
    </row>
    <row r="178" spans="8:8" hidden="1">
      <c r="H178" s="36"/>
    </row>
    <row r="179" spans="8:8" hidden="1">
      <c r="H179" s="36"/>
    </row>
    <row r="180" spans="8:8" hidden="1">
      <c r="H180" s="36"/>
    </row>
    <row r="181" spans="8:8" hidden="1">
      <c r="H181" s="36"/>
    </row>
    <row r="182" spans="8:8" hidden="1">
      <c r="H182" s="36"/>
    </row>
    <row r="183" spans="8:8" hidden="1">
      <c r="H183" s="36"/>
    </row>
    <row r="184" spans="8:8" hidden="1">
      <c r="H184" s="36"/>
    </row>
    <row r="185" spans="8:8" hidden="1">
      <c r="H185" s="36"/>
    </row>
    <row r="186" spans="8:8" hidden="1">
      <c r="H186" s="36"/>
    </row>
    <row r="187" spans="8:8" hidden="1">
      <c r="H187" s="36"/>
    </row>
    <row r="188" spans="8:8" hidden="1">
      <c r="H188" s="36"/>
    </row>
    <row r="189" spans="8:8" hidden="1">
      <c r="H189" s="36"/>
    </row>
    <row r="190" spans="8:8" hidden="1">
      <c r="H190" s="36"/>
    </row>
    <row r="191" spans="8:8" hidden="1">
      <c r="H191" s="36"/>
    </row>
    <row r="192" spans="8:8" hidden="1">
      <c r="H192" s="36"/>
    </row>
    <row r="193" spans="8:8" hidden="1">
      <c r="H193" s="36"/>
    </row>
    <row r="194" spans="8:8" hidden="1">
      <c r="H194" s="36"/>
    </row>
    <row r="195" spans="8:8" hidden="1">
      <c r="H195" s="36"/>
    </row>
    <row r="196" spans="8:8" hidden="1">
      <c r="H196" s="36"/>
    </row>
    <row r="197" spans="8:8" hidden="1">
      <c r="H197" s="36"/>
    </row>
    <row r="198" spans="8:8" hidden="1">
      <c r="H198" s="36"/>
    </row>
    <row r="199" spans="8:8" hidden="1">
      <c r="H199" s="36"/>
    </row>
    <row r="200" spans="8:8" hidden="1">
      <c r="H200" s="36"/>
    </row>
    <row r="201" spans="8:8" hidden="1">
      <c r="H201" s="36"/>
    </row>
    <row r="202" spans="8:8" hidden="1">
      <c r="H202" s="36"/>
    </row>
    <row r="203" spans="8:8" hidden="1">
      <c r="H203" s="36"/>
    </row>
    <row r="204" spans="8:8" hidden="1">
      <c r="H204" s="36"/>
    </row>
    <row r="205" spans="8:8" hidden="1">
      <c r="H205" s="36"/>
    </row>
    <row r="206" spans="8:8" hidden="1">
      <c r="H206" s="36"/>
    </row>
    <row r="207" spans="8:8" hidden="1">
      <c r="H207" s="36"/>
    </row>
    <row r="208" spans="8:8" hidden="1">
      <c r="H208" s="36"/>
    </row>
    <row r="209" spans="8:8" hidden="1">
      <c r="H209" s="36"/>
    </row>
    <row r="210" spans="8:8" hidden="1">
      <c r="H210" s="36"/>
    </row>
    <row r="211" spans="8:8" hidden="1">
      <c r="H211" s="36"/>
    </row>
    <row r="212" spans="8:8" hidden="1">
      <c r="H212" s="36"/>
    </row>
    <row r="213" spans="8:8" hidden="1">
      <c r="H213" s="36"/>
    </row>
    <row r="214" spans="8:8" hidden="1">
      <c r="H214" s="36"/>
    </row>
    <row r="215" spans="8:8" hidden="1">
      <c r="H215" s="36"/>
    </row>
    <row r="216" spans="8:8" hidden="1">
      <c r="H216" s="36"/>
    </row>
    <row r="217" spans="8:8" hidden="1">
      <c r="H217" s="36"/>
    </row>
    <row r="218" spans="8:8" hidden="1">
      <c r="H218" s="36"/>
    </row>
    <row r="219" spans="8:8" hidden="1">
      <c r="H219" s="36"/>
    </row>
    <row r="220" spans="8:8" hidden="1">
      <c r="H220" s="36"/>
    </row>
    <row r="221" spans="8:8" hidden="1">
      <c r="H221" s="36"/>
    </row>
    <row r="222" spans="8:8" hidden="1">
      <c r="H222" s="36"/>
    </row>
    <row r="223" spans="8:8" hidden="1">
      <c r="H223" s="36"/>
    </row>
    <row r="224" spans="8:8" hidden="1">
      <c r="H224" s="36"/>
    </row>
    <row r="225" spans="8:8" hidden="1">
      <c r="H225" s="36"/>
    </row>
    <row r="226" spans="8:8" hidden="1">
      <c r="H226" s="36"/>
    </row>
    <row r="227" spans="8:8" hidden="1">
      <c r="H227" s="36"/>
    </row>
    <row r="228" spans="8:8" hidden="1">
      <c r="H228" s="36"/>
    </row>
    <row r="229" spans="8:8" hidden="1">
      <c r="H229" s="36"/>
    </row>
    <row r="230" spans="8:8" hidden="1">
      <c r="H230" s="36"/>
    </row>
    <row r="231" spans="8:8" hidden="1">
      <c r="H231" s="36"/>
    </row>
    <row r="232" spans="8:8" hidden="1">
      <c r="H232" s="36"/>
    </row>
    <row r="233" spans="8:8" hidden="1">
      <c r="H233" s="36"/>
    </row>
    <row r="234" spans="8:8" hidden="1">
      <c r="H234" s="36"/>
    </row>
    <row r="235" spans="8:8" hidden="1">
      <c r="H235" s="36"/>
    </row>
    <row r="236" spans="8:8" hidden="1">
      <c r="H236" s="36"/>
    </row>
    <row r="237" spans="8:8" hidden="1">
      <c r="H237" s="36"/>
    </row>
    <row r="238" spans="8:8" hidden="1">
      <c r="H238" s="36"/>
    </row>
    <row r="239" spans="8:8" hidden="1">
      <c r="H239" s="36"/>
    </row>
    <row r="240" spans="8:8" hidden="1">
      <c r="H240" s="36"/>
    </row>
    <row r="241" spans="8:8" hidden="1">
      <c r="H241" s="36"/>
    </row>
    <row r="242" spans="8:8" hidden="1">
      <c r="H242" s="36"/>
    </row>
    <row r="243" spans="8:8" hidden="1">
      <c r="H243" s="36"/>
    </row>
    <row r="244" spans="8:8" hidden="1">
      <c r="H244" s="36"/>
    </row>
    <row r="245" spans="8:8" hidden="1">
      <c r="H245" s="36"/>
    </row>
    <row r="246" spans="8:8" hidden="1">
      <c r="H246" s="36"/>
    </row>
    <row r="247" spans="8:8" hidden="1">
      <c r="H247" s="36"/>
    </row>
    <row r="248" spans="8:8" hidden="1">
      <c r="H248" s="36"/>
    </row>
    <row r="249" spans="8:8" hidden="1">
      <c r="H249" s="36"/>
    </row>
    <row r="250" spans="8:8" hidden="1">
      <c r="H250" s="36"/>
    </row>
    <row r="251" spans="8:8" hidden="1">
      <c r="H251" s="36"/>
    </row>
    <row r="252" spans="8:8" hidden="1">
      <c r="H252" s="36"/>
    </row>
    <row r="253" spans="8:8" hidden="1">
      <c r="H253" s="36"/>
    </row>
    <row r="254" spans="8:8" hidden="1">
      <c r="H254" s="36"/>
    </row>
    <row r="255" spans="8:8" hidden="1">
      <c r="H255" s="36"/>
    </row>
    <row r="256" spans="8:8" hidden="1">
      <c r="H256" s="36"/>
    </row>
    <row r="257" spans="8:8" hidden="1">
      <c r="H257" s="36"/>
    </row>
    <row r="258" spans="8:8" hidden="1">
      <c r="H258" s="36"/>
    </row>
    <row r="259" spans="8:8" hidden="1">
      <c r="H259" s="36"/>
    </row>
    <row r="260" spans="8:8" hidden="1">
      <c r="H260" s="36"/>
    </row>
    <row r="261" spans="8:8" hidden="1">
      <c r="H261" s="36"/>
    </row>
    <row r="262" spans="8:8" hidden="1">
      <c r="H262" s="36"/>
    </row>
    <row r="263" spans="8:8" hidden="1">
      <c r="H263" s="36"/>
    </row>
    <row r="264" spans="8:8" hidden="1">
      <c r="H264" s="36"/>
    </row>
    <row r="265" spans="8:8" hidden="1">
      <c r="H265" s="36"/>
    </row>
    <row r="266" spans="8:8" hidden="1">
      <c r="H266" s="36"/>
    </row>
    <row r="267" spans="8:8" hidden="1">
      <c r="H267" s="36"/>
    </row>
    <row r="268" spans="8:8" hidden="1">
      <c r="H268" s="36"/>
    </row>
    <row r="269" spans="8:8" hidden="1">
      <c r="H269" s="36"/>
    </row>
    <row r="270" spans="8:8" hidden="1">
      <c r="H270" s="36"/>
    </row>
    <row r="271" spans="8:8" hidden="1">
      <c r="H271" s="36"/>
    </row>
    <row r="272" spans="8:8" hidden="1">
      <c r="H272" s="36"/>
    </row>
    <row r="273" spans="8:8" hidden="1">
      <c r="H273" s="36"/>
    </row>
    <row r="274" spans="8:8" hidden="1">
      <c r="H274" s="36"/>
    </row>
    <row r="275" spans="8:8" hidden="1">
      <c r="H275" s="36"/>
    </row>
    <row r="276" spans="8:8" hidden="1">
      <c r="H276" s="36"/>
    </row>
    <row r="277" spans="8:8" hidden="1">
      <c r="H277" s="36"/>
    </row>
    <row r="278" spans="8:8" hidden="1">
      <c r="H278" s="36"/>
    </row>
    <row r="279" spans="8:8" hidden="1">
      <c r="H279" s="36"/>
    </row>
    <row r="280" spans="8:8" hidden="1">
      <c r="H280" s="36"/>
    </row>
    <row r="281" spans="8:8" hidden="1">
      <c r="H281" s="36"/>
    </row>
    <row r="282" spans="8:8" hidden="1">
      <c r="H282" s="36"/>
    </row>
    <row r="283" spans="8:8" hidden="1">
      <c r="H283" s="36"/>
    </row>
    <row r="284" spans="8:8" hidden="1">
      <c r="H284" s="36"/>
    </row>
    <row r="285" spans="8:8" hidden="1">
      <c r="H285" s="36"/>
    </row>
    <row r="286" spans="8:8" hidden="1">
      <c r="H286" s="36"/>
    </row>
    <row r="287" spans="8:8" hidden="1">
      <c r="H287" s="36"/>
    </row>
    <row r="288" spans="8:8" hidden="1">
      <c r="H288" s="36"/>
    </row>
    <row r="289" spans="8:8" hidden="1">
      <c r="H289" s="36"/>
    </row>
    <row r="290" spans="8:8" hidden="1">
      <c r="H290" s="36"/>
    </row>
    <row r="291" spans="8:8" hidden="1">
      <c r="H291" s="36"/>
    </row>
    <row r="292" spans="8:8" hidden="1">
      <c r="H292" s="36"/>
    </row>
    <row r="293" spans="8:8" hidden="1">
      <c r="H293" s="36"/>
    </row>
    <row r="294" spans="8:8" hidden="1">
      <c r="H294" s="36"/>
    </row>
    <row r="295" spans="8:8" hidden="1">
      <c r="H295" s="36"/>
    </row>
    <row r="296" spans="8:8" hidden="1">
      <c r="H296" s="36"/>
    </row>
    <row r="297" spans="8:8" hidden="1">
      <c r="H297" s="36"/>
    </row>
    <row r="298" spans="8:8" hidden="1">
      <c r="H298" s="36"/>
    </row>
    <row r="299" spans="8:8" hidden="1">
      <c r="H299" s="36"/>
    </row>
    <row r="300" spans="8:8" hidden="1">
      <c r="H300" s="36"/>
    </row>
    <row r="301" spans="8:8" hidden="1">
      <c r="H301" s="36"/>
    </row>
    <row r="302" spans="8:8" hidden="1">
      <c r="H302" s="36"/>
    </row>
    <row r="303" spans="8:8" hidden="1">
      <c r="H303" s="36"/>
    </row>
    <row r="304" spans="8:8" hidden="1">
      <c r="H304" s="36"/>
    </row>
    <row r="305" spans="8:8" hidden="1">
      <c r="H305" s="36"/>
    </row>
    <row r="306" spans="8:8" hidden="1">
      <c r="H306" s="36"/>
    </row>
    <row r="307" spans="8:8" hidden="1">
      <c r="H307" s="36"/>
    </row>
    <row r="308" spans="8:8" hidden="1">
      <c r="H308" s="36"/>
    </row>
    <row r="309" spans="8:8" hidden="1">
      <c r="H309" s="36"/>
    </row>
    <row r="310" spans="8:8" hidden="1">
      <c r="H310" s="36"/>
    </row>
    <row r="311" spans="8:8" hidden="1">
      <c r="H311" s="36"/>
    </row>
    <row r="312" spans="8:8" hidden="1">
      <c r="H312" s="36"/>
    </row>
    <row r="313" spans="8:8" hidden="1">
      <c r="H313" s="36"/>
    </row>
    <row r="314" spans="8:8" hidden="1">
      <c r="H314" s="36"/>
    </row>
    <row r="315" spans="8:8" hidden="1">
      <c r="H315" s="36"/>
    </row>
    <row r="316" spans="8:8" hidden="1">
      <c r="H316" s="36"/>
    </row>
    <row r="317" spans="8:8" hidden="1">
      <c r="H317" s="36"/>
    </row>
    <row r="318" spans="8:8" hidden="1">
      <c r="H318" s="36"/>
    </row>
    <row r="319" spans="8:8" hidden="1">
      <c r="H319" s="36"/>
    </row>
    <row r="320" spans="8:8" hidden="1">
      <c r="H320" s="36"/>
    </row>
    <row r="321" spans="8:8" hidden="1">
      <c r="H321" s="36"/>
    </row>
    <row r="322" spans="8:8" hidden="1">
      <c r="H322" s="36"/>
    </row>
    <row r="323" spans="8:8" hidden="1">
      <c r="H323" s="36"/>
    </row>
    <row r="324" spans="8:8" hidden="1">
      <c r="H324" s="36"/>
    </row>
    <row r="325" spans="8:8" hidden="1">
      <c r="H325" s="36"/>
    </row>
    <row r="326" spans="8:8" hidden="1">
      <c r="H326" s="36"/>
    </row>
    <row r="327" spans="8:8" hidden="1">
      <c r="H327" s="36"/>
    </row>
    <row r="328" spans="8:8" hidden="1">
      <c r="H328" s="36"/>
    </row>
    <row r="329" spans="8:8" hidden="1">
      <c r="H329" s="36"/>
    </row>
    <row r="330" spans="8:8" hidden="1">
      <c r="H330" s="36"/>
    </row>
    <row r="331" spans="8:8" hidden="1">
      <c r="H331" s="36"/>
    </row>
    <row r="332" spans="8:8" hidden="1">
      <c r="H332" s="36"/>
    </row>
    <row r="333" spans="8:8" hidden="1">
      <c r="H333" s="36"/>
    </row>
    <row r="334" spans="8:8" hidden="1">
      <c r="H334" s="36"/>
    </row>
    <row r="335" spans="8:8" hidden="1">
      <c r="H335" s="36"/>
    </row>
    <row r="336" spans="8:8" hidden="1">
      <c r="H336" s="36"/>
    </row>
    <row r="337" spans="8:8" hidden="1">
      <c r="H337" s="36"/>
    </row>
    <row r="338" spans="8:8" hidden="1">
      <c r="H338" s="36"/>
    </row>
    <row r="339" spans="8:8" hidden="1">
      <c r="H339" s="36"/>
    </row>
    <row r="340" spans="8:8" hidden="1">
      <c r="H340" s="36"/>
    </row>
    <row r="341" spans="8:8" hidden="1">
      <c r="H341" s="36"/>
    </row>
    <row r="342" spans="8:8" hidden="1">
      <c r="H342" s="36"/>
    </row>
    <row r="343" spans="8:8" hidden="1">
      <c r="H343" s="36"/>
    </row>
    <row r="344" spans="8:8" hidden="1">
      <c r="H344" s="36"/>
    </row>
    <row r="345" spans="8:8" hidden="1">
      <c r="H345" s="36"/>
    </row>
    <row r="346" spans="8:8" hidden="1">
      <c r="H346" s="36"/>
    </row>
    <row r="347" spans="8:8" hidden="1">
      <c r="H347" s="36"/>
    </row>
    <row r="348" spans="8:8" hidden="1">
      <c r="H348" s="36"/>
    </row>
    <row r="349" spans="8:8" hidden="1">
      <c r="H349" s="36"/>
    </row>
    <row r="350" spans="8:8" hidden="1">
      <c r="H350" s="36"/>
    </row>
    <row r="351" spans="8:8" hidden="1">
      <c r="H351" s="36"/>
    </row>
    <row r="352" spans="8:8" hidden="1">
      <c r="H352" s="36"/>
    </row>
    <row r="353" spans="8:8" hidden="1">
      <c r="H353" s="36"/>
    </row>
    <row r="354" spans="8:8" hidden="1">
      <c r="H354" s="36"/>
    </row>
    <row r="355" spans="8:8" hidden="1">
      <c r="H355" s="36"/>
    </row>
    <row r="356" spans="8:8" hidden="1">
      <c r="H356" s="36"/>
    </row>
    <row r="357" spans="8:8" hidden="1">
      <c r="H357" s="36"/>
    </row>
    <row r="358" spans="8:8" hidden="1">
      <c r="H358" s="36"/>
    </row>
    <row r="359" spans="8:8" hidden="1">
      <c r="H359" s="36"/>
    </row>
    <row r="360" spans="8:8" hidden="1">
      <c r="H360" s="36"/>
    </row>
    <row r="361" spans="8:8" hidden="1">
      <c r="H361" s="36"/>
    </row>
    <row r="362" spans="8:8" hidden="1">
      <c r="H362" s="36"/>
    </row>
    <row r="363" spans="8:8" hidden="1">
      <c r="H363" s="36"/>
    </row>
    <row r="364" spans="8:8" hidden="1">
      <c r="H364" s="36"/>
    </row>
    <row r="365" spans="8:8" hidden="1">
      <c r="H365" s="36"/>
    </row>
    <row r="366" spans="8:8" hidden="1">
      <c r="H366" s="36"/>
    </row>
    <row r="367" spans="8:8" hidden="1">
      <c r="H367" s="36"/>
    </row>
    <row r="368" spans="8:8" hidden="1">
      <c r="H368" s="36"/>
    </row>
    <row r="369" spans="8:8" hidden="1">
      <c r="H369" s="36"/>
    </row>
    <row r="370" spans="8:8" hidden="1">
      <c r="H370" s="36"/>
    </row>
    <row r="371" spans="8:8" hidden="1">
      <c r="H371" s="36"/>
    </row>
    <row r="372" spans="8:8" hidden="1">
      <c r="H372" s="36"/>
    </row>
    <row r="373" spans="8:8" hidden="1">
      <c r="H373" s="36"/>
    </row>
    <row r="374" spans="8:8" hidden="1">
      <c r="H374" s="36"/>
    </row>
    <row r="375" spans="8:8" hidden="1">
      <c r="H375" s="36"/>
    </row>
    <row r="376" spans="8:8" hidden="1">
      <c r="H376" s="36"/>
    </row>
    <row r="377" spans="8:8" hidden="1">
      <c r="H377" s="36"/>
    </row>
    <row r="378" spans="8:8" hidden="1">
      <c r="H378" s="36"/>
    </row>
    <row r="379" spans="8:8" hidden="1">
      <c r="H379" s="36"/>
    </row>
    <row r="380" spans="8:8" hidden="1">
      <c r="H380" s="36"/>
    </row>
    <row r="381" spans="8:8" hidden="1">
      <c r="H381" s="36"/>
    </row>
    <row r="382" spans="8:8" hidden="1">
      <c r="H382" s="36"/>
    </row>
    <row r="383" spans="8:8" hidden="1">
      <c r="H383" s="36"/>
    </row>
    <row r="384" spans="8:8" hidden="1">
      <c r="H384" s="36"/>
    </row>
    <row r="385" spans="8:8" hidden="1">
      <c r="H385" s="36"/>
    </row>
    <row r="386" spans="8:8" hidden="1">
      <c r="H386" s="36"/>
    </row>
    <row r="387" spans="8:8" hidden="1">
      <c r="H387" s="36"/>
    </row>
    <row r="388" spans="8:8" hidden="1">
      <c r="H388" s="36"/>
    </row>
    <row r="389" spans="8:8" hidden="1">
      <c r="H389" s="36"/>
    </row>
    <row r="390" spans="8:8" hidden="1">
      <c r="H390" s="36"/>
    </row>
    <row r="391" spans="8:8" hidden="1">
      <c r="H391" s="36"/>
    </row>
    <row r="392" spans="8:8" hidden="1">
      <c r="H392" s="36"/>
    </row>
    <row r="393" spans="8:8" hidden="1">
      <c r="H393" s="36"/>
    </row>
    <row r="394" spans="8:8" hidden="1">
      <c r="H394" s="36"/>
    </row>
    <row r="395" spans="8:8" hidden="1">
      <c r="H395" s="36"/>
    </row>
    <row r="396" spans="8:8" hidden="1">
      <c r="H396" s="36"/>
    </row>
    <row r="397" spans="8:8" hidden="1">
      <c r="H397" s="36"/>
    </row>
    <row r="398" spans="8:8" hidden="1">
      <c r="H398" s="36"/>
    </row>
    <row r="399" spans="8:8" hidden="1">
      <c r="H399" s="36"/>
    </row>
    <row r="400" spans="8:8" hidden="1">
      <c r="H400" s="36"/>
    </row>
    <row r="401" spans="8:8" hidden="1">
      <c r="H401" s="36"/>
    </row>
    <row r="402" spans="8:8" hidden="1">
      <c r="H402" s="36"/>
    </row>
    <row r="403" spans="8:8" hidden="1">
      <c r="H403" s="36"/>
    </row>
    <row r="404" spans="8:8" hidden="1">
      <c r="H404" s="36"/>
    </row>
    <row r="405" spans="8:8" hidden="1">
      <c r="H405" s="36"/>
    </row>
    <row r="406" spans="8:8" hidden="1">
      <c r="H406" s="36"/>
    </row>
    <row r="407" spans="8:8" hidden="1">
      <c r="H407" s="36"/>
    </row>
    <row r="408" spans="8:8" hidden="1">
      <c r="H408" s="36"/>
    </row>
    <row r="409" spans="8:8" hidden="1">
      <c r="H409" s="36"/>
    </row>
    <row r="410" spans="8:8" hidden="1">
      <c r="H410" s="36"/>
    </row>
    <row r="411" spans="8:8" hidden="1">
      <c r="H411" s="36"/>
    </row>
    <row r="412" spans="8:8" hidden="1">
      <c r="H412" s="36"/>
    </row>
    <row r="413" spans="8:8" hidden="1">
      <c r="H413" s="36"/>
    </row>
    <row r="414" spans="8:8" hidden="1">
      <c r="H414" s="36"/>
    </row>
    <row r="415" spans="8:8" hidden="1">
      <c r="H415" s="36"/>
    </row>
    <row r="416" spans="8:8" hidden="1">
      <c r="H416" s="36"/>
    </row>
    <row r="417" spans="8:8" hidden="1">
      <c r="H417" s="36"/>
    </row>
    <row r="418" spans="8:8" hidden="1">
      <c r="H418" s="36"/>
    </row>
    <row r="419" spans="8:8" hidden="1">
      <c r="H419" s="36"/>
    </row>
    <row r="420" spans="8:8" hidden="1">
      <c r="H420" s="36"/>
    </row>
    <row r="421" spans="8:8" hidden="1">
      <c r="H421" s="36"/>
    </row>
    <row r="422" spans="8:8" hidden="1">
      <c r="H422" s="36"/>
    </row>
    <row r="423" spans="8:8" hidden="1">
      <c r="H423" s="36"/>
    </row>
    <row r="424" spans="8:8" hidden="1">
      <c r="H424" s="36"/>
    </row>
    <row r="425" spans="8:8" hidden="1">
      <c r="H425" s="36"/>
    </row>
    <row r="426" spans="8:8" hidden="1">
      <c r="H426" s="36"/>
    </row>
    <row r="427" spans="8:8" hidden="1">
      <c r="H427" s="36"/>
    </row>
    <row r="428" spans="8:8" hidden="1">
      <c r="H428" s="36"/>
    </row>
    <row r="429" spans="8:8" hidden="1">
      <c r="H429" s="36"/>
    </row>
    <row r="430" spans="8:8" hidden="1">
      <c r="H430" s="36"/>
    </row>
    <row r="431" spans="8:8" hidden="1">
      <c r="H431" s="36"/>
    </row>
    <row r="432" spans="8:8" hidden="1">
      <c r="H432" s="36"/>
    </row>
    <row r="433" spans="8:8" hidden="1">
      <c r="H433" s="36"/>
    </row>
    <row r="434" spans="8:8" hidden="1">
      <c r="H434" s="36"/>
    </row>
    <row r="435" spans="8:8" hidden="1">
      <c r="H435" s="36"/>
    </row>
    <row r="436" spans="8:8" hidden="1">
      <c r="H436" s="36"/>
    </row>
    <row r="437" spans="8:8" hidden="1">
      <c r="H437" s="36"/>
    </row>
    <row r="438" spans="8:8" hidden="1">
      <c r="H438" s="36"/>
    </row>
    <row r="439" spans="8:8" hidden="1">
      <c r="H439" s="36"/>
    </row>
    <row r="440" spans="8:8" hidden="1">
      <c r="H440" s="36"/>
    </row>
    <row r="441" spans="8:8" hidden="1">
      <c r="H441" s="36"/>
    </row>
    <row r="442" spans="8:8" hidden="1">
      <c r="H442" s="36"/>
    </row>
    <row r="443" spans="8:8" hidden="1">
      <c r="H443" s="36"/>
    </row>
    <row r="444" spans="8:8" hidden="1">
      <c r="H444" s="36"/>
    </row>
    <row r="445" spans="8:8" hidden="1">
      <c r="H445" s="36"/>
    </row>
    <row r="446" spans="8:8" hidden="1">
      <c r="H446" s="36"/>
    </row>
    <row r="447" spans="8:8" hidden="1">
      <c r="H447" s="36"/>
    </row>
    <row r="448" spans="8:8" hidden="1">
      <c r="H448" s="36"/>
    </row>
    <row r="449" spans="8:8" hidden="1">
      <c r="H449" s="36"/>
    </row>
    <row r="450" spans="8:8" hidden="1">
      <c r="H450" s="36"/>
    </row>
    <row r="451" spans="8:8" hidden="1">
      <c r="H451" s="36"/>
    </row>
    <row r="452" spans="8:8" hidden="1">
      <c r="H452" s="36"/>
    </row>
    <row r="453" spans="8:8" hidden="1">
      <c r="H453" s="36"/>
    </row>
    <row r="454" spans="8:8" hidden="1">
      <c r="H454" s="36"/>
    </row>
    <row r="455" spans="8:8" hidden="1">
      <c r="H455" s="36"/>
    </row>
    <row r="456" spans="8:8" hidden="1">
      <c r="H456" s="36"/>
    </row>
    <row r="457" spans="8:8" hidden="1">
      <c r="H457" s="36"/>
    </row>
    <row r="458" spans="8:8" hidden="1">
      <c r="H458" s="36"/>
    </row>
    <row r="459" spans="8:8" hidden="1">
      <c r="H459" s="36"/>
    </row>
    <row r="460" spans="8:8" hidden="1">
      <c r="H460" s="36"/>
    </row>
    <row r="461" spans="8:8" hidden="1">
      <c r="H461" s="36"/>
    </row>
    <row r="462" spans="8:8" hidden="1">
      <c r="H462" s="36"/>
    </row>
    <row r="463" spans="8:8" hidden="1">
      <c r="H463" s="36"/>
    </row>
    <row r="464" spans="8:8" hidden="1">
      <c r="H464" s="36"/>
    </row>
    <row r="465" spans="8:8" hidden="1">
      <c r="H465" s="36"/>
    </row>
    <row r="466" spans="8:8" hidden="1">
      <c r="H466" s="36"/>
    </row>
    <row r="467" spans="8:8" hidden="1">
      <c r="H467" s="36"/>
    </row>
    <row r="468" spans="8:8" hidden="1">
      <c r="H468" s="36"/>
    </row>
    <row r="469" spans="8:8" hidden="1">
      <c r="H469" s="36"/>
    </row>
    <row r="470" spans="8:8" hidden="1">
      <c r="H470" s="36"/>
    </row>
    <row r="471" spans="8:8" hidden="1">
      <c r="H471" s="36"/>
    </row>
    <row r="472" spans="8:8" hidden="1">
      <c r="H472" s="36"/>
    </row>
    <row r="473" spans="8:8" hidden="1">
      <c r="H473" s="36"/>
    </row>
    <row r="474" spans="8:8" hidden="1">
      <c r="H474" s="36"/>
    </row>
    <row r="475" spans="8:8" hidden="1">
      <c r="H475" s="36"/>
    </row>
    <row r="476" spans="8:8" hidden="1">
      <c r="H476" s="36"/>
    </row>
    <row r="477" spans="8:8" hidden="1">
      <c r="H477" s="36"/>
    </row>
    <row r="478" spans="8:8" hidden="1">
      <c r="H478" s="36"/>
    </row>
    <row r="479" spans="8:8" hidden="1">
      <c r="H479" s="36"/>
    </row>
    <row r="480" spans="8:8" hidden="1">
      <c r="H480" s="36"/>
    </row>
    <row r="481" spans="8:8" hidden="1">
      <c r="H481" s="36"/>
    </row>
    <row r="482" spans="8:8" hidden="1">
      <c r="H482" s="36"/>
    </row>
    <row r="483" spans="8:8" hidden="1">
      <c r="H483" s="36"/>
    </row>
    <row r="484" spans="8:8" hidden="1">
      <c r="H484" s="36"/>
    </row>
    <row r="485" spans="8:8" hidden="1">
      <c r="H485" s="36"/>
    </row>
    <row r="486" spans="8:8" hidden="1">
      <c r="H486" s="36"/>
    </row>
    <row r="487" spans="8:8" hidden="1">
      <c r="H487" s="36"/>
    </row>
    <row r="488" spans="8:8" hidden="1">
      <c r="H488" s="36"/>
    </row>
    <row r="489" spans="8:8" hidden="1">
      <c r="H489" s="36"/>
    </row>
    <row r="490" spans="8:8" hidden="1">
      <c r="H490" s="36"/>
    </row>
    <row r="491" spans="8:8" hidden="1">
      <c r="H491" s="36"/>
    </row>
    <row r="492" spans="8:8" hidden="1">
      <c r="H492" s="36"/>
    </row>
    <row r="493" spans="8:8" hidden="1">
      <c r="H493" s="36"/>
    </row>
    <row r="494" spans="8:8" hidden="1">
      <c r="H494" s="36"/>
    </row>
    <row r="495" spans="8:8" hidden="1">
      <c r="H495" s="36"/>
    </row>
    <row r="496" spans="8:8" hidden="1">
      <c r="H496" s="36"/>
    </row>
    <row r="497" spans="8:8" hidden="1">
      <c r="H497" s="36"/>
    </row>
    <row r="498" spans="8:8" hidden="1">
      <c r="H498" s="36"/>
    </row>
    <row r="499" spans="8:8" hidden="1">
      <c r="H499" s="36"/>
    </row>
    <row r="500" spans="8:8" hidden="1">
      <c r="H500" s="36"/>
    </row>
    <row r="501" spans="8:8" hidden="1">
      <c r="H501" s="36"/>
    </row>
    <row r="502" spans="8:8" hidden="1">
      <c r="H502" s="36"/>
    </row>
    <row r="503" spans="8:8" hidden="1">
      <c r="H503" s="36"/>
    </row>
    <row r="504" spans="8:8" hidden="1">
      <c r="H504" s="36"/>
    </row>
    <row r="505" spans="8:8" hidden="1">
      <c r="H505" s="36"/>
    </row>
    <row r="506" spans="8:8" hidden="1">
      <c r="H506" s="36"/>
    </row>
    <row r="507" spans="8:8" hidden="1">
      <c r="H507" s="36"/>
    </row>
    <row r="508" spans="8:8" hidden="1">
      <c r="H508" s="36"/>
    </row>
    <row r="509" spans="8:8" hidden="1">
      <c r="H509" s="36"/>
    </row>
    <row r="510" spans="8:8" hidden="1">
      <c r="H510" s="36"/>
    </row>
    <row r="511" spans="8:8" hidden="1">
      <c r="H511" s="36"/>
    </row>
    <row r="512" spans="8:8" hidden="1">
      <c r="H512" s="36"/>
    </row>
    <row r="513" spans="8:8" hidden="1">
      <c r="H513" s="36"/>
    </row>
    <row r="514" spans="8:8" hidden="1">
      <c r="H514" s="36"/>
    </row>
    <row r="515" spans="8:8" hidden="1">
      <c r="H515" s="36"/>
    </row>
    <row r="516" spans="8:8" hidden="1">
      <c r="H516" s="36"/>
    </row>
    <row r="517" spans="8:8" hidden="1">
      <c r="H517" s="36"/>
    </row>
    <row r="518" spans="8:8" hidden="1">
      <c r="H518" s="36"/>
    </row>
    <row r="519" spans="8:8" hidden="1">
      <c r="H519" s="36"/>
    </row>
    <row r="520" spans="8:8" hidden="1">
      <c r="H520" s="36"/>
    </row>
    <row r="521" spans="8:8" hidden="1">
      <c r="H521" s="36"/>
    </row>
    <row r="522" spans="8:8" hidden="1">
      <c r="H522" s="36"/>
    </row>
    <row r="523" spans="8:8" hidden="1">
      <c r="H523" s="36"/>
    </row>
    <row r="524" spans="8:8" hidden="1">
      <c r="H524" s="36"/>
    </row>
  </sheetData>
  <autoFilter ref="A1:Q524" xr:uid="{237EC8DC-A1DF-4E5A-93B0-AFF81B923130}">
    <filterColumn colId="10">
      <filters>
        <filter val="115年_派工單號001"/>
        <filter val="115年_派工單號002"/>
        <filter val="115年_派工單號003"/>
      </filters>
    </filterColumn>
  </autoFilter>
  <phoneticPr fontId="2" type="noConversion"/>
  <conditionalFormatting sqref="B1:C1">
    <cfRule type="beginsWith" dxfId="10" priority="4" operator="beginsWith" text="測繪中心">
      <formula>LEFT(B1,LEN("測繪中心"))="測繪中心"</formula>
    </cfRule>
    <cfRule type="beginsWith" dxfId="9" priority="7" operator="beginsWith" text="宜蘭大學">
      <formula>LEFT(B1,LEN("宜蘭大學"))="宜蘭大學"</formula>
    </cfRule>
    <cfRule type="beginsWith" dxfId="8" priority="8" operator="beginsWith" text="航測學會">
      <formula>LEFT(B1,LEN("航測學會"))="航測學會"</formula>
    </cfRule>
    <cfRule type="beginsWith" dxfId="7" priority="9" operator="beginsWith" text="世曦">
      <formula>LEFT(B1,LEN("世曦"))="世曦"</formula>
    </cfRule>
    <cfRule type="beginsWith" dxfId="6" priority="10" operator="beginsWith" text="詮華">
      <formula>LEFT(B1,LEN("詮華"))="詮華"</formula>
    </cfRule>
  </conditionalFormatting>
  <conditionalFormatting sqref="E1:F1">
    <cfRule type="duplicateValues" dxfId="5" priority="6"/>
  </conditionalFormatting>
  <conditionalFormatting sqref="N1:O1">
    <cfRule type="containsText" dxfId="4" priority="1" operator="containsText" text="查無此">
      <formula>NOT(ISERROR(SEARCH("查無此",N1)))</formula>
    </cfRule>
  </conditionalFormatting>
  <hyperlinks>
    <hyperlink ref="P11" r:id="rId1" xr:uid="{CBE00016-6C24-4D8B-BF19-4A527EE44F35}"/>
    <hyperlink ref="P2" r:id="rId2" xr:uid="{C08C0595-CF07-456E-BD64-4FD43AACEFF5}"/>
    <hyperlink ref="P15" r:id="rId3" xr:uid="{4BA144C8-920E-4B07-BEC3-3C304C2EE6C1}"/>
  </hyperlinks>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E14144CE-2314-4057-9EF2-DA08CD042266}">
          <x14:formula1>
            <xm:f>欄位檢核!$A:$A</xm:f>
          </x14:formula1>
          <xm:sqref>I1:I530</xm:sqref>
        </x14:dataValidation>
        <x14:dataValidation type="list" allowBlank="1" showInputMessage="1" showErrorMessage="1" xr:uid="{726E1C03-2A26-428D-85B9-4EBF95959E7C}">
          <x14:formula1>
            <xm:f>'1.轄管工程清單'!$E$737:$E$1099</xm:f>
          </x14:formula1>
          <xm:sqref>H1:H1048576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Q44"/>
  <sheetViews>
    <sheetView zoomScaleNormal="100" workbookViewId="0">
      <selection activeCell="I4" sqref="I4"/>
    </sheetView>
  </sheetViews>
  <sheetFormatPr defaultRowHeight="15"/>
  <cols>
    <col min="1" max="1" width="6.25" style="10" customWidth="1"/>
    <col min="2" max="2" width="20.375" style="9" customWidth="1"/>
    <col min="3" max="3" width="25.75" style="10" bestFit="1" customWidth="1"/>
    <col min="4" max="4" width="25.75" style="9" customWidth="1"/>
    <col min="5" max="5" width="23.25" style="10" customWidth="1"/>
    <col min="6" max="6" width="33.375" style="9" customWidth="1"/>
    <col min="7" max="7" width="25.75" style="10" customWidth="1"/>
    <col min="8" max="8" width="16.625" style="10" customWidth="1"/>
    <col min="9" max="9" width="19.875" style="10" customWidth="1"/>
    <col min="10" max="10" width="32.75" style="10" customWidth="1"/>
    <col min="11" max="11" width="23.625" style="10" customWidth="1"/>
    <col min="12" max="12" width="22.125" style="10" customWidth="1"/>
    <col min="13" max="13" width="39.375" style="10" customWidth="1"/>
    <col min="14" max="14" width="40" style="9" customWidth="1"/>
    <col min="15" max="15" width="34.5" style="9" customWidth="1"/>
    <col min="16" max="16" width="31.125" style="9" customWidth="1"/>
    <col min="17" max="17" width="16.75" style="9" customWidth="1"/>
    <col min="18" max="16384" width="9" style="9"/>
  </cols>
  <sheetData>
    <row r="1" spans="1:17" s="10" customFormat="1" ht="16.5" customHeight="1">
      <c r="A1" s="384" t="s">
        <v>3007</v>
      </c>
      <c r="B1" s="384" t="s">
        <v>0</v>
      </c>
      <c r="C1" s="385" t="s">
        <v>2994</v>
      </c>
      <c r="D1" s="384" t="s">
        <v>3121</v>
      </c>
      <c r="E1" s="384" t="s">
        <v>2999</v>
      </c>
      <c r="F1" s="384" t="s">
        <v>3120</v>
      </c>
      <c r="G1" s="384" t="s">
        <v>3009</v>
      </c>
      <c r="H1" s="382" t="s">
        <v>2995</v>
      </c>
      <c r="I1" s="385" t="s">
        <v>2970</v>
      </c>
      <c r="J1" s="382" t="s">
        <v>3001</v>
      </c>
      <c r="K1" s="385" t="s">
        <v>3015</v>
      </c>
      <c r="L1" s="382" t="s">
        <v>3117</v>
      </c>
      <c r="M1" s="380" t="s">
        <v>3192</v>
      </c>
      <c r="N1" s="382" t="s">
        <v>3017</v>
      </c>
      <c r="O1" s="382" t="s">
        <v>3118</v>
      </c>
      <c r="P1" s="382" t="s">
        <v>3016</v>
      </c>
      <c r="Q1" s="382" t="s">
        <v>3122</v>
      </c>
    </row>
    <row r="2" spans="1:17" s="10" customFormat="1">
      <c r="A2" s="384"/>
      <c r="B2" s="384"/>
      <c r="C2" s="385"/>
      <c r="D2" s="384"/>
      <c r="E2" s="384"/>
      <c r="F2" s="384"/>
      <c r="G2" s="384"/>
      <c r="H2" s="383"/>
      <c r="I2" s="385"/>
      <c r="J2" s="383"/>
      <c r="K2" s="385"/>
      <c r="L2" s="383"/>
      <c r="M2" s="381"/>
      <c r="N2" s="383"/>
      <c r="O2" s="383"/>
      <c r="P2" s="383"/>
      <c r="Q2" s="383"/>
    </row>
    <row r="3" spans="1:17" ht="60.75" customHeight="1">
      <c r="A3" s="15">
        <v>1</v>
      </c>
      <c r="B3" s="25" t="s">
        <v>3142</v>
      </c>
      <c r="C3" s="15" t="str">
        <f>IF(B3="","",_xlfn.XLOOKUP(B3,'2.專案函文紀錄'!K:K,'2.專案函文紀錄'!E:E,"查無此案紀錄",0))</f>
        <v>桃工用字第1150000279號</v>
      </c>
      <c r="D3" s="16" t="str">
        <f>IF(B3="","",_xlfn.XLOOKUP(B3,'2.專案函文紀錄'!K:K,'2.專案函文紀錄'!H:H,"查無此案紀錄",0))</f>
        <v>115年度第1次教育訓練</v>
      </c>
      <c r="E3" s="15" t="str">
        <f>IF(B3="","",_xlfn.XLOOKUP(B3,'2.專案函文紀錄'!K:K,'2.專案函文紀錄'!I:I,"查無此案紀錄",0))</f>
        <v>07.辦理教育訓練</v>
      </c>
      <c r="F3" s="16" t="str">
        <f>IF(B3="","",_xlfn.XLOOKUP(B3,'2.專案函文紀錄'!K:K,'2.專案函文紀錄'!J:J,"查無此案紀錄",0))</f>
        <v>115年度第1次教育訓練_07.辦理教育訓練</v>
      </c>
      <c r="G3" s="15" t="str">
        <f>IF(B3="","",_xlfn.XLOOKUP(B3,'2.專案函文紀錄'!K:K,'2.專案函文紀錄'!L:L,"查無此案紀錄",0))</f>
        <v>115年01月15日前函覆</v>
      </c>
      <c r="H3" s="15"/>
      <c r="I3" s="15">
        <f>IF(B3="","",_xlfn.XLOOKUP(B3,'2.專案函文紀錄'!K:K,'2.專案函文紀錄'!O:O,"查無此案紀錄",0))</f>
        <v>0</v>
      </c>
      <c r="J3" s="15" t="s">
        <v>3147</v>
      </c>
      <c r="K3" s="16" t="str">
        <f>IF(B3="","",_xlfn.XLOOKUP(B3,'2.專案函文紀錄'!K:K,'2.專案函文紀錄'!P:P,"查無此案紀錄",0))</f>
        <v>https://reurl.cc/rKo52Z</v>
      </c>
      <c r="L3" s="16" t="str">
        <f>IF(B3="","",_xlfn.XLOOKUP(B3,'2.專案函文紀錄'!K:K,'2.專案函文紀錄'!Q:Q,"查無此案紀錄",0))</f>
        <v>Z:\03.專案管控專區\桃園市政府\桃園市政府工務局\2025\115年桃園市興辦公共設施用地取得專業服務\04.專案工作事項\01.派工案件管控\1.各派工案辦理紀錄\115年_派工單號001\</v>
      </c>
      <c r="M3" s="16"/>
      <c r="N3" s="16" t="str" cm="1">
        <f t="array" ref="N3">_xlfn.TEXTJOIN("、", TRUE, _xlfn._xlws.FILTER(IF('2.專案函文紀錄'!$D$2:$D$99="", "", '2.專案函文紀錄'!$D$2:$D$99 &amp; "_" &amp; '2.專案函文紀錄'!$E$2:$E$99), ('2.專案函文紀錄'!$H$2:$H$99 = D3) * ('2.專案函文紀錄'!$B$2:$B$99 = "桃園市政府工務局") * ('2.專案函文紀錄'!$D$2:$D$99 &lt;&gt; "查無此案紀錄"), ""))</f>
        <v>115年01月05日_桃工用字第1150000279號</v>
      </c>
      <c r="O3" s="16" t="str" cm="1">
        <f t="array" ref="O3">_xlfn.TEXTJOIN(CHAR(10), TRUE, _xlfn._xlws.FILTER(IF('2.專案函文紀錄'!$D$2:$D$99="", "", '2.專案函文紀錄'!$D$2:$D$99 &amp; "_" &amp; '2.專案函文紀錄'!$E$2:$E$99 &amp; "_" &amp; '2.專案函文紀錄'!$G$2:$G$99), ('2.專案函文紀錄'!$H$2:$H$99 = D3) * ('2.專案函文紀錄'!$B$2:$B$99 = "桃園市政府工務局") * ('2.專案函文紀錄'!$D$2:$D$99 &lt;&gt; "查無此案紀錄"), ""))</f>
        <v>115年01月05日_桃工用字第1150000279號_通知辦理115年_派工單號001</v>
      </c>
      <c r="P3" s="16" t="str" cm="1">
        <f t="array" ref="P3">_xlfn.TEXTJOIN("、", TRUE, _xlfn._xlws.FILTER(IF('2.專案函文紀錄'!$D$2:$D$99="", "", '2.專案函文紀錄'!$D$2:$D$99 &amp; "_" &amp; '2.專案函文紀錄'!$E$2:$E$99), ('2.專案函文紀錄'!$H$2:$H$99 = E3) * ('2.專案函文紀錄'!$B$2:$B$99 = "乾坤測繪科技有限公司") * ('2.專案函文紀錄'!$D$2:$D$99 &lt;&gt; "查無此案紀錄"), ""))</f>
        <v/>
      </c>
      <c r="Q3" s="16" t="str" cm="1">
        <f t="array" ref="Q3">_xlfn.TEXTJOIN(CHAR(10), TRUE, _xlfn._xlws.FILTER(IF('2.專案函文紀錄'!$D$2:$D$99="", "", '2.專案函文紀錄'!$D$2:$D$99 &amp; "_" &amp; '2.專案函文紀錄'!$E$2:$E$99 &amp; "_" &amp; '2.專案函文紀錄'!$G$2:$G$99), ('2.專案函文紀錄'!$H$2:$H$99 = E3) * ('2.專案函文紀錄'!$B$2:$B$99 = "乾坤測繪科技有限公司") * ('2.專案函文紀錄'!$D$2:$D$99 &lt;&gt; "查無此案紀錄"), ""))</f>
        <v/>
      </c>
    </row>
    <row r="4" spans="1:17" ht="300">
      <c r="A4" s="15">
        <v>2</v>
      </c>
      <c r="B4" s="25" t="s">
        <v>3144</v>
      </c>
      <c r="C4" s="15" t="str">
        <f>IF(B4="","",_xlfn.XLOOKUP(B4,'2.專案函文紀錄'!K:K,'2.專案函文紀錄'!E:E,"查無此案紀錄",0))</f>
        <v>桃工用字第1150001582號</v>
      </c>
      <c r="D4" s="16" t="str">
        <f>IF(B4="","",_xlfn.XLOOKUP(B4,'2.專案函文紀錄'!K:K,'2.專案函文紀錄'!H:H,"查無此案紀錄",0))</f>
        <v>桃園市八德區霄裡公園及周邊道路興闢工程</v>
      </c>
      <c r="E4" s="15" t="str">
        <f>IF(B4="","",_xlfn.XLOOKUP(B4,'2.專案函文紀錄'!K:K,'2.專案函文紀錄'!I:I,"查無此案紀錄",0))</f>
        <v>02.土地協議市價查估作業</v>
      </c>
      <c r="F4" s="16" t="str">
        <f>IF(B4="","",_xlfn.XLOOKUP(B4,'2.專案函文紀錄'!K:K,'2.專案函文紀錄'!J:J,"查無此案紀錄",0))</f>
        <v>桃園市八德區霄裡公園及周邊道路興闢工程_02.土地協議市價查估作業</v>
      </c>
      <c r="G4" s="15" t="str">
        <f>IF(B4="","",_xlfn.XLOOKUP(B4,'2.專案函文紀錄'!K:K,'2.專案函文紀錄'!L:L,"查無此案紀錄",0))</f>
        <v>115年02月08日前函覆(發文日起25日歷天内檢送成果)</v>
      </c>
      <c r="H4" s="15" t="str">
        <f>IF(B4="","",_xlfn.XLOOKUP(B4,'2.專案函文紀錄'!K:K,'2.專案函文紀錄'!N:N,"查無此案紀錄",0))</f>
        <v>行政助理 粘亞溱</v>
      </c>
      <c r="I4" s="15" t="str">
        <f>IF(B4="","",_xlfn.XLOOKUP(B4,'2.專案函文紀錄'!K:K,'2.專案函文紀錄'!O:O,"查無此案紀錄",0))</f>
        <v>昇揚估價師 欒中文</v>
      </c>
      <c r="J4" s="15"/>
      <c r="K4" s="16" t="str">
        <f>IF(B4="","",_xlfn.XLOOKUP(B4,'2.專案函文紀錄'!K:K,'2.專案函文紀錄'!P:P,"查無此案紀錄",0))</f>
        <v>https://reurl.cc/EbM8Dm</v>
      </c>
      <c r="L4" s="16" t="str">
        <f>IF(B4="","",_xlfn.XLOOKUP(B4,'2.專案函文紀錄'!K:K,'2.專案函文紀錄'!Q:Q,"查無此案紀錄",0))</f>
        <v>Z:\03.專案管控專區\桃園市政府\桃園市政府工務局\2025\115年桃園市興辦公共設施用地取得專業服務\04.專案工作事項\01.派工案件管控\1.各派工案辦理紀錄\115年_派工單號002\</v>
      </c>
      <c r="M4" s="16" t="s">
        <v>3193</v>
      </c>
      <c r="N4" s="16" t="str" cm="1">
        <f t="array" ref="N4">_xlfn.TEXTJOIN("、", TRUE, _xlfn._xlws.FILTER(IF('2.專案函文紀錄'!$D$2:$D$99="", "", '2.專案函文紀錄'!$D$2:$D$99 &amp; "_" &amp; '2.專案函文紀錄'!$E$2:$E$99), ('2.專案函文紀錄'!$H$2:$H$99 = D4) * ('2.專案函文紀錄'!$B$2:$B$99 = "桃園市政府工務局") * ('2.專案函文紀錄'!$D$2:$D$99 &lt;&gt; "查無此案紀錄"), ""))</f>
        <v>115年01月15日_桃工用字第1150001582號</v>
      </c>
      <c r="O4" s="16" t="str" cm="1">
        <f t="array" ref="O4">_xlfn.TEXTJOIN(CHAR(10), TRUE, _xlfn._xlws.FILTER(IF('2.專案函文紀錄'!$D$2:$D$99="", "", '2.專案函文紀錄'!$D$2:$D$99 &amp; "_" &amp; '2.專案函文紀錄'!$E$2:$E$99 &amp; "_" &amp; '2.專案函文紀錄'!$G$2:$G$99), ('2.專案函文紀錄'!$H$2:$H$99 = D4) * ('2.專案函文紀錄'!$B$2:$B$99 = "桃園市政府工務局") * ('2.專案函文紀錄'!$D$2:$D$99 &lt;&gt; "查無此案紀錄"), ""))</f>
        <v>115年01月15日_桃工用字第1150001582號_通知辦理115年_派工單號002</v>
      </c>
      <c r="P4" s="16" t="str" cm="1">
        <f t="array" ref="P4">_xlfn.TEXTJOIN("、", TRUE, _xlfn._xlws.FILTER(IF('2.專案函文紀錄'!$D$2:$D$99="", "", '2.專案函文紀錄'!$D$2:$D$99 &amp; "_" &amp; '2.專案函文紀錄'!$E$2:$E$99), ('2.專案函文紀錄'!$H$2:$H$99 = E4) * ('2.專案函文紀錄'!$B$2:$B$99 = "乾坤測繪科技有限公司") * ('2.專案函文紀錄'!$D$2:$D$99 &lt;&gt; "查無此案紀錄"), ""))</f>
        <v/>
      </c>
      <c r="Q4" s="16" t="str" cm="1">
        <f t="array" ref="Q4">_xlfn.TEXTJOIN(CHAR(10), TRUE, _xlfn._xlws.FILTER(IF('2.專案函文紀錄'!$D$2:$D$99="", "", '2.專案函文紀錄'!$D$2:$D$99 &amp; "_" &amp; '2.專案函文紀錄'!$E$2:$E$99 &amp; "_" &amp; '2.專案函文紀錄'!$G$2:$G$99), ('2.專案函文紀錄'!$H$2:$H$99 = E4) * ('2.專案函文紀錄'!$B$2:$B$99 = "乾坤測繪科技有限公司") * ('2.專案函文紀錄'!$D$2:$D$99 &lt;&gt; "查無此案紀錄"), ""))</f>
        <v/>
      </c>
    </row>
    <row r="5" spans="1:17" ht="120">
      <c r="A5" s="15">
        <v>3</v>
      </c>
      <c r="B5" s="25" t="s">
        <v>3171</v>
      </c>
      <c r="C5" s="15" t="str">
        <f>IF(B5="","",_xlfn.XLOOKUP(B5,'2.專案函文紀錄'!K:K,'2.專案函文紀錄'!E:E,"查無此案紀錄",0))</f>
        <v>桃工用字第1150002112號</v>
      </c>
      <c r="D5" s="16" t="str">
        <f>IF(B5="","",_xlfn.XLOOKUP(B5,'2.專案函文紀錄'!K:K,'2.專案函文紀錄'!H:H,"查無此案紀錄",0))</f>
        <v>中壢區龍岡路4-1-10M計畫道路路口瓶頸打通工程</v>
      </c>
      <c r="E5" s="15" t="str">
        <f>IF(B5="","",_xlfn.XLOOKUP(B5,'2.專案函文紀錄'!K:K,'2.專案函文紀錄'!I:I,"查無此案紀錄",0))</f>
        <v>02.土地協議市價查估作業</v>
      </c>
      <c r="F5" s="16" t="str">
        <f>IF(B5="","",_xlfn.XLOOKUP(B5,'2.專案函文紀錄'!K:K,'2.專案函文紀錄'!G:G,"查無此案紀錄",0))</f>
        <v>通知辦理115年_派工單號003</v>
      </c>
      <c r="G5" s="15" t="str">
        <f>IF(B5="","",_xlfn.XLOOKUP(B5,'2.專案函文紀錄'!K:K,'2.專案函文紀錄'!L:L,"查無此案紀錄",0))</f>
        <v>115年02月23日前函覆(發文日起25日歷天内檢送成果)</v>
      </c>
      <c r="H5" s="15" t="str">
        <f>IF(B5="","",_xlfn.XLOOKUP(B5,'2.專案函文紀錄'!K:K,'2.專案函文紀錄'!N:N,"查無此案紀錄",0))</f>
        <v>約催助理 吳佳芸</v>
      </c>
      <c r="I5" s="15" t="str">
        <f>IF(B5="","",_xlfn.XLOOKUP(B5,'2.專案函文紀錄'!K:K,'2.專案函文紀錄'!O:O,"查無此案紀錄",0))</f>
        <v>全國估價師 張子亮</v>
      </c>
      <c r="J5" s="15"/>
      <c r="K5" s="15" t="str">
        <f>IF(B5="","",_xlfn.XLOOKUP(B5,'2.專案函文紀錄'!K:K,'2.專案函文紀錄'!P:P,"查無此案紀錄",0))</f>
        <v>https://reurl.cc/rKjOr1</v>
      </c>
      <c r="L5" s="16" t="str">
        <f>IF(B5="","",_xlfn.XLOOKUP(B5,'2.專案函文紀錄'!K:K,'2.專案函文紀錄'!Q:Q,"查無此案紀錄",0))</f>
        <v>Z:\03.專案管控專區\桃園市政府\桃園市政府工務局\2025\115年桃園市興辦公共設施用地取得專業服務\04.專案工作事項\01.派工案件管控\1.各派工案辦理紀錄\115年_派工單號003\</v>
      </c>
      <c r="M5" s="16" t="s">
        <v>3194</v>
      </c>
      <c r="N5" s="16"/>
      <c r="O5" s="27"/>
      <c r="P5" s="16"/>
    </row>
    <row r="6" spans="1:17">
      <c r="A6" s="15">
        <v>4</v>
      </c>
      <c r="B6" s="16"/>
      <c r="C6" s="15"/>
      <c r="D6" s="16" t="str">
        <f>IF(B6="","",_xlfn.XLOOKUP(B6,#REF!,#REF!,"查無此案名(工程名稱)", 0))</f>
        <v/>
      </c>
      <c r="E6" s="15"/>
      <c r="F6" s="16" t="str">
        <f>IF(B6="","",_xlfn.XLOOKUP(B6,'2.專案函文紀錄'!K:K,'2.專案函文紀錄'!G:G,"查無此案紀錄",0))</f>
        <v/>
      </c>
      <c r="G6" s="15" t="str">
        <f>IF(B6="","",_xlfn.XLOOKUP(B6,'2.專案函文紀錄'!K:K,'2.專案函文紀錄'!L:L,"查無此案紀錄",0))</f>
        <v/>
      </c>
      <c r="H6" s="15"/>
      <c r="I6" s="15" t="str">
        <f>IF(B6="","",_xlfn.XLOOKUP(B6,#REF!,#REF!,"查無此紀錄",0))</f>
        <v/>
      </c>
      <c r="J6" s="15"/>
      <c r="K6" s="15" t="str">
        <f>IF(B6="","",_xlfn.XLOOKUP(B6,'2.專案函文紀錄'!K:K,'2.專案函文紀錄'!P:P,"查無此案紀錄",0))</f>
        <v/>
      </c>
      <c r="L6" s="15"/>
      <c r="M6" s="15"/>
      <c r="N6" s="16"/>
      <c r="O6" s="27"/>
      <c r="P6" s="16"/>
    </row>
    <row r="7" spans="1:17">
      <c r="A7" s="15">
        <v>5</v>
      </c>
      <c r="B7" s="16"/>
      <c r="C7" s="15"/>
      <c r="D7" s="16" t="str">
        <f>IF(B7="","",_xlfn.XLOOKUP(B7,#REF!,#REF!,"查無此案名(工程名稱)", 0))</f>
        <v/>
      </c>
      <c r="E7" s="15"/>
      <c r="F7" s="16" t="str">
        <f>IF(B7="","",_xlfn.XLOOKUP(B7,'2.專案函文紀錄'!K:K,'2.專案函文紀錄'!G:G,"查無此案紀錄",0))</f>
        <v/>
      </c>
      <c r="G7" s="15" t="str">
        <f>IF(B7="","",_xlfn.XLOOKUP(B7,'2.專案函文紀錄'!K:K,'2.專案函文紀錄'!L:L,"查無此案紀錄",0))</f>
        <v/>
      </c>
      <c r="H7" s="15"/>
      <c r="I7" s="15" t="str">
        <f>IF(B7="","",_xlfn.XLOOKUP(B7,#REF!,#REF!,"查無此紀錄",0))</f>
        <v/>
      </c>
      <c r="J7" s="15"/>
      <c r="K7" s="15" t="str">
        <f>IF(B7="","",_xlfn.XLOOKUP(B7,'2.專案函文紀錄'!K:K,'2.專案函文紀錄'!P:P,"查無此案紀錄",0))</f>
        <v/>
      </c>
      <c r="L7" s="15"/>
      <c r="M7" s="15"/>
      <c r="N7" s="16"/>
      <c r="O7" s="27"/>
      <c r="P7" s="16"/>
    </row>
    <row r="8" spans="1:17">
      <c r="A8" s="15">
        <v>6</v>
      </c>
      <c r="B8" s="16"/>
      <c r="C8" s="15"/>
      <c r="D8" s="16" t="str">
        <f>IF(B8="","",_xlfn.XLOOKUP(B8,#REF!,#REF!,"查無此案名(工程名稱)", 0))</f>
        <v/>
      </c>
      <c r="E8" s="15"/>
      <c r="F8" s="16" t="str">
        <f>IF(B8="","",_xlfn.XLOOKUP(B8,'2.專案函文紀錄'!K:K,'2.專案函文紀錄'!G:G,"查無此案紀錄",0))</f>
        <v/>
      </c>
      <c r="G8" s="15" t="str">
        <f>IF(B8="","",_xlfn.XLOOKUP(B8,'2.專案函文紀錄'!K:K,'2.專案函文紀錄'!L:L,"查無此案紀錄",0))</f>
        <v/>
      </c>
      <c r="H8" s="15"/>
      <c r="I8" s="15" t="str">
        <f>IF(B8="","",_xlfn.XLOOKUP(B8,#REF!,#REF!,"查無此紀錄",0))</f>
        <v/>
      </c>
      <c r="J8" s="15"/>
      <c r="K8" s="15" t="str">
        <f>IF(B8="","",_xlfn.XLOOKUP(B8,'2.專案函文紀錄'!K:K,'2.專案函文紀錄'!P:P,"查無此案紀錄",0))</f>
        <v/>
      </c>
      <c r="L8" s="15"/>
      <c r="M8" s="15"/>
      <c r="N8" s="16"/>
      <c r="O8" s="27"/>
      <c r="P8" s="16"/>
    </row>
    <row r="9" spans="1:17">
      <c r="A9" s="15">
        <v>7</v>
      </c>
      <c r="B9" s="16"/>
      <c r="C9" s="15"/>
      <c r="D9" s="16" t="str">
        <f>IF(B9="","",_xlfn.XLOOKUP(B9,#REF!,#REF!,"查無此案名(工程名稱)", 0))</f>
        <v/>
      </c>
      <c r="E9" s="15"/>
      <c r="F9" s="16" t="str">
        <f>IF(B9="","",_xlfn.XLOOKUP(B9,'2.專案函文紀錄'!K:K,'2.專案函文紀錄'!G:G,"查無此案紀錄",0))</f>
        <v/>
      </c>
      <c r="G9" s="15" t="str">
        <f>IF(B9="","",_xlfn.XLOOKUP(B9,'2.專案函文紀錄'!K:K,'2.專案函文紀錄'!L:L,"查無此案紀錄",0))</f>
        <v/>
      </c>
      <c r="H9" s="15"/>
      <c r="I9" s="15" t="str">
        <f>IF(B9="","",_xlfn.XLOOKUP(B9,#REF!,#REF!,"查無此紀錄",0))</f>
        <v/>
      </c>
      <c r="J9" s="15"/>
      <c r="K9" s="15" t="str">
        <f>IF(B9="","",_xlfn.XLOOKUP(B9,'2.專案函文紀錄'!K:K,'2.專案函文紀錄'!P:P,"查無此案紀錄",0))</f>
        <v/>
      </c>
      <c r="L9" s="15"/>
      <c r="M9" s="15"/>
      <c r="N9" s="16"/>
      <c r="O9" s="27"/>
      <c r="P9" s="16"/>
    </row>
    <row r="10" spans="1:17">
      <c r="A10" s="15">
        <v>8</v>
      </c>
      <c r="B10" s="16"/>
      <c r="C10" s="15"/>
      <c r="D10" s="16"/>
      <c r="E10" s="15"/>
      <c r="F10" s="16" t="str">
        <f>IF(B10="","",_xlfn.XLOOKUP(B10,'2.專案函文紀錄'!K:K,'2.專案函文紀錄'!G:G,"查無此案紀錄",0))</f>
        <v/>
      </c>
      <c r="G10" s="15" t="str">
        <f>IF(B10="","",_xlfn.XLOOKUP(B10,'2.專案函文紀錄'!K:K,'2.專案函文紀錄'!L:L,"查無此案紀錄",0))</f>
        <v/>
      </c>
      <c r="H10" s="15"/>
      <c r="I10" s="15" t="str">
        <f>IF(B10="","",_xlfn.XLOOKUP(B10,#REF!,#REF!,"查無此紀錄",0))</f>
        <v/>
      </c>
      <c r="J10" s="15"/>
      <c r="K10" s="15" t="str">
        <f>IF(B10="","",_xlfn.XLOOKUP(B10,'2.專案函文紀錄'!K:K,'2.專案函文紀錄'!P:P,"查無此案紀錄",0))</f>
        <v/>
      </c>
      <c r="L10" s="15"/>
      <c r="M10" s="15"/>
      <c r="N10" s="16"/>
      <c r="O10" s="27"/>
      <c r="P10" s="16"/>
    </row>
    <row r="11" spans="1:17">
      <c r="A11" s="15">
        <v>9</v>
      </c>
    </row>
    <row r="12" spans="1:17">
      <c r="A12" s="15">
        <v>10</v>
      </c>
    </row>
    <row r="13" spans="1:17">
      <c r="A13" s="15">
        <v>11</v>
      </c>
    </row>
    <row r="14" spans="1:17">
      <c r="A14" s="15">
        <v>12</v>
      </c>
    </row>
    <row r="15" spans="1:17">
      <c r="A15" s="15">
        <v>13</v>
      </c>
    </row>
    <row r="16" spans="1:17">
      <c r="A16" s="15">
        <v>14</v>
      </c>
    </row>
    <row r="17" spans="1:1">
      <c r="A17" s="15">
        <v>15</v>
      </c>
    </row>
    <row r="18" spans="1:1">
      <c r="A18" s="15">
        <v>16</v>
      </c>
    </row>
    <row r="19" spans="1:1">
      <c r="A19" s="15">
        <v>17</v>
      </c>
    </row>
    <row r="20" spans="1:1">
      <c r="A20" s="15">
        <v>18</v>
      </c>
    </row>
    <row r="21" spans="1:1">
      <c r="A21" s="15">
        <v>19</v>
      </c>
    </row>
    <row r="22" spans="1:1">
      <c r="A22" s="15">
        <v>20</v>
      </c>
    </row>
    <row r="23" spans="1:1">
      <c r="A23" s="15">
        <v>21</v>
      </c>
    </row>
    <row r="24" spans="1:1">
      <c r="A24" s="15">
        <v>22</v>
      </c>
    </row>
    <row r="25" spans="1:1">
      <c r="A25" s="15">
        <v>23</v>
      </c>
    </row>
    <row r="26" spans="1:1">
      <c r="A26" s="15">
        <v>24</v>
      </c>
    </row>
    <row r="27" spans="1:1">
      <c r="A27" s="15">
        <v>25</v>
      </c>
    </row>
    <row r="28" spans="1:1">
      <c r="A28" s="15">
        <v>26</v>
      </c>
    </row>
    <row r="29" spans="1:1">
      <c r="A29" s="15">
        <v>27</v>
      </c>
    </row>
    <row r="30" spans="1:1">
      <c r="A30" s="15">
        <v>28</v>
      </c>
    </row>
    <row r="31" spans="1:1">
      <c r="A31" s="15">
        <v>29</v>
      </c>
    </row>
    <row r="32" spans="1:1">
      <c r="A32" s="15">
        <v>30</v>
      </c>
    </row>
    <row r="33" spans="1:1">
      <c r="A33" s="15">
        <v>31</v>
      </c>
    </row>
    <row r="34" spans="1:1">
      <c r="A34" s="15">
        <v>32</v>
      </c>
    </row>
    <row r="35" spans="1:1">
      <c r="A35" s="15">
        <v>33</v>
      </c>
    </row>
    <row r="36" spans="1:1">
      <c r="A36" s="15">
        <v>34</v>
      </c>
    </row>
    <row r="37" spans="1:1">
      <c r="A37" s="15">
        <v>35</v>
      </c>
    </row>
    <row r="38" spans="1:1">
      <c r="A38" s="15">
        <v>36</v>
      </c>
    </row>
    <row r="39" spans="1:1">
      <c r="A39" s="15">
        <v>37</v>
      </c>
    </row>
    <row r="40" spans="1:1">
      <c r="A40" s="15">
        <v>38</v>
      </c>
    </row>
    <row r="41" spans="1:1">
      <c r="A41" s="15">
        <v>39</v>
      </c>
    </row>
    <row r="42" spans="1:1">
      <c r="A42" s="15">
        <v>40</v>
      </c>
    </row>
    <row r="43" spans="1:1">
      <c r="A43" s="15">
        <v>41</v>
      </c>
    </row>
    <row r="44" spans="1:1">
      <c r="A44" s="15">
        <v>42</v>
      </c>
    </row>
  </sheetData>
  <autoFilter ref="A1:Q1" xr:uid="{00000000-0001-0000-0000-000000000000}"/>
  <mergeCells count="17">
    <mergeCell ref="O1:O2"/>
    <mergeCell ref="M1:M2"/>
    <mergeCell ref="Q1:Q2"/>
    <mergeCell ref="A1:A2"/>
    <mergeCell ref="F1:F2"/>
    <mergeCell ref="E1:E2"/>
    <mergeCell ref="D1:D2"/>
    <mergeCell ref="B1:B2"/>
    <mergeCell ref="P1:P2"/>
    <mergeCell ref="J1:J2"/>
    <mergeCell ref="C1:C2"/>
    <mergeCell ref="I1:I2"/>
    <mergeCell ref="H1:H2"/>
    <mergeCell ref="N1:N2"/>
    <mergeCell ref="G1:G2"/>
    <mergeCell ref="K1:K2"/>
    <mergeCell ref="L1:L2"/>
  </mergeCells>
  <phoneticPr fontId="2" type="noConversion"/>
  <conditionalFormatting sqref="C1:F1048576 I2 G3:Q1048576">
    <cfRule type="containsText" dxfId="3" priority="3" operator="containsText" text="查無此">
      <formula>NOT(ISERROR(SEARCH("查無此",C1)))</formula>
    </cfRule>
  </conditionalFormatting>
  <conditionalFormatting sqref="G1:Q1">
    <cfRule type="containsText" dxfId="2" priority="1" operator="containsText" text="查無此">
      <formula>NOT(ISERROR(SEARCH("查無此",G1)))</formula>
    </cfRule>
  </conditionalFormatting>
  <dataValidations count="1">
    <dataValidation type="list" allowBlank="1" showInputMessage="1" showErrorMessage="1" sqref="B1:C2 B6:C1048576" xr:uid="{821D3F03-FE9F-4A2E-8202-CE4F5434FAA9}">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5C6A0CB-7939-44DF-BD96-40934D43CB90}">
          <x14:formula1>
            <xm:f>'2.專案函文紀錄'!$K:$K</xm:f>
          </x14:formula1>
          <xm:sqref>B3:C5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B2FB-5D00-4281-9023-8CB3CCDD0A2D}">
  <sheetPr>
    <tabColor rgb="FF7030A0"/>
  </sheetPr>
  <dimension ref="A1:AE233"/>
  <sheetViews>
    <sheetView zoomScaleNormal="100" workbookViewId="0">
      <selection activeCell="H24" sqref="H24"/>
    </sheetView>
  </sheetViews>
  <sheetFormatPr defaultRowHeight="15"/>
  <cols>
    <col min="1" max="1" width="6.25" style="10" customWidth="1"/>
    <col min="2" max="2" width="20.375" style="9" customWidth="1"/>
    <col min="3" max="3" width="25.75" style="9" customWidth="1"/>
    <col min="4" max="4" width="23.25" style="10" customWidth="1"/>
    <col min="5" max="5" width="29.875" style="9" customWidth="1"/>
    <col min="6" max="6" width="13.25" style="10" bestFit="1" customWidth="1"/>
    <col min="7" max="7" width="11.75" style="10" customWidth="1"/>
    <col min="8" max="8" width="23.625" style="10" customWidth="1"/>
    <col min="9" max="9" width="22.125" style="10" customWidth="1"/>
    <col min="10" max="10" width="40" style="9" customWidth="1"/>
    <col min="11" max="11" width="34.5" style="9" customWidth="1"/>
    <col min="12" max="12" width="31.125" style="9" customWidth="1"/>
    <col min="13" max="13" width="16.75" style="9" customWidth="1"/>
    <col min="14" max="14" width="9.25" style="10" bestFit="1" customWidth="1"/>
    <col min="15" max="15" width="9.75" style="10" bestFit="1" customWidth="1"/>
    <col min="16" max="16" width="15.75" style="10" bestFit="1" customWidth="1"/>
    <col min="17" max="17" width="9.25" style="10" bestFit="1" customWidth="1"/>
    <col min="18" max="18" width="15.75" style="10" bestFit="1" customWidth="1"/>
    <col min="19" max="19" width="9.25" style="10" bestFit="1" customWidth="1"/>
    <col min="20" max="20" width="10.75" style="10" bestFit="1" customWidth="1"/>
    <col min="21" max="25" width="9.25" style="10" bestFit="1" customWidth="1"/>
    <col min="26" max="26" width="16.125" style="54" customWidth="1"/>
    <col min="27" max="27" width="9.25" style="10" bestFit="1" customWidth="1"/>
    <col min="28" max="29" width="17.375" style="63" bestFit="1" customWidth="1"/>
    <col min="30" max="30" width="14.375" style="65" bestFit="1" customWidth="1"/>
    <col min="31" max="31" width="17.25" style="9" bestFit="1" customWidth="1"/>
    <col min="32" max="16384" width="9" style="9"/>
  </cols>
  <sheetData>
    <row r="1" spans="1:31" s="10" customFormat="1" ht="16.5" customHeight="1">
      <c r="A1" s="384" t="s">
        <v>3006</v>
      </c>
      <c r="B1" s="384" t="s">
        <v>0</v>
      </c>
      <c r="C1" s="384" t="s">
        <v>3121</v>
      </c>
      <c r="D1" s="386" t="s">
        <v>2999</v>
      </c>
      <c r="E1" s="384" t="s">
        <v>3120</v>
      </c>
      <c r="F1" s="382" t="s">
        <v>2995</v>
      </c>
      <c r="G1" s="385" t="s">
        <v>2970</v>
      </c>
      <c r="H1" s="382" t="s">
        <v>3015</v>
      </c>
      <c r="I1" s="382" t="s">
        <v>3117</v>
      </c>
      <c r="J1" s="382" t="s">
        <v>3017</v>
      </c>
      <c r="K1" s="382" t="s">
        <v>3118</v>
      </c>
      <c r="L1" s="382" t="s">
        <v>3016</v>
      </c>
      <c r="M1" s="382" t="s">
        <v>3122</v>
      </c>
      <c r="N1" s="388" t="s">
        <v>3035</v>
      </c>
      <c r="O1" s="389"/>
      <c r="P1" s="388" t="s">
        <v>3036</v>
      </c>
      <c r="Q1" s="389"/>
      <c r="R1" s="388" t="s">
        <v>3037</v>
      </c>
      <c r="S1" s="389"/>
      <c r="T1" s="388" t="s">
        <v>3038</v>
      </c>
      <c r="U1" s="389"/>
      <c r="V1" s="388" t="s">
        <v>3039</v>
      </c>
      <c r="W1" s="389"/>
      <c r="X1" s="388" t="s">
        <v>3040</v>
      </c>
      <c r="Y1" s="389"/>
      <c r="Z1" s="388" t="s">
        <v>3042</v>
      </c>
      <c r="AA1" s="389"/>
      <c r="AB1" s="390" t="s">
        <v>2975</v>
      </c>
      <c r="AC1" s="390" t="s">
        <v>2976</v>
      </c>
      <c r="AD1" s="392" t="s">
        <v>2977</v>
      </c>
      <c r="AE1" s="394" t="s">
        <v>2974</v>
      </c>
    </row>
    <row r="2" spans="1:31" s="10" customFormat="1">
      <c r="A2" s="384"/>
      <c r="B2" s="384"/>
      <c r="C2" s="384"/>
      <c r="D2" s="387"/>
      <c r="E2" s="384"/>
      <c r="F2" s="383"/>
      <c r="G2" s="385"/>
      <c r="H2" s="383"/>
      <c r="I2" s="383"/>
      <c r="J2" s="383"/>
      <c r="K2" s="383"/>
      <c r="L2" s="383"/>
      <c r="M2" s="383"/>
      <c r="N2" s="55" t="s">
        <v>2978</v>
      </c>
      <c r="O2" s="55" t="s">
        <v>2979</v>
      </c>
      <c r="P2" s="55" t="s">
        <v>2978</v>
      </c>
      <c r="Q2" s="55" t="s">
        <v>2979</v>
      </c>
      <c r="R2" s="55" t="s">
        <v>2978</v>
      </c>
      <c r="S2" s="55" t="s">
        <v>2979</v>
      </c>
      <c r="T2" s="55" t="s">
        <v>2978</v>
      </c>
      <c r="U2" s="55" t="s">
        <v>2979</v>
      </c>
      <c r="V2" s="55" t="s">
        <v>2978</v>
      </c>
      <c r="W2" s="55" t="s">
        <v>2979</v>
      </c>
      <c r="X2" s="55" t="s">
        <v>2978</v>
      </c>
      <c r="Y2" s="55" t="s">
        <v>2979</v>
      </c>
      <c r="Z2" s="52" t="s">
        <v>2978</v>
      </c>
      <c r="AA2" s="55" t="s">
        <v>2979</v>
      </c>
      <c r="AB2" s="391"/>
      <c r="AC2" s="391"/>
      <c r="AD2" s="393"/>
      <c r="AE2" s="395"/>
    </row>
    <row r="3" spans="1:31" ht="60.75" customHeight="1">
      <c r="A3" s="15">
        <v>1</v>
      </c>
      <c r="B3" s="25" t="s">
        <v>3142</v>
      </c>
      <c r="C3" s="16" t="str">
        <f>IF(B3="","",_xlfn.XLOOKUP(B3,'2.專案函文紀錄'!K:K,'2.專案函文紀錄'!H:H,"查無此案紀錄",0))</f>
        <v>115年度第1次教育訓練</v>
      </c>
      <c r="D3" s="15" t="str">
        <f>IF(B3="","",_xlfn.XLOOKUP(B3,'2.專案函文紀錄'!K:K,'2.專案函文紀錄'!I:I,"查無此案紀錄",0))</f>
        <v>07.辦理教育訓練</v>
      </c>
      <c r="E3" s="16" t="str">
        <f>IF(B3="","",_xlfn.XLOOKUP(B3,'2.專案函文紀錄'!K:K,'2.專案函文紀錄'!J:J,"查無此案紀錄",0))</f>
        <v>115年度第1次教育訓練_07.辦理教育訓練</v>
      </c>
      <c r="F3" s="15">
        <f>IF(B3="","",_xlfn.XLOOKUP(B3,'2.專案函文紀錄'!K:K,'2.專案函文紀錄'!N:N,"查無此案紀錄",0))</f>
        <v>0</v>
      </c>
      <c r="G3" s="15">
        <f>IF(B3="","",_xlfn.XLOOKUP(B3,'2.專案函文紀錄'!K:K,'2.專案函文紀錄'!O:O,"查無此案紀錄",0))</f>
        <v>0</v>
      </c>
      <c r="H3" s="16" t="str">
        <f>IF(B3="","",_xlfn.XLOOKUP(B3,'2.專案函文紀錄'!K:K,'2.專案函文紀錄'!P:P,"查無此案紀錄",0))</f>
        <v>https://reurl.cc/rKo52Z</v>
      </c>
      <c r="I3" s="16" t="str">
        <f>IF(B3="","",_xlfn.XLOOKUP(B3,'2.專案函文紀錄'!K:K,'2.專案函文紀錄'!Q:Q,"查無此案紀錄",0))</f>
        <v>Z:\03.專案管控專區\桃園市政府\桃園市政府工務局\2025\115年桃園市興辦公共設施用地取得專業服務\04.專案工作事項\01.派工案件管控\1.各派工案辦理紀錄\115年_派工單號001\</v>
      </c>
      <c r="J3" s="16" t="str" cm="1">
        <f t="array" ref="J3">_xlfn.TEXTJOIN("、", TRUE, _xlfn._xlws.FILTER(IF('2.專案函文紀錄'!$D$2:$D$99="", "", '2.專案函文紀錄'!$D$2:$D$99 &amp; "_" &amp; '2.專案函文紀錄'!$E$2:$E$99), ('2.專案函文紀錄'!$H$2:$H$99 = C3) * ('2.專案函文紀錄'!$B$2:$B$99 = "桃園市政府工務局") * ('2.專案函文紀錄'!$D$2:$D$99 &lt;&gt; "查無此案紀錄"), ""))</f>
        <v>115年01月05日_桃工用字第1150000279號</v>
      </c>
      <c r="K3" s="16" t="str" cm="1">
        <f t="array" ref="K3">_xlfn.TEXTJOIN(CHAR(10), TRUE, _xlfn._xlws.FILTER(IF('2.專案函文紀錄'!$D$2:$D$99="", "", '2.專案函文紀錄'!$D$2:$D$99 &amp; "_" &amp; '2.專案函文紀錄'!$E$2:$E$99 &amp; "_" &amp; '2.專案函文紀錄'!$G$2:$G$99), ('2.專案函文紀錄'!$H$2:$H$99 = C3) * ('2.專案函文紀錄'!$B$2:$B$99 = "桃園市政府工務局") * ('2.專案函文紀錄'!$D$2:$D$99 &lt;&gt; "查無此案紀錄"), ""))</f>
        <v>115年01月05日_桃工用字第1150000279號_通知辦理115年_派工單號001</v>
      </c>
      <c r="L3" s="16" t="str" cm="1">
        <f t="array" ref="L3">_xlfn.TEXTJOIN("、", TRUE, _xlfn._xlws.FILTER(IF('2.專案函文紀錄'!$D$2:$D$99="", "", '2.專案函文紀錄'!$D$2:$D$99 &amp; "_" &amp; '2.專案函文紀錄'!$E$2:$E$99), ('2.專案函文紀錄'!$H$2:$H$99 = D3) * ('2.專案函文紀錄'!$B$2:$B$99 = "乾坤測繪科技有限公司") * ('2.專案函文紀錄'!$D$2:$D$99 &lt;&gt; "查無此案紀錄"), ""))</f>
        <v/>
      </c>
      <c r="M3" s="16" t="str" cm="1">
        <f t="array" ref="M3">_xlfn.TEXTJOIN(CHAR(10), TRUE, _xlfn._xlws.FILTER(IF('2.專案函文紀錄'!$D$2:$D$99="", "", '2.專案函文紀錄'!$D$2:$D$99 &amp; "_" &amp; '2.專案函文紀錄'!$E$2:$E$99 &amp; "_" &amp; '2.專案函文紀錄'!$G$2:$G$99), ('2.專案函文紀錄'!$H$2:$H$99 = D3) * ('2.專案函文紀錄'!$B$2:$B$99 = "乾坤測繪科技有限公司") * ('2.專案函文紀錄'!$D$2:$D$99 &lt;&gt; "查無此案紀錄"), ""))</f>
        <v/>
      </c>
      <c r="N3" s="47" t="str">
        <f>IF($D3="01地上物查估作業",#REF!, "")</f>
        <v/>
      </c>
      <c r="O3" s="15"/>
      <c r="P3" s="47" t="str">
        <f>IF($D3="02.土地協議市價查估作業",#REF!, "")</f>
        <v/>
      </c>
      <c r="Q3" s="15"/>
      <c r="R3" s="47" t="str">
        <f>IF($D3="03.土地徵收市價查估作業",#REF!, "")</f>
        <v/>
      </c>
      <c r="S3" s="15"/>
      <c r="T3" s="15" t="str">
        <f>IF($D3="04.相關計畫書製作",#REF!, "")</f>
        <v/>
      </c>
      <c r="U3" s="15"/>
      <c r="V3" s="15" t="str">
        <f>IF($D3="05.測量作業",#REF!, "")</f>
        <v/>
      </c>
      <c r="W3" s="15"/>
      <c r="X3" s="15" t="str">
        <f>IF($D3="06.樁位測釘作業",#REF!, "")</f>
        <v/>
      </c>
      <c r="Y3" s="15"/>
      <c r="Z3" s="53"/>
      <c r="AA3" s="15"/>
      <c r="AB3" s="62">
        <f>SUM(O3,Q3,S3,U3,W3,Y3,AA3)</f>
        <v>0</v>
      </c>
      <c r="AC3" s="62">
        <f>AB3</f>
        <v>0</v>
      </c>
      <c r="AD3" s="64">
        <f>6035000-AC3</f>
        <v>6035000</v>
      </c>
      <c r="AE3" s="16"/>
    </row>
    <row r="4" spans="1:31" ht="120">
      <c r="A4" s="15">
        <v>2</v>
      </c>
      <c r="B4" s="25" t="s">
        <v>3144</v>
      </c>
      <c r="C4" s="16" t="str">
        <f>IF(B4="","",_xlfn.XLOOKUP(B4,'2.專案函文紀錄'!K:K,'2.專案函文紀錄'!H:H,"查無此案紀錄",0))</f>
        <v>桃園市八德區霄裡公園及周邊道路興闢工程</v>
      </c>
      <c r="D4" s="15" t="str">
        <f>IF(B4="","",_xlfn.XLOOKUP(B4,'2.專案函文紀錄'!K:K,'2.專案函文紀錄'!I:I,"查無此案紀錄",0))</f>
        <v>02.土地協議市價查估作業</v>
      </c>
      <c r="E4" s="16" t="str">
        <f>IF(B4="","",_xlfn.XLOOKUP(B4,'2.專案函文紀錄'!K:K,'2.專案函文紀錄'!J:J,"查無此案紀錄",0))</f>
        <v>桃園市八德區霄裡公園及周邊道路興闢工程_02.土地協議市價查估作業</v>
      </c>
      <c r="F4" s="15" t="str">
        <f>IF(B4="","",_xlfn.XLOOKUP(B4,'2.專案函文紀錄'!K:K,'2.專案函文紀錄'!N:N,"查無此案紀錄",0))</f>
        <v>行政助理 粘亞溱</v>
      </c>
      <c r="G4" s="15" t="str">
        <f>IF(B4="","",_xlfn.XLOOKUP(B4,'2.專案函文紀錄'!K:K,'2.專案函文紀錄'!O:O,"查無此案紀錄",0))</f>
        <v>昇揚估價師 欒中文</v>
      </c>
      <c r="H4" s="16" t="str">
        <f>IF(B4="","",_xlfn.XLOOKUP(B4,'2.專案函文紀錄'!K:K,'2.專案函文紀錄'!P:P,"查無此案紀錄",0))</f>
        <v>https://reurl.cc/EbM8Dm</v>
      </c>
      <c r="I4" s="16" t="str">
        <f>IF(B4="","",_xlfn.XLOOKUP(B4,'2.專案函文紀錄'!K:K,'2.專案函文紀錄'!Q:Q,"查無此案紀錄",0))</f>
        <v>Z:\03.專案管控專區\桃園市政府\桃園市政府工務局\2025\115年桃園市興辦公共設施用地取得專業服務\04.專案工作事項\01.派工案件管控\1.各派工案辦理紀錄\115年_派工單號002\</v>
      </c>
      <c r="J4" s="16" t="str" cm="1">
        <f t="array" ref="J4">_xlfn.TEXTJOIN("、", TRUE, _xlfn._xlws.FILTER(IF('2.專案函文紀錄'!$D$2:$D$99="", "", '2.專案函文紀錄'!$D$2:$D$99 &amp; "_" &amp; '2.專案函文紀錄'!$E$2:$E$99), ('2.專案函文紀錄'!$H$2:$H$99 = C4) * ('2.專案函文紀錄'!$B$2:$B$99 = "桃園市政府工務局") * ('2.專案函文紀錄'!$D$2:$D$99 &lt;&gt; "查無此案紀錄"), ""))</f>
        <v>115年01月15日_桃工用字第1150001582號</v>
      </c>
      <c r="K4" s="16" t="str" cm="1">
        <f t="array" ref="K4">_xlfn.TEXTJOIN(CHAR(10), TRUE, _xlfn._xlws.FILTER(IF('2.專案函文紀錄'!$D$2:$D$99="", "", '2.專案函文紀錄'!$D$2:$D$99 &amp; "_" &amp; '2.專案函文紀錄'!$E$2:$E$99 &amp; "_" &amp; '2.專案函文紀錄'!$G$2:$G$99), ('2.專案函文紀錄'!$H$2:$H$99 = C4) * ('2.專案函文紀錄'!$B$2:$B$99 = "桃園市政府工務局") * ('2.專案函文紀錄'!$D$2:$D$99 &lt;&gt; "查無此案紀錄"), ""))</f>
        <v>115年01月15日_桃工用字第1150001582號_通知辦理115年_派工單號002</v>
      </c>
      <c r="L4" s="16" t="str" cm="1">
        <f t="array" ref="L4">_xlfn.TEXTJOIN("、", TRUE, _xlfn._xlws.FILTER(IF('2.專案函文紀錄'!$D$2:$D$99="", "", '2.專案函文紀錄'!$D$2:$D$99 &amp; "_" &amp; '2.專案函文紀錄'!$E$2:$E$99), ('2.專案函文紀錄'!$H$2:$H$99 = D4) * ('2.專案函文紀錄'!$B$2:$B$99 = "乾坤測繪科技有限公司") * ('2.專案函文紀錄'!$D$2:$D$99 &lt;&gt; "查無此案紀錄"), ""))</f>
        <v/>
      </c>
      <c r="M4" s="16" t="str" cm="1">
        <f t="array" ref="M4">_xlfn.TEXTJOIN(CHAR(10), TRUE, _xlfn._xlws.FILTER(IF('2.專案函文紀錄'!$D$2:$D$99="", "", '2.專案函文紀錄'!$D$2:$D$99 &amp; "_" &amp; '2.專案函文紀錄'!$E$2:$E$99 &amp; "_" &amp; '2.專案函文紀錄'!$G$2:$G$99), ('2.專案函文紀錄'!$H$2:$H$99 = D4) * ('2.專案函文紀錄'!$B$2:$B$99 = "乾坤測繪科技有限公司") * ('2.專案函文紀錄'!$D$2:$D$99 &lt;&gt; "查無此案紀錄"), ""))</f>
        <v/>
      </c>
      <c r="N4" s="47" t="str">
        <f>IF($D4="01地上物查估作業",#REF!, "")</f>
        <v/>
      </c>
      <c r="O4" s="15"/>
      <c r="P4" s="47" t="e">
        <f>IF($D4="02.土地協議市價查估作業",#REF!, "")</f>
        <v>#REF!</v>
      </c>
      <c r="Q4" s="15"/>
      <c r="R4" s="47" t="str">
        <f>IF($D4="03.土地徵收市價查估作業",#REF!, "")</f>
        <v/>
      </c>
      <c r="S4" s="15"/>
      <c r="T4" s="15" t="str">
        <f>IF($D4="04.相關計畫書製作",#REF!, "")</f>
        <v/>
      </c>
      <c r="U4" s="15"/>
      <c r="V4" s="15" t="str">
        <f>IF($D4="05.測量作業",#REF!, "")</f>
        <v/>
      </c>
      <c r="W4" s="15"/>
      <c r="X4" s="15" t="str">
        <f>IF($D4="06.樁位測釘作業",#REF!, "")</f>
        <v/>
      </c>
      <c r="Y4" s="15"/>
      <c r="Z4" s="53" t="str">
        <f>IF($D4="07.辦理教育訓練",#REF!, "")</f>
        <v/>
      </c>
      <c r="AA4" s="15"/>
      <c r="AB4" s="62"/>
      <c r="AC4" s="62"/>
      <c r="AD4" s="64"/>
      <c r="AE4" s="16"/>
    </row>
    <row r="5" spans="1:31" ht="120">
      <c r="A5" s="15">
        <v>3</v>
      </c>
      <c r="B5" s="25" t="s">
        <v>3171</v>
      </c>
      <c r="C5" s="16" t="str">
        <f>IF(B5="","",_xlfn.XLOOKUP(B5,'2.專案函文紀錄'!K:K,'2.專案函文紀錄'!H:H,"查無此案紀錄",0))</f>
        <v>中壢區龍岡路4-1-10M計畫道路路口瓶頸打通工程</v>
      </c>
      <c r="D5" s="15" t="str">
        <f>IF(B5="","",_xlfn.XLOOKUP(B5,'2.專案函文紀錄'!K:K,'2.專案函文紀錄'!I:I,"查無此案紀錄",0))</f>
        <v>02.土地協議市價查估作業</v>
      </c>
      <c r="E5" s="16" t="str">
        <f>IF(B5="","",_xlfn.XLOOKUP(B5,'2.專案函文紀錄'!K:K,'2.專案函文紀錄'!J:J,"查無此案紀錄",0))</f>
        <v>中壢區龍岡路4-1-10M計畫道路路口瓶頸打通工程_02.土地協議市價查估作業</v>
      </c>
      <c r="F5" s="15" t="str">
        <f>IF(B5="","",_xlfn.XLOOKUP(B5,'2.專案函文紀錄'!K:K,'2.專案函文紀錄'!N:N,"查無此案紀錄",0))</f>
        <v>約催助理 吳佳芸</v>
      </c>
      <c r="G5" s="15" t="str">
        <f>IF(B5="","",_xlfn.XLOOKUP(B5,'2.專案函文紀錄'!K:K,'2.專案函文紀錄'!O:O,"查無此案紀錄",0))</f>
        <v>全國估價師 張子亮</v>
      </c>
      <c r="H5" s="15" t="str">
        <f>IF(B5="","",_xlfn.XLOOKUP(B5,'2.專案函文紀錄'!K:K,'2.專案函文紀錄'!P:P,"查無此案紀錄",0))</f>
        <v>https://reurl.cc/rKjOr1</v>
      </c>
      <c r="I5" s="16" t="str">
        <f>IF(B5="","",_xlfn.XLOOKUP(B5,'2.專案函文紀錄'!K:K,'2.專案函文紀錄'!Q:Q,"查無此案紀錄",0))</f>
        <v>Z:\03.專案管控專區\桃園市政府\桃園市政府工務局\2025\115年桃園市興辦公共設施用地取得專業服務\04.專案工作事項\01.派工案件管控\1.各派工案辦理紀錄\115年_派工單號003\</v>
      </c>
      <c r="J5" s="16" t="str" cm="1">
        <f t="array" ref="J5">_xlfn.TEXTJOIN("、", TRUE, _xlfn._xlws.FILTER(IF('2.專案函文紀錄'!$D$2:$D$99="", "", '2.專案函文紀錄'!$D$2:$D$99 &amp; "_" &amp; '2.專案函文紀錄'!$E$2:$E$99), ('2.專案函文紀錄'!$H$2:$H$99 = C5) * ('2.專案函文紀錄'!$B$2:$B$99 = "桃園市政府工務局") * ('2.專案函文紀錄'!$D$2:$D$99 &lt;&gt; "查無此案紀錄"), ""))</f>
        <v>115年01月14日_桃工用字第1150002112號</v>
      </c>
      <c r="K5" s="16" t="str" cm="1">
        <f t="array" ref="K5">_xlfn.TEXTJOIN(CHAR(10), TRUE, _xlfn._xlws.FILTER(IF('2.專案函文紀錄'!$D$2:$D$99="", "", '2.專案函文紀錄'!$D$2:$D$99 &amp; "_" &amp; '2.專案函文紀錄'!$E$2:$E$99 &amp; "_" &amp; '2.專案函文紀錄'!$G$2:$G$99), ('2.專案函文紀錄'!$H$2:$H$99 = C5) * ('2.專案函文紀錄'!$B$2:$B$99 = "桃園市政府工務局") * ('2.專案函文紀錄'!$D$2:$D$99 &lt;&gt; "查無此案紀錄"), ""))</f>
        <v>115年01月14日_桃工用字第1150002112號_通知辦理115年_派工單號003</v>
      </c>
      <c r="L5" s="16"/>
      <c r="N5" s="47" t="str">
        <f>IF($D5="01地上物查估作業",#REF!, "")</f>
        <v/>
      </c>
      <c r="O5" s="15"/>
      <c r="P5" s="47" t="e">
        <f>IF($D5="02.土地協議市價查估作業",#REF!, "")</f>
        <v>#REF!</v>
      </c>
      <c r="Q5" s="15"/>
      <c r="R5" s="47" t="str">
        <f>IF($D5="03.土地徵收市價查估作業",#REF!, "")</f>
        <v/>
      </c>
      <c r="S5" s="15"/>
      <c r="T5" s="15" t="str">
        <f>IF($D5="04.相關計畫書製作",#REF!, "")</f>
        <v/>
      </c>
      <c r="U5" s="15"/>
      <c r="V5" s="15" t="str">
        <f>IF($D5="05.測量作業",#REF!, "")</f>
        <v/>
      </c>
      <c r="W5" s="15"/>
      <c r="X5" s="15" t="str">
        <f>IF($D5="06.樁位測釘作業",#REF!, "")</f>
        <v/>
      </c>
      <c r="Y5" s="15"/>
      <c r="Z5" s="53" t="str">
        <f>IF($D5="07.辦理教育訓練",#REF!, "")</f>
        <v/>
      </c>
      <c r="AA5" s="15"/>
      <c r="AB5" s="62"/>
      <c r="AC5" s="62"/>
      <c r="AD5" s="64"/>
      <c r="AE5" s="16"/>
    </row>
    <row r="6" spans="1:31">
      <c r="A6" s="15">
        <v>4</v>
      </c>
      <c r="B6" s="16"/>
      <c r="C6" s="16" t="str">
        <f>IF(B6="","",_xlfn.XLOOKUP(B6,#REF!,#REF!,"查無此案名(工程名稱)", 0))</f>
        <v/>
      </c>
      <c r="D6" s="15"/>
      <c r="E6" s="16" t="str">
        <f>IF(B6="","",_xlfn.XLOOKUP(B6,'2.專案函文紀錄'!K:K,'2.專案函文紀錄'!G:G,"查無此案紀錄",0))</f>
        <v/>
      </c>
      <c r="F6" s="15"/>
      <c r="G6" s="15" t="str">
        <f>IF(B6="","",_xlfn.XLOOKUP(B6,#REF!,#REF!,"查無此紀錄",0))</f>
        <v/>
      </c>
      <c r="H6" s="15" t="str">
        <f>IF(B6="","",_xlfn.XLOOKUP(B6,'2.專案函文紀錄'!K:K,'2.專案函文紀錄'!P:P,"查無此案紀錄",0))</f>
        <v/>
      </c>
      <c r="I6" s="15"/>
      <c r="J6" s="16"/>
      <c r="K6" s="27"/>
      <c r="L6" s="16"/>
      <c r="N6" s="47" t="str">
        <f>IF($D6="01地上物查估作業",#REF!, "")</f>
        <v/>
      </c>
      <c r="O6" s="15"/>
      <c r="P6" s="47" t="str">
        <f>IF($D6="02.土地協議市價查估作業",#REF!, "")</f>
        <v/>
      </c>
      <c r="Q6" s="15"/>
      <c r="R6" s="47" t="str">
        <f>IF($D6="03.土地徵收市價查估作業",#REF!, "")</f>
        <v/>
      </c>
      <c r="S6" s="15"/>
      <c r="T6" s="15" t="str">
        <f>IF($D6="04.相關計畫書製作",#REF!, "")</f>
        <v/>
      </c>
      <c r="U6" s="15"/>
      <c r="V6" s="15" t="str">
        <f>IF($D6="05.測量作業",#REF!, "")</f>
        <v/>
      </c>
      <c r="W6" s="15"/>
      <c r="X6" s="15" t="str">
        <f>IF($D6="06.樁位測釘作業",#REF!, "")</f>
        <v/>
      </c>
      <c r="Y6" s="15"/>
      <c r="Z6" s="53" t="str">
        <f>IF($D6="07.辦理教育訓練",#REF!, "")</f>
        <v/>
      </c>
      <c r="AA6" s="15"/>
      <c r="AB6" s="62"/>
      <c r="AC6" s="62"/>
      <c r="AD6" s="64"/>
      <c r="AE6" s="16"/>
    </row>
    <row r="7" spans="1:31">
      <c r="A7" s="15">
        <v>5</v>
      </c>
      <c r="B7" s="16"/>
      <c r="C7" s="16" t="str">
        <f>IF(B7="","",_xlfn.XLOOKUP(B7,#REF!,#REF!,"查無此案名(工程名稱)", 0))</f>
        <v/>
      </c>
      <c r="D7" s="15"/>
      <c r="E7" s="16" t="str">
        <f>IF(B7="","",_xlfn.XLOOKUP(B7,'2.專案函文紀錄'!K:K,'2.專案函文紀錄'!G:G,"查無此案紀錄",0))</f>
        <v/>
      </c>
      <c r="F7" s="15"/>
      <c r="G7" s="15" t="str">
        <f>IF(B7="","",_xlfn.XLOOKUP(B7,#REF!,#REF!,"查無此紀錄",0))</f>
        <v/>
      </c>
      <c r="H7" s="15" t="str">
        <f>IF(B7="","",_xlfn.XLOOKUP(B7,'2.專案函文紀錄'!K:K,'2.專案函文紀錄'!P:P,"查無此案紀錄",0))</f>
        <v/>
      </c>
      <c r="I7" s="15"/>
      <c r="J7" s="16"/>
      <c r="K7" s="27"/>
      <c r="L7" s="16"/>
      <c r="N7" s="47" t="str">
        <f>IF($D7="01地上物查估作業",#REF!, "")</f>
        <v/>
      </c>
      <c r="O7" s="15"/>
      <c r="P7" s="47" t="str">
        <f>IF($D7="02.土地協議市價查估作業",#REF!, "")</f>
        <v/>
      </c>
      <c r="Q7" s="15"/>
      <c r="R7" s="47" t="str">
        <f>IF($D7="03.土地徵收市價查估作業",#REF!, "")</f>
        <v/>
      </c>
      <c r="S7" s="15"/>
      <c r="T7" s="15" t="str">
        <f>IF($D7="04.相關計畫書製作",#REF!, "")</f>
        <v/>
      </c>
      <c r="U7" s="15"/>
      <c r="V7" s="15" t="str">
        <f>IF($D7="05.測量作業",#REF!, "")</f>
        <v/>
      </c>
      <c r="W7" s="15"/>
      <c r="X7" s="15" t="str">
        <f>IF($D7="06.樁位測釘作業",#REF!, "")</f>
        <v/>
      </c>
      <c r="Y7" s="15"/>
      <c r="Z7" s="53" t="str">
        <f>IF($D7="07.辦理教育訓練",#REF!, "")</f>
        <v/>
      </c>
      <c r="AA7" s="15"/>
      <c r="AB7" s="62"/>
      <c r="AC7" s="62"/>
      <c r="AD7" s="64"/>
      <c r="AE7" s="16"/>
    </row>
    <row r="8" spans="1:31">
      <c r="A8" s="15">
        <v>6</v>
      </c>
      <c r="B8" s="16"/>
      <c r="C8" s="16" t="str">
        <f>IF(B8="","",_xlfn.XLOOKUP(B8,#REF!,#REF!,"查無此案名(工程名稱)", 0))</f>
        <v/>
      </c>
      <c r="D8" s="15"/>
      <c r="E8" s="16" t="str">
        <f>IF(B8="","",_xlfn.XLOOKUP(B8,'2.專案函文紀錄'!K:K,'2.專案函文紀錄'!G:G,"查無此案紀錄",0))</f>
        <v/>
      </c>
      <c r="F8" s="15"/>
      <c r="G8" s="15" t="str">
        <f>IF(B8="","",_xlfn.XLOOKUP(B8,#REF!,#REF!,"查無此紀錄",0))</f>
        <v/>
      </c>
      <c r="H8" s="15" t="str">
        <f>IF(B8="","",_xlfn.XLOOKUP(B8,'2.專案函文紀錄'!K:K,'2.專案函文紀錄'!P:P,"查無此案紀錄",0))</f>
        <v/>
      </c>
      <c r="I8" s="15"/>
      <c r="J8" s="16"/>
      <c r="K8" s="27"/>
      <c r="L8" s="16"/>
      <c r="N8" s="47" t="str">
        <f>IF($D8="01地上物查估作業",#REF!, "")</f>
        <v/>
      </c>
      <c r="O8" s="15"/>
      <c r="P8" s="47" t="str">
        <f>IF($D8="02.土地協議市價查估作業",#REF!, "")</f>
        <v/>
      </c>
      <c r="Q8" s="15"/>
      <c r="R8" s="47" t="str">
        <f>IF($D8="03.土地徵收市價查估作業",#REF!, "")</f>
        <v/>
      </c>
      <c r="S8" s="15"/>
      <c r="T8" s="15" t="str">
        <f>IF($D8="04.相關計畫書製作",#REF!, "")</f>
        <v/>
      </c>
      <c r="U8" s="15"/>
      <c r="V8" s="15" t="str">
        <f>IF($D8="05.測量作業",#REF!, "")</f>
        <v/>
      </c>
      <c r="W8" s="15"/>
      <c r="X8" s="15" t="str">
        <f>IF($D8="06.樁位測釘作業",#REF!, "")</f>
        <v/>
      </c>
      <c r="Y8" s="15"/>
      <c r="Z8" s="53" t="str">
        <f>IF($D8="07.辦理教育訓練",#REF!, "")</f>
        <v/>
      </c>
      <c r="AA8" s="15"/>
      <c r="AB8" s="62"/>
      <c r="AC8" s="62"/>
      <c r="AD8" s="64"/>
      <c r="AE8" s="16"/>
    </row>
    <row r="9" spans="1:31">
      <c r="A9" s="15">
        <v>7</v>
      </c>
      <c r="B9" s="16"/>
      <c r="C9" s="16" t="str">
        <f>IF(B9="","",_xlfn.XLOOKUP(B9,#REF!,#REF!,"查無此案名(工程名稱)", 0))</f>
        <v/>
      </c>
      <c r="D9" s="15"/>
      <c r="E9" s="16" t="str">
        <f>IF(B9="","",_xlfn.XLOOKUP(B9,'2.專案函文紀錄'!K:K,'2.專案函文紀錄'!G:G,"查無此案紀錄",0))</f>
        <v/>
      </c>
      <c r="F9" s="15"/>
      <c r="G9" s="15" t="str">
        <f>IF(B9="","",_xlfn.XLOOKUP(B9,#REF!,#REF!,"查無此紀錄",0))</f>
        <v/>
      </c>
      <c r="H9" s="15" t="str">
        <f>IF(B9="","",_xlfn.XLOOKUP(B9,'2.專案函文紀錄'!K:K,'2.專案函文紀錄'!P:P,"查無此案紀錄",0))</f>
        <v/>
      </c>
      <c r="I9" s="15"/>
      <c r="J9" s="16"/>
      <c r="K9" s="27"/>
      <c r="L9" s="16"/>
      <c r="N9" s="47" t="str">
        <f>IF($D9="01地上物查估作業",#REF!, "")</f>
        <v/>
      </c>
      <c r="O9" s="15"/>
      <c r="P9" s="47" t="str">
        <f>IF($D9="02.土地協議市價查估作業",#REF!, "")</f>
        <v/>
      </c>
      <c r="Q9" s="15"/>
      <c r="R9" s="47" t="str">
        <f>IF($D9="03.土地徵收市價查估作業",#REF!, "")</f>
        <v/>
      </c>
      <c r="S9" s="15"/>
      <c r="T9" s="15" t="str">
        <f>IF($D9="04.相關計畫書製作",#REF!, "")</f>
        <v/>
      </c>
      <c r="U9" s="15"/>
      <c r="V9" s="15" t="str">
        <f>IF($D9="05.測量作業",#REF!, "")</f>
        <v/>
      </c>
      <c r="W9" s="15"/>
      <c r="X9" s="15" t="str">
        <f>IF($D9="06.樁位測釘作業",#REF!, "")</f>
        <v/>
      </c>
      <c r="Y9" s="15"/>
      <c r="Z9" s="53" t="str">
        <f>IF($D9="07.辦理教育訓練",#REF!, "")</f>
        <v/>
      </c>
      <c r="AA9" s="15"/>
      <c r="AB9" s="62"/>
      <c r="AC9" s="62"/>
      <c r="AD9" s="64"/>
      <c r="AE9" s="16"/>
    </row>
    <row r="10" spans="1:31">
      <c r="A10" s="15">
        <v>8</v>
      </c>
      <c r="B10" s="16"/>
      <c r="C10" s="16"/>
      <c r="D10" s="15"/>
      <c r="E10" s="16" t="str">
        <f>IF(B10="","",_xlfn.XLOOKUP(B10,'2.專案函文紀錄'!K:K,'2.專案函文紀錄'!G:G,"查無此案紀錄",0))</f>
        <v/>
      </c>
      <c r="F10" s="15"/>
      <c r="G10" s="15" t="str">
        <f>IF(B10="","",_xlfn.XLOOKUP(B10,#REF!,#REF!,"查無此紀錄",0))</f>
        <v/>
      </c>
      <c r="H10" s="15" t="str">
        <f>IF(B10="","",_xlfn.XLOOKUP(B10,'2.專案函文紀錄'!K:K,'2.專案函文紀錄'!P:P,"查無此案紀錄",0))</f>
        <v/>
      </c>
      <c r="I10" s="15"/>
      <c r="J10" s="16"/>
      <c r="K10" s="27"/>
      <c r="L10" s="16"/>
      <c r="N10" s="47" t="str">
        <f>IF($D10="01地上物查估作業",#REF!, "")</f>
        <v/>
      </c>
      <c r="O10" s="15"/>
      <c r="P10" s="47" t="str">
        <f>IF($D10="02.土地協議市價查估作業",#REF!, "")</f>
        <v/>
      </c>
      <c r="Q10" s="15"/>
      <c r="R10" s="47" t="str">
        <f>IF($D10="03.土地徵收市價查估作業",#REF!, "")</f>
        <v/>
      </c>
      <c r="S10" s="15"/>
      <c r="T10" s="15" t="str">
        <f>IF($D10="04.相關計畫書製作",#REF!, "")</f>
        <v/>
      </c>
      <c r="U10" s="15"/>
      <c r="V10" s="15" t="str">
        <f>IF($D10="05.測量作業",#REF!, "")</f>
        <v/>
      </c>
      <c r="W10" s="15"/>
      <c r="X10" s="15" t="str">
        <f>IF($D10="06.樁位測釘作業",#REF!, "")</f>
        <v/>
      </c>
      <c r="Y10" s="15"/>
      <c r="Z10" s="53" t="str">
        <f>IF($D10="07.辦理教育訓練",#REF!, "")</f>
        <v/>
      </c>
      <c r="AA10" s="15"/>
      <c r="AB10" s="62"/>
      <c r="AC10" s="62"/>
      <c r="AD10" s="64"/>
      <c r="AE10" s="16"/>
    </row>
    <row r="11" spans="1:31">
      <c r="A11" s="15">
        <v>9</v>
      </c>
    </row>
    <row r="12" spans="1:31">
      <c r="A12" s="15">
        <v>10</v>
      </c>
    </row>
    <row r="13" spans="1:31">
      <c r="A13" s="15">
        <v>11</v>
      </c>
    </row>
    <row r="14" spans="1:31">
      <c r="A14" s="15">
        <v>12</v>
      </c>
    </row>
    <row r="15" spans="1:31">
      <c r="A15" s="15">
        <v>13</v>
      </c>
    </row>
    <row r="16" spans="1:31">
      <c r="A16" s="15">
        <v>14</v>
      </c>
    </row>
    <row r="17" spans="1:1">
      <c r="A17" s="15">
        <v>15</v>
      </c>
    </row>
    <row r="18" spans="1:1">
      <c r="A18" s="15">
        <v>16</v>
      </c>
    </row>
    <row r="19" spans="1:1">
      <c r="A19" s="15">
        <v>17</v>
      </c>
    </row>
    <row r="20" spans="1:1">
      <c r="A20" s="15">
        <v>18</v>
      </c>
    </row>
    <row r="21" spans="1:1">
      <c r="A21" s="15">
        <v>19</v>
      </c>
    </row>
    <row r="22" spans="1:1">
      <c r="A22" s="15">
        <v>20</v>
      </c>
    </row>
    <row r="23" spans="1:1">
      <c r="A23" s="15">
        <v>21</v>
      </c>
    </row>
    <row r="24" spans="1:1">
      <c r="A24" s="15">
        <v>22</v>
      </c>
    </row>
    <row r="25" spans="1:1">
      <c r="A25" s="15">
        <v>23</v>
      </c>
    </row>
    <row r="26" spans="1:1">
      <c r="A26" s="15">
        <v>24</v>
      </c>
    </row>
    <row r="27" spans="1:1">
      <c r="A27" s="15">
        <v>25</v>
      </c>
    </row>
    <row r="28" spans="1:1">
      <c r="A28" s="15">
        <v>26</v>
      </c>
    </row>
    <row r="29" spans="1:1">
      <c r="A29" s="15">
        <v>27</v>
      </c>
    </row>
    <row r="30" spans="1:1">
      <c r="A30" s="15">
        <v>28</v>
      </c>
    </row>
    <row r="31" spans="1:1">
      <c r="A31" s="15">
        <v>29</v>
      </c>
    </row>
    <row r="32" spans="1:1">
      <c r="A32" s="15">
        <v>30</v>
      </c>
    </row>
    <row r="33" spans="1:1">
      <c r="A33" s="15">
        <v>31</v>
      </c>
    </row>
    <row r="34" spans="1:1">
      <c r="A34" s="15">
        <v>32</v>
      </c>
    </row>
    <row r="35" spans="1:1">
      <c r="A35" s="15">
        <v>33</v>
      </c>
    </row>
    <row r="36" spans="1:1">
      <c r="A36" s="15">
        <v>34</v>
      </c>
    </row>
    <row r="37" spans="1:1">
      <c r="A37" s="15">
        <v>35</v>
      </c>
    </row>
    <row r="38" spans="1:1">
      <c r="A38" s="15">
        <v>36</v>
      </c>
    </row>
    <row r="39" spans="1:1">
      <c r="A39" s="15">
        <v>37</v>
      </c>
    </row>
    <row r="40" spans="1:1">
      <c r="A40" s="15">
        <v>38</v>
      </c>
    </row>
    <row r="41" spans="1:1">
      <c r="A41" s="15">
        <v>39</v>
      </c>
    </row>
    <row r="42" spans="1:1">
      <c r="A42" s="15">
        <v>40</v>
      </c>
    </row>
    <row r="43" spans="1:1">
      <c r="A43" s="15">
        <v>41</v>
      </c>
    </row>
    <row r="44" spans="1:1">
      <c r="A44" s="15">
        <v>42</v>
      </c>
    </row>
    <row r="233" spans="20:20">
      <c r="T233" s="10" t="s">
        <v>2980</v>
      </c>
    </row>
  </sheetData>
  <autoFilter ref="A1:AD1" xr:uid="{00000000-0001-0000-0000-000000000000}">
    <filterColumn colId="13" showButton="0"/>
    <filterColumn colId="15" showButton="0"/>
    <filterColumn colId="17" showButton="0"/>
    <filterColumn colId="19" showButton="0"/>
    <filterColumn colId="21" showButton="0"/>
    <filterColumn colId="23" showButton="0"/>
  </autoFilter>
  <mergeCells count="24">
    <mergeCell ref="AC1:AC2"/>
    <mergeCell ref="AD1:AD2"/>
    <mergeCell ref="AE1:AE2"/>
    <mergeCell ref="R1:S1"/>
    <mergeCell ref="T1:U1"/>
    <mergeCell ref="V1:W1"/>
    <mergeCell ref="X1:Y1"/>
    <mergeCell ref="Z1:AA1"/>
    <mergeCell ref="AB1:AB2"/>
    <mergeCell ref="P1:Q1"/>
    <mergeCell ref="F1:F2"/>
    <mergeCell ref="G1:G2"/>
    <mergeCell ref="H1:H2"/>
    <mergeCell ref="I1:I2"/>
    <mergeCell ref="N1:O1"/>
    <mergeCell ref="J1:J2"/>
    <mergeCell ref="K1:K2"/>
    <mergeCell ref="L1:L2"/>
    <mergeCell ref="M1:M2"/>
    <mergeCell ref="A1:A2"/>
    <mergeCell ref="B1:B2"/>
    <mergeCell ref="C1:C2"/>
    <mergeCell ref="D1:D2"/>
    <mergeCell ref="E1:E2"/>
  </mergeCells>
  <phoneticPr fontId="2" type="noConversion"/>
  <conditionalFormatting sqref="C1:E1048576 G2 F3:M1048576">
    <cfRule type="containsText" dxfId="1" priority="3" operator="containsText" text="查無此">
      <formula>NOT(ISERROR(SEARCH("查無此",C1)))</formula>
    </cfRule>
  </conditionalFormatting>
  <conditionalFormatting sqref="F1:M1">
    <cfRule type="containsText" dxfId="0" priority="1" operator="containsText" text="查無此">
      <formula>NOT(ISERROR(SEARCH("查無此",F1)))</formula>
    </cfRule>
  </conditionalFormatting>
  <dataValidations count="1">
    <dataValidation type="list" allowBlank="1" showInputMessage="1" showErrorMessage="1" sqref="B1:B2 B6:B1048576" xr:uid="{41195491-3CCB-4812-B2BB-4161EEACBC16}">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D5B1FB7-AC32-44CA-BB87-C5B0F042A22C}">
          <x14:formula1>
            <xm:f>'2.專案函文紀錄'!$K:$K</xm:f>
          </x14:formula1>
          <xm:sqref>B3:B5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A0AC-1912-4D18-BA24-8929DD51A260}">
  <dimension ref="A1:A11"/>
  <sheetViews>
    <sheetView workbookViewId="0">
      <selection activeCell="A18" sqref="A18"/>
    </sheetView>
  </sheetViews>
  <sheetFormatPr defaultRowHeight="16.5"/>
  <cols>
    <col min="1" max="1" width="29.25" customWidth="1"/>
  </cols>
  <sheetData>
    <row r="1" spans="1:1">
      <c r="A1" s="13" t="s">
        <v>2999</v>
      </c>
    </row>
    <row r="2" spans="1:1" ht="17.25" thickBot="1">
      <c r="A2" t="s">
        <v>3103</v>
      </c>
    </row>
    <row r="3" spans="1:1" ht="17.25" thickBot="1">
      <c r="A3" s="29" t="s">
        <v>3034</v>
      </c>
    </row>
    <row r="4" spans="1:1" ht="17.25" thickBot="1">
      <c r="A4" s="30" t="s">
        <v>3035</v>
      </c>
    </row>
    <row r="5" spans="1:1" ht="17.25" thickBot="1">
      <c r="A5" s="30" t="s">
        <v>3036</v>
      </c>
    </row>
    <row r="6" spans="1:1" ht="17.25" thickBot="1">
      <c r="A6" s="30" t="s">
        <v>3037</v>
      </c>
    </row>
    <row r="7" spans="1:1" ht="17.25" thickBot="1">
      <c r="A7" s="30" t="s">
        <v>3038</v>
      </c>
    </row>
    <row r="8" spans="1:1" ht="17.25" thickBot="1">
      <c r="A8" s="31" t="s">
        <v>3039</v>
      </c>
    </row>
    <row r="9" spans="1:1" ht="17.25" thickBot="1">
      <c r="A9" s="31" t="s">
        <v>3040</v>
      </c>
    </row>
    <row r="10" spans="1:1" ht="17.25" thickBot="1">
      <c r="A10" s="32" t="s">
        <v>3042</v>
      </c>
    </row>
    <row r="11" spans="1:1">
      <c r="A11" t="s">
        <v>3133</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3B12E-09B9-4B5C-9110-B9BB4238DA2A}">
  <dimension ref="A1:C9"/>
  <sheetViews>
    <sheetView workbookViewId="0">
      <selection activeCell="B38" sqref="B38"/>
    </sheetView>
  </sheetViews>
  <sheetFormatPr defaultColWidth="69.75" defaultRowHeight="16.5"/>
  <cols>
    <col min="1" max="1" width="11.25" bestFit="1" customWidth="1"/>
    <col min="2" max="2" width="89.75" customWidth="1"/>
    <col min="3" max="3" width="12.625" bestFit="1" customWidth="1"/>
  </cols>
  <sheetData>
    <row r="1" spans="1:3" ht="17.25" thickBot="1">
      <c r="A1" s="2" t="s">
        <v>1</v>
      </c>
      <c r="B1" s="2" t="s">
        <v>2</v>
      </c>
      <c r="C1" s="2" t="s">
        <v>3</v>
      </c>
    </row>
    <row r="2" spans="1:3" ht="17.25" thickBot="1">
      <c r="A2" s="3" t="s">
        <v>4</v>
      </c>
      <c r="B2" s="4" t="s">
        <v>5</v>
      </c>
      <c r="C2" s="5" t="s">
        <v>6</v>
      </c>
    </row>
    <row r="3" spans="1:3" ht="17.25" thickBot="1">
      <c r="A3" s="6" t="s">
        <v>7</v>
      </c>
      <c r="B3" s="7" t="s">
        <v>8</v>
      </c>
      <c r="C3" s="8" t="s">
        <v>6</v>
      </c>
    </row>
    <row r="4" spans="1:3" ht="17.25" thickBot="1">
      <c r="A4" s="3" t="s">
        <v>9</v>
      </c>
      <c r="B4" s="4" t="s">
        <v>10</v>
      </c>
      <c r="C4" s="5" t="s">
        <v>6</v>
      </c>
    </row>
    <row r="5" spans="1:3" ht="17.25" thickBot="1">
      <c r="A5" s="6" t="s">
        <v>11</v>
      </c>
      <c r="B5" s="7" t="s">
        <v>12</v>
      </c>
      <c r="C5" s="8" t="s">
        <v>6</v>
      </c>
    </row>
    <row r="6" spans="1:3" ht="17.25" thickBot="1">
      <c r="A6" s="3" t="s">
        <v>13</v>
      </c>
      <c r="B6" s="4" t="s">
        <v>14</v>
      </c>
      <c r="C6" s="5" t="s">
        <v>6</v>
      </c>
    </row>
    <row r="7" spans="1:3" ht="17.25" thickBot="1">
      <c r="A7" s="6" t="s">
        <v>15</v>
      </c>
      <c r="B7" s="7" t="s">
        <v>16</v>
      </c>
      <c r="C7" s="8" t="s">
        <v>6</v>
      </c>
    </row>
    <row r="8" spans="1:3" ht="17.25" thickBot="1">
      <c r="A8" s="3" t="s">
        <v>17</v>
      </c>
      <c r="B8" s="4" t="s">
        <v>18</v>
      </c>
      <c r="C8" s="5" t="s">
        <v>6</v>
      </c>
    </row>
    <row r="9" spans="1:3" ht="17.25" thickBot="1">
      <c r="A9" s="6" t="s">
        <v>19</v>
      </c>
      <c r="B9" s="7" t="s">
        <v>20</v>
      </c>
      <c r="C9" s="8" t="s">
        <v>6</v>
      </c>
    </row>
  </sheetData>
  <phoneticPr fontId="2" type="noConversion"/>
  <hyperlinks>
    <hyperlink ref="B2" r:id="rId1" tooltip="機場捷運A7站區開發案區外道路（T字型聯外道路–變一）新闢工程" display="https://opc.tycg.gov.tw/News_Content.aspx?n=9371&amp;s=1589599" xr:uid="{0EAC53CF-B5E9-4780-AAAD-20453BE61F6C}"/>
    <hyperlink ref="B3" r:id="rId2" tooltip="機場捷運A7站區開發案區外道路(變二)新闢工程" display="https://opc.tycg.gov.tw/News_Content.aspx?n=9371&amp;s=1008952" xr:uid="{C3BE82DD-DCF4-4617-9431-84126D70BDB4}"/>
    <hyperlink ref="B4" r:id="rId3" tooltip="桃園市龜山區文化一路至青山路道路新闢工程" display="https://opc.tycg.gov.tw/News_Content.aspx?n=9371&amp;s=1418460" xr:uid="{DB992297-FEF3-4D42-8E5B-193B04747907}"/>
    <hyperlink ref="B5" r:id="rId4" tooltip="桃園市八德區永豐路截彎取直工程暨八德區茄苳國小通學步道及生態綠廊建置工程" display="https://opc.tycg.gov.tw/News_Content.aspx?n=9371&amp;s=1008955" xr:uid="{6F1A6DB3-5552-45F2-83C4-F3D1E7B58FC5}"/>
    <hyperlink ref="B6" r:id="rId5" tooltip="桃42線月桃路道路拓寬工程" display="https://opc.tycg.gov.tw/News_Content.aspx?n=9371&amp;s=1314374" xr:uid="{6B62D5D2-1C52-4EA1-82D0-319E3E0E93EB}"/>
    <hyperlink ref="B7" r:id="rId6" tooltip="八德區山下街打通至新興路道路新闢工程" display="https://opc.tycg.gov.tw/News_Content.aspx?n=9371&amp;s=1223276" xr:uid="{D185F941-77E1-42E5-B206-F3B8472BD8B3}"/>
    <hyperlink ref="B8" r:id="rId7" tooltip="桃園市中壢區吉林路道路拓寬工程(文中路二段-松江南路)" display="https://opc.tycg.gov.tw/News_Content.aspx?n=9371&amp;s=1008941" xr:uid="{E5DA01A5-FC6E-4A8A-B876-8DE6EBAC08E2}"/>
    <hyperlink ref="B9" r:id="rId8" tooltip="龍慈路延伸至台66線道路新闢工程(都外段)" display="https://opc.tycg.gov.tw/News_Content.aspx?n=9371&amp;s=1008953" xr:uid="{362D7715-2EE9-4C66-A316-F23E4F9525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具名範圍</vt:lpstr>
      </vt:variant>
      <vt:variant>
        <vt:i4>2</vt:i4>
      </vt:variant>
    </vt:vector>
  </HeadingPairs>
  <TitlesOfParts>
    <vt:vector size="9" baseType="lpstr">
      <vt:lpstr>#.專案通訊錄</vt:lpstr>
      <vt:lpstr>1.轄管工程清單</vt:lpstr>
      <vt:lpstr>2.專案函文紀錄</vt:lpstr>
      <vt:lpstr>3.年度派工紀錄</vt:lpstr>
      <vt:lpstr>4.契金管控紀錄</vt:lpstr>
      <vt:lpstr>欄位檢核</vt:lpstr>
      <vt:lpstr>新建工程處工程清單</vt:lpstr>
      <vt:lpstr>'3.年度派工紀錄'!_FilterDatabase</vt:lpstr>
      <vt:lpstr>'4.契金管控紀錄'!_FilterDatabase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駿穠 王</cp:lastModifiedBy>
  <dcterms:created xsi:type="dcterms:W3CDTF">2025-09-25T02:54:22Z</dcterms:created>
  <dcterms:modified xsi:type="dcterms:W3CDTF">2026-01-21T03:27:59Z</dcterms:modified>
</cp:coreProperties>
</file>