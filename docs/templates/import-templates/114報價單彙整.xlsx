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02報價單\114\"/>
    </mc:Choice>
  </mc:AlternateContent>
  <bookViews>
    <workbookView xWindow="0" yWindow="0" windowWidth="28800" windowHeight="12390"/>
  </bookViews>
  <sheets>
    <sheet name="原始" sheetId="1" r:id="rId1"/>
    <sheet name="老闆" sheetId="3" r:id="rId2"/>
    <sheet name="慶忠" sheetId="2" r:id="rId3"/>
    <sheet name="元宏" sheetId="4" r:id="rId4"/>
    <sheet name="其他" sheetId="5" r:id="rId5"/>
  </sheets>
  <definedNames>
    <definedName name="_xlnm._FilterDatabase" localSheetId="3" hidden="1">元宏!$A$1:$Y$56</definedName>
    <definedName name="_xlnm._FilterDatabase" localSheetId="1" hidden="1">老闆!$A$1:$Y$1</definedName>
    <definedName name="_xlnm._FilterDatabase" localSheetId="4" hidden="1">其他!$A$1:$Y$1</definedName>
    <definedName name="_xlnm._FilterDatabase" localSheetId="0" hidden="1">原始!$A$1:$Y$47</definedName>
    <definedName name="_xlnm._FilterDatabase" localSheetId="2" hidden="1">慶忠!$A$1:$Y$40</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08" i="1" l="1"/>
  <c r="K108" i="1" s="1"/>
  <c r="J35" i="1" l="1"/>
  <c r="K35" i="1" s="1"/>
  <c r="J40" i="1"/>
  <c r="K40" i="1" s="1"/>
  <c r="J32" i="1"/>
  <c r="K32" i="1" s="1"/>
  <c r="J26" i="1"/>
  <c r="K26" i="1" s="1"/>
  <c r="J14" i="1" l="1"/>
  <c r="K14" i="1" s="1"/>
  <c r="J13" i="1"/>
  <c r="K13" i="1" s="1"/>
  <c r="J39" i="1" l="1"/>
  <c r="K39" i="1" s="1"/>
  <c r="J31" i="1"/>
  <c r="K31" i="1" s="1"/>
  <c r="K2" i="2" l="1"/>
  <c r="K4" i="2"/>
  <c r="J5" i="2"/>
  <c r="K5" i="2"/>
  <c r="J8" i="2"/>
  <c r="K8" i="2"/>
  <c r="K3" i="2"/>
  <c r="J6" i="2"/>
  <c r="K6" i="2"/>
  <c r="K7" i="2"/>
  <c r="J9" i="2"/>
  <c r="K9" i="2"/>
  <c r="J10" i="2"/>
  <c r="K10" i="2"/>
  <c r="J11" i="2"/>
  <c r="K11" i="2"/>
  <c r="J12" i="2"/>
  <c r="K12" i="2"/>
  <c r="K13" i="2"/>
  <c r="J14" i="2"/>
  <c r="K14" i="2"/>
  <c r="J15" i="2"/>
  <c r="K15" i="2"/>
  <c r="J16" i="2"/>
  <c r="K16" i="2"/>
  <c r="K17" i="2"/>
  <c r="K18" i="2"/>
  <c r="K19" i="2"/>
  <c r="J20" i="2"/>
  <c r="K20" i="2"/>
  <c r="K21" i="2"/>
  <c r="K22" i="2"/>
  <c r="K23" i="2"/>
  <c r="J24" i="2"/>
  <c r="K24" i="2"/>
  <c r="J25" i="2"/>
  <c r="K25" i="2"/>
  <c r="J26" i="2"/>
  <c r="K26" i="2"/>
  <c r="J27" i="2"/>
  <c r="K27" i="2"/>
  <c r="J28" i="2"/>
  <c r="K28" i="2"/>
  <c r="K29" i="2"/>
  <c r="K30" i="2"/>
  <c r="J31" i="2"/>
  <c r="K31" i="2"/>
  <c r="J32" i="2"/>
  <c r="K32" i="2"/>
  <c r="J33" i="2"/>
  <c r="K33" i="2"/>
  <c r="J34" i="2"/>
  <c r="K34" i="2"/>
  <c r="J35" i="2"/>
  <c r="K35" i="2"/>
  <c r="J36" i="2"/>
  <c r="K36" i="2"/>
  <c r="K42" i="2"/>
  <c r="J30" i="2"/>
  <c r="J29" i="2"/>
  <c r="J23" i="2"/>
  <c r="J22" i="2"/>
  <c r="J21" i="2"/>
  <c r="J19" i="2"/>
  <c r="J18" i="2"/>
  <c r="J17" i="2"/>
  <c r="J13" i="2"/>
  <c r="J7" i="2"/>
  <c r="J4" i="2"/>
  <c r="J3" i="2"/>
  <c r="J2" i="2"/>
  <c r="J38" i="1"/>
  <c r="K38" i="1" s="1"/>
  <c r="J34" i="1"/>
  <c r="K34" i="1"/>
  <c r="J28" i="1"/>
  <c r="K28" i="1" s="1"/>
  <c r="J15" i="1"/>
  <c r="K15" i="1"/>
  <c r="J103" i="1"/>
  <c r="K103" i="1" s="1"/>
  <c r="J11" i="5"/>
  <c r="K11" i="5"/>
  <c r="J10" i="5"/>
  <c r="K10" i="5"/>
  <c r="J8" i="5"/>
  <c r="K8" i="5"/>
  <c r="J7" i="5"/>
  <c r="K7" i="5"/>
  <c r="J6" i="5"/>
  <c r="K6" i="5"/>
  <c r="J5" i="5"/>
  <c r="K5" i="5"/>
  <c r="J4" i="5"/>
  <c r="K4" i="5"/>
  <c r="J3" i="5"/>
  <c r="K3" i="5"/>
  <c r="J56" i="4"/>
  <c r="K56" i="4"/>
  <c r="J55" i="4"/>
  <c r="K55" i="4"/>
  <c r="K54" i="4"/>
  <c r="J54" i="4"/>
  <c r="J53" i="4"/>
  <c r="K53" i="4"/>
  <c r="J52" i="4"/>
  <c r="K52" i="4"/>
  <c r="J51" i="4"/>
  <c r="K51" i="4"/>
  <c r="J50" i="4"/>
  <c r="K50" i="4"/>
  <c r="J49" i="4"/>
  <c r="K49" i="4"/>
  <c r="J48" i="4"/>
  <c r="K48" i="4"/>
  <c r="J47" i="4"/>
  <c r="K47" i="4"/>
  <c r="K46" i="4"/>
  <c r="J46" i="4"/>
  <c r="J45" i="4"/>
  <c r="K45" i="4"/>
  <c r="J44" i="4"/>
  <c r="K44" i="4"/>
  <c r="J43" i="4"/>
  <c r="K43" i="4"/>
  <c r="J42" i="4"/>
  <c r="K42" i="4"/>
  <c r="J41" i="4"/>
  <c r="K41" i="4"/>
  <c r="J40" i="4"/>
  <c r="K40" i="4"/>
  <c r="J39" i="4"/>
  <c r="K39" i="4"/>
  <c r="J38" i="4"/>
  <c r="K38" i="4"/>
  <c r="J37" i="4"/>
  <c r="K37" i="4"/>
  <c r="J36" i="4"/>
  <c r="K36" i="4"/>
  <c r="J35" i="4"/>
  <c r="K35" i="4"/>
  <c r="J34" i="4"/>
  <c r="K34" i="4"/>
  <c r="J33" i="4"/>
  <c r="K33" i="4"/>
  <c r="J32" i="4"/>
  <c r="K32" i="4"/>
  <c r="J31" i="4"/>
  <c r="K31" i="4"/>
  <c r="K30" i="4"/>
  <c r="J30" i="4"/>
  <c r="J29" i="4"/>
  <c r="K29" i="4"/>
  <c r="J28" i="4"/>
  <c r="K28" i="4"/>
  <c r="K27" i="4"/>
  <c r="J27" i="4"/>
  <c r="J26" i="4"/>
  <c r="K26" i="4"/>
  <c r="J25" i="4"/>
  <c r="K25" i="4"/>
  <c r="K24" i="4"/>
  <c r="J24" i="4"/>
  <c r="K23" i="4"/>
  <c r="J23" i="4"/>
  <c r="J22" i="4"/>
  <c r="K22" i="4"/>
  <c r="J21" i="4"/>
  <c r="K21" i="4"/>
  <c r="K20" i="4"/>
  <c r="J20" i="4"/>
  <c r="J19" i="4"/>
  <c r="K19" i="4"/>
  <c r="J18" i="4"/>
  <c r="K18" i="4"/>
  <c r="K17" i="4"/>
  <c r="J17" i="4"/>
  <c r="K16" i="4"/>
  <c r="J16" i="4"/>
  <c r="J15" i="4"/>
  <c r="K15" i="4"/>
  <c r="J14" i="4"/>
  <c r="K14" i="4"/>
  <c r="J13" i="4"/>
  <c r="K13" i="4"/>
  <c r="J12" i="4"/>
  <c r="K12" i="4"/>
  <c r="J11" i="4"/>
  <c r="K11" i="4"/>
  <c r="J10" i="4"/>
  <c r="K10" i="4"/>
  <c r="J9" i="4"/>
  <c r="K9" i="4"/>
  <c r="J8" i="4"/>
  <c r="K8" i="4"/>
  <c r="J7" i="4"/>
  <c r="K7" i="4"/>
  <c r="J6" i="4"/>
  <c r="K6" i="4"/>
  <c r="J5" i="4"/>
  <c r="K5" i="4"/>
  <c r="J4" i="4"/>
  <c r="K4" i="4"/>
  <c r="J3" i="4"/>
  <c r="K3" i="4"/>
  <c r="K2" i="4"/>
  <c r="J2" i="4"/>
  <c r="J10" i="3"/>
  <c r="K10" i="3"/>
  <c r="J9" i="3"/>
  <c r="K9" i="3"/>
  <c r="J8" i="3"/>
  <c r="K8" i="3"/>
  <c r="J7" i="3"/>
  <c r="K7" i="3"/>
  <c r="J6" i="3"/>
  <c r="K6" i="3"/>
  <c r="J5" i="3"/>
  <c r="K5" i="3"/>
  <c r="J4" i="3"/>
  <c r="K4" i="3"/>
  <c r="J3" i="3"/>
  <c r="K3" i="3"/>
  <c r="J2" i="3"/>
  <c r="K2" i="3"/>
  <c r="J104" i="1"/>
  <c r="K104" i="1"/>
  <c r="J68" i="1"/>
  <c r="K68" i="1" s="1"/>
  <c r="J69" i="1"/>
  <c r="K69" i="1"/>
  <c r="J70" i="1"/>
  <c r="K70" i="1" s="1"/>
  <c r="J36" i="1"/>
  <c r="K36" i="1"/>
  <c r="J42" i="1"/>
  <c r="K42" i="1" s="1"/>
  <c r="J37" i="1"/>
  <c r="K37" i="1" s="1"/>
  <c r="J114" i="1"/>
  <c r="K114" i="1" s="1"/>
  <c r="J113" i="1"/>
  <c r="K113" i="1"/>
  <c r="J106" i="1"/>
  <c r="K106" i="1" s="1"/>
  <c r="J65" i="1"/>
  <c r="K65" i="1"/>
  <c r="J118" i="1"/>
  <c r="K118" i="1" s="1"/>
  <c r="J112" i="1"/>
  <c r="K112" i="1"/>
  <c r="J43" i="1"/>
  <c r="K43" i="1" s="1"/>
  <c r="J44" i="1"/>
  <c r="K44" i="1" s="1"/>
  <c r="K4" i="1"/>
  <c r="J4" i="1"/>
  <c r="J111" i="1"/>
  <c r="K111" i="1"/>
  <c r="J101" i="1"/>
  <c r="K101" i="1" s="1"/>
  <c r="J110" i="1"/>
  <c r="K110" i="1"/>
  <c r="J56" i="1"/>
  <c r="K56" i="1" s="1"/>
  <c r="J109" i="1"/>
  <c r="K109" i="1"/>
  <c r="J107" i="1"/>
  <c r="K107" i="1" s="1"/>
  <c r="J102" i="1"/>
  <c r="K102" i="1"/>
  <c r="J105" i="1"/>
  <c r="K105" i="1" s="1"/>
  <c r="J84" i="1"/>
  <c r="K84" i="1"/>
  <c r="J79" i="1"/>
  <c r="K79" i="1" s="1"/>
  <c r="J67" i="1"/>
  <c r="K67" i="1"/>
  <c r="J66" i="1"/>
  <c r="K66" i="1" s="1"/>
  <c r="J75" i="1"/>
  <c r="K75" i="1"/>
  <c r="J83" i="1"/>
  <c r="K83" i="1" s="1"/>
  <c r="J82" i="1"/>
  <c r="K82" i="1"/>
  <c r="J97" i="1"/>
  <c r="K97" i="1" s="1"/>
  <c r="J99" i="1"/>
  <c r="K99" i="1"/>
  <c r="J100" i="1"/>
  <c r="K100" i="1" s="1"/>
  <c r="J92" i="1"/>
  <c r="K92" i="1"/>
  <c r="J27" i="1"/>
  <c r="K27" i="1" s="1"/>
  <c r="J81" i="1"/>
  <c r="K81" i="1"/>
  <c r="J93" i="1"/>
  <c r="K93" i="1" s="1"/>
  <c r="J98" i="1"/>
  <c r="K98" i="1"/>
  <c r="J94" i="1"/>
  <c r="K94" i="1" s="1"/>
  <c r="J90" i="1"/>
  <c r="K90" i="1"/>
  <c r="J55" i="1"/>
  <c r="K55" i="1" s="1"/>
  <c r="J54" i="1"/>
  <c r="K54" i="1"/>
  <c r="J57" i="1"/>
  <c r="K57" i="1" s="1"/>
  <c r="J53" i="1"/>
  <c r="K53" i="1"/>
  <c r="J78" i="1"/>
  <c r="K78" i="1" s="1"/>
  <c r="J85" i="1"/>
  <c r="K85" i="1"/>
  <c r="J86" i="1"/>
  <c r="K86" i="1" s="1"/>
  <c r="J87" i="1"/>
  <c r="K87" i="1"/>
  <c r="J23" i="1"/>
  <c r="K23" i="1"/>
  <c r="J24" i="1"/>
  <c r="K24" i="1"/>
  <c r="J25" i="1"/>
  <c r="K25" i="1"/>
  <c r="J91" i="1"/>
  <c r="K91" i="1"/>
  <c r="J95" i="1"/>
  <c r="K95" i="1" s="1"/>
  <c r="J96" i="1"/>
  <c r="K96" i="1"/>
  <c r="J88" i="1"/>
  <c r="K88" i="1" s="1"/>
  <c r="J74" i="1"/>
  <c r="K74" i="1"/>
  <c r="J73" i="1"/>
  <c r="K73" i="1"/>
  <c r="J30" i="1"/>
  <c r="K30" i="1" s="1"/>
  <c r="J33" i="1"/>
  <c r="K33" i="1" s="1"/>
  <c r="J41" i="1"/>
  <c r="K41" i="1"/>
  <c r="J10" i="1"/>
  <c r="K10" i="1" s="1"/>
  <c r="J80" i="1"/>
  <c r="K80" i="1"/>
  <c r="J89" i="1"/>
  <c r="K89" i="1" s="1"/>
  <c r="J115" i="1"/>
  <c r="K115" i="1"/>
  <c r="J21" i="1"/>
  <c r="K21" i="1"/>
  <c r="J22" i="1"/>
  <c r="K22" i="1" s="1"/>
  <c r="J29" i="1"/>
  <c r="K29" i="1" s="1"/>
  <c r="J12" i="1"/>
  <c r="K12" i="1" s="1"/>
  <c r="J3" i="1"/>
  <c r="K3" i="1"/>
  <c r="J20" i="1"/>
  <c r="K20" i="1"/>
  <c r="J19" i="1"/>
  <c r="K19" i="1"/>
  <c r="J2" i="1"/>
  <c r="K2" i="1"/>
  <c r="J16" i="1"/>
  <c r="K16" i="1" s="1"/>
  <c r="J77" i="1"/>
  <c r="K77" i="1"/>
  <c r="J76" i="1"/>
  <c r="K76" i="1" s="1"/>
  <c r="J72" i="1"/>
  <c r="K72" i="1"/>
  <c r="J71" i="1"/>
  <c r="K71" i="1" s="1"/>
  <c r="J64" i="1"/>
  <c r="K64" i="1"/>
  <c r="J63" i="1"/>
  <c r="K63" i="1" s="1"/>
  <c r="J62" i="1"/>
  <c r="K62" i="1"/>
  <c r="J52" i="1"/>
  <c r="K52" i="1" s="1"/>
  <c r="J7" i="1"/>
  <c r="K7" i="1"/>
  <c r="J6" i="1"/>
  <c r="K6" i="1" s="1"/>
  <c r="J8" i="1"/>
  <c r="K8" i="1" s="1"/>
  <c r="J9" i="1"/>
  <c r="K9" i="1" s="1"/>
  <c r="J11" i="1"/>
  <c r="K11" i="1" s="1"/>
  <c r="J17" i="1"/>
  <c r="K17" i="1" s="1"/>
  <c r="J18" i="1"/>
  <c r="K18" i="1" s="1"/>
  <c r="J58" i="1"/>
  <c r="K58" i="1" s="1"/>
  <c r="J59" i="1"/>
  <c r="K59" i="1"/>
  <c r="J60" i="1"/>
  <c r="K60" i="1" s="1"/>
  <c r="J61" i="1"/>
  <c r="K61" i="1"/>
  <c r="J117" i="1"/>
  <c r="K117" i="1" s="1"/>
  <c r="J119" i="1"/>
  <c r="K119" i="1"/>
  <c r="J120" i="1"/>
  <c r="K120" i="1" s="1"/>
  <c r="J121" i="1"/>
  <c r="K121" i="1"/>
  <c r="J122" i="1"/>
  <c r="K122" i="1" s="1"/>
  <c r="J123" i="1"/>
  <c r="K123" i="1"/>
  <c r="J125" i="1"/>
  <c r="K125" i="1"/>
  <c r="J126" i="1"/>
  <c r="K126" i="1"/>
  <c r="J127" i="1"/>
  <c r="K127" i="1" s="1"/>
  <c r="J5" i="1"/>
  <c r="K5" i="1" s="1"/>
</calcChain>
</file>

<file path=xl/sharedStrings.xml><?xml version="1.0" encoding="utf-8"?>
<sst xmlns="http://schemas.openxmlformats.org/spreadsheetml/2006/main" count="2348" uniqueCount="911">
  <si>
    <t>序號</t>
    <phoneticPr fontId="3" type="noConversion"/>
  </si>
  <si>
    <t>報價單編號</t>
    <phoneticPr fontId="3" type="noConversion"/>
  </si>
  <si>
    <t>是否成立</t>
    <phoneticPr fontId="3" type="noConversion"/>
  </si>
  <si>
    <t>報價日期</t>
    <phoneticPr fontId="3" type="noConversion"/>
  </si>
  <si>
    <t>客戶名稱</t>
    <phoneticPr fontId="3" type="noConversion"/>
  </si>
  <si>
    <t>案名</t>
    <phoneticPr fontId="3" type="noConversion"/>
  </si>
  <si>
    <t>工作地點</t>
    <phoneticPr fontId="3" type="noConversion"/>
  </si>
  <si>
    <t xml:space="preserve">報價金額 </t>
    <phoneticPr fontId="3" type="noConversion"/>
  </si>
  <si>
    <t>稅內含</t>
    <phoneticPr fontId="3" type="noConversion"/>
  </si>
  <si>
    <t>稅額</t>
    <phoneticPr fontId="3" type="noConversion"/>
  </si>
  <si>
    <t>總價</t>
    <phoneticPr fontId="3" type="noConversion"/>
  </si>
  <si>
    <t>實收金額</t>
    <phoneticPr fontId="3" type="noConversion"/>
  </si>
  <si>
    <t>收款日期</t>
    <phoneticPr fontId="3" type="noConversion"/>
  </si>
  <si>
    <t>配合廠商</t>
    <phoneticPr fontId="3" type="noConversion"/>
  </si>
  <si>
    <t>支出金額</t>
    <phoneticPr fontId="3" type="noConversion"/>
  </si>
  <si>
    <t>聯絡人</t>
    <phoneticPr fontId="3" type="noConversion"/>
  </si>
  <si>
    <t>電話</t>
    <phoneticPr fontId="3" type="noConversion"/>
  </si>
  <si>
    <t>行動電話</t>
    <phoneticPr fontId="3" type="noConversion"/>
  </si>
  <si>
    <t>傳真</t>
    <phoneticPr fontId="3" type="noConversion"/>
  </si>
  <si>
    <t>統一編號</t>
    <phoneticPr fontId="3" type="noConversion"/>
  </si>
  <si>
    <t>E-mail</t>
    <phoneticPr fontId="3" type="noConversion"/>
  </si>
  <si>
    <t>地址</t>
    <phoneticPr fontId="3" type="noConversion"/>
  </si>
  <si>
    <t>備註</t>
    <phoneticPr fontId="3" type="noConversion"/>
  </si>
  <si>
    <t>發票日</t>
    <phoneticPr fontId="3" type="noConversion"/>
  </si>
  <si>
    <t>印花</t>
    <phoneticPr fontId="3" type="noConversion"/>
  </si>
  <si>
    <t>v</t>
  </si>
  <si>
    <t>B114-B008-1</t>
    <phoneticPr fontId="3" type="noConversion"/>
  </si>
  <si>
    <t>114.03.10</t>
    <phoneticPr fontId="3" type="noConversion"/>
  </si>
  <si>
    <t>先創國際股份有限公司</t>
    <phoneticPr fontId="3" type="noConversion"/>
  </si>
  <si>
    <t>中鋼土方報告技師簽證</t>
    <phoneticPr fontId="3" type="noConversion"/>
  </si>
  <si>
    <t>許博誠 經理</t>
    <phoneticPr fontId="3" type="noConversion"/>
  </si>
  <si>
    <t>0987-170260</t>
    <phoneticPr fontId="3" type="noConversion"/>
  </si>
  <si>
    <t>80282240</t>
    <phoneticPr fontId="3" type="noConversion"/>
  </si>
  <si>
    <t>高雄市三民路九如一路502號13樓B6</t>
    <phoneticPr fontId="3" type="noConversion"/>
  </si>
  <si>
    <t>B114-D001</t>
    <phoneticPr fontId="3" type="noConversion"/>
  </si>
  <si>
    <t>114.02.07</t>
    <phoneticPr fontId="3" type="noConversion"/>
  </si>
  <si>
    <t>青山工程顧問股份有限公司</t>
    <phoneticPr fontId="3" type="noConversion"/>
  </si>
  <si>
    <t>台8線117K+400測量工作</t>
    <phoneticPr fontId="3" type="noConversion"/>
  </si>
  <si>
    <t>南投市</t>
    <phoneticPr fontId="3" type="noConversion"/>
  </si>
  <si>
    <t>賴兆偉</t>
    <phoneticPr fontId="3" type="noConversion"/>
  </si>
  <si>
    <t>v</t>
    <phoneticPr fontId="3" type="noConversion"/>
  </si>
  <si>
    <t>v</t>
    <phoneticPr fontId="3" type="noConversion"/>
  </si>
  <si>
    <t>114.03.13</t>
    <phoneticPr fontId="3" type="noConversion"/>
  </si>
  <si>
    <t>華筱晨</t>
    <phoneticPr fontId="3" type="noConversion"/>
  </si>
  <si>
    <t>太平區欣欣段558地號建築線測量</t>
  </si>
  <si>
    <t>太平區欣欣段558地號</t>
    <phoneticPr fontId="3" type="noConversion"/>
  </si>
  <si>
    <t>台中市南屯區文心南一路49號</t>
    <phoneticPr fontId="3" type="noConversion"/>
  </si>
  <si>
    <t>B114-C002-1</t>
    <phoneticPr fontId="3" type="noConversion"/>
  </si>
  <si>
    <t>114.02.04</t>
    <phoneticPr fontId="3" type="noConversion"/>
  </si>
  <si>
    <t>理仁建設股份有限公司</t>
    <phoneticPr fontId="3" type="noConversion"/>
  </si>
  <si>
    <t>建物第一次測量</t>
    <phoneticPr fontId="3" type="noConversion"/>
  </si>
  <si>
    <t>西屯區惠來厝段787地號</t>
    <phoneticPr fontId="3" type="noConversion"/>
  </si>
  <si>
    <t>倪慶忠</t>
    <phoneticPr fontId="3" type="noConversion"/>
  </si>
  <si>
    <t>0912-040599</t>
    <phoneticPr fontId="3" type="noConversion"/>
  </si>
  <si>
    <t>28042425</t>
    <phoneticPr fontId="3" type="noConversion"/>
  </si>
  <si>
    <t>臺中市西屯區協和里安和一街89號3樓</t>
  </si>
  <si>
    <t>114.04.24</t>
    <phoneticPr fontId="3" type="noConversion"/>
  </si>
  <si>
    <t>B114-B005-0</t>
    <phoneticPr fontId="3" type="noConversion"/>
  </si>
  <si>
    <t>114.02.17</t>
    <phoneticPr fontId="3" type="noConversion"/>
  </si>
  <si>
    <t>長富營造有限公司</t>
    <phoneticPr fontId="3" type="noConversion"/>
  </si>
  <si>
    <t>空軍貿易六村職務宿舍興建統包工程-透地雷達測量及補充基地測量</t>
    <phoneticPr fontId="3" type="noConversion"/>
  </si>
  <si>
    <t>台東縣台東市</t>
    <phoneticPr fontId="3" type="noConversion"/>
  </si>
  <si>
    <t>03-8525367</t>
    <phoneticPr fontId="3" type="noConversion"/>
  </si>
  <si>
    <t>89386457</t>
    <phoneticPr fontId="3" type="noConversion"/>
  </si>
  <si>
    <t>B114-B009-0</t>
    <phoneticPr fontId="3" type="noConversion"/>
  </si>
  <si>
    <t>114.03.06</t>
    <phoneticPr fontId="3" type="noConversion"/>
  </si>
  <si>
    <t>嘉義馬稠後滯洪池 現況地形測量</t>
    <phoneticPr fontId="3" type="noConversion"/>
  </si>
  <si>
    <t>嘉義馬稠後滯洪池</t>
    <phoneticPr fontId="3" type="noConversion"/>
  </si>
  <si>
    <t>02-27598687</t>
    <phoneticPr fontId="3" type="noConversion"/>
  </si>
  <si>
    <t>77184337</t>
    <phoneticPr fontId="3" type="noConversion"/>
  </si>
  <si>
    <t>台北市南港區忠孝東路六段85號10樓</t>
    <phoneticPr fontId="3" type="noConversion"/>
  </si>
  <si>
    <t>114.05.16</t>
    <phoneticPr fontId="3" type="noConversion"/>
  </si>
  <si>
    <t>B114-B012-0</t>
    <phoneticPr fontId="3" type="noConversion"/>
  </si>
  <si>
    <t>114.04.08</t>
    <phoneticPr fontId="3" type="noConversion"/>
  </si>
  <si>
    <t>鄭志宏</t>
    <phoneticPr fontId="3" type="noConversion"/>
  </si>
  <si>
    <t>透地雷達測量</t>
    <phoneticPr fontId="3" type="noConversion"/>
  </si>
  <si>
    <t>基隆市中山區中山一路265號</t>
    <phoneticPr fontId="3" type="noConversion"/>
  </si>
  <si>
    <t>B114-B014-1</t>
    <phoneticPr fontId="3" type="noConversion"/>
  </si>
  <si>
    <t>114.04.18</t>
    <phoneticPr fontId="3" type="noConversion"/>
  </si>
  <si>
    <t>浲州營造工程有限公司</t>
    <phoneticPr fontId="3" type="noConversion"/>
  </si>
  <si>
    <t>嘉64線拓寬改善工程空拍及正射影像製作</t>
    <phoneticPr fontId="3" type="noConversion"/>
  </si>
  <si>
    <t>嘉64線拓寬改善工程</t>
    <phoneticPr fontId="3" type="noConversion"/>
  </si>
  <si>
    <t>林麗君</t>
    <phoneticPr fontId="3" type="noConversion"/>
  </si>
  <si>
    <t>05-3479088</t>
    <phoneticPr fontId="3" type="noConversion"/>
  </si>
  <si>
    <t>05-3478862</t>
    <phoneticPr fontId="3" type="noConversion"/>
  </si>
  <si>
    <t>24271208</t>
    <phoneticPr fontId="3" type="noConversion"/>
  </si>
  <si>
    <t>嘉義縣布袋鎮新北路59號1樓</t>
    <phoneticPr fontId="3" type="noConversion"/>
  </si>
  <si>
    <t>B114-A001-1</t>
    <phoneticPr fontId="3" type="noConversion"/>
  </si>
  <si>
    <t>114.02.24</t>
    <phoneticPr fontId="3" type="noConversion"/>
  </si>
  <si>
    <t>千瑞工程顧問有限公司</t>
    <phoneticPr fontId="3" type="noConversion"/>
  </si>
  <si>
    <t>台中市十甲東路56號建物</t>
    <phoneticPr fontId="3" type="noConversion"/>
  </si>
  <si>
    <t>陳奕聰 總經理</t>
    <phoneticPr fontId="3" type="noConversion"/>
  </si>
  <si>
    <t>張雅程 負責人</t>
    <phoneticPr fontId="3" type="noConversion"/>
  </si>
  <si>
    <t>楊慶山 技師</t>
    <phoneticPr fontId="3" type="noConversion"/>
  </si>
  <si>
    <t>04-22857666</t>
    <phoneticPr fontId="3" type="noConversion"/>
  </si>
  <si>
    <t>04-22863676</t>
    <phoneticPr fontId="3" type="noConversion"/>
  </si>
  <si>
    <t>61913611</t>
    <phoneticPr fontId="3" type="noConversion"/>
  </si>
  <si>
    <t>台中市南區正義街133巷18號</t>
    <phoneticPr fontId="3" type="noConversion"/>
  </si>
  <si>
    <t>B114-C001-1</t>
    <phoneticPr fontId="3" type="noConversion"/>
  </si>
  <si>
    <t>114.01.09</t>
    <phoneticPr fontId="3" type="noConversion"/>
  </si>
  <si>
    <t>劉庚霖之繼承人(4人)</t>
    <phoneticPr fontId="3" type="noConversion"/>
  </si>
  <si>
    <t>現況測量</t>
    <phoneticPr fontId="3" type="noConversion"/>
  </si>
  <si>
    <t>台中市石岡區新萬興段534地號</t>
    <phoneticPr fontId="3" type="noConversion"/>
  </si>
  <si>
    <t>陳秋嫚</t>
    <phoneticPr fontId="3" type="noConversion"/>
  </si>
  <si>
    <t>0936-959319</t>
    <phoneticPr fontId="3" type="noConversion"/>
  </si>
  <si>
    <t>不開發票</t>
    <phoneticPr fontId="3" type="noConversion"/>
  </si>
  <si>
    <t>B114-C004-0</t>
    <phoneticPr fontId="3" type="noConversion"/>
  </si>
  <si>
    <t>114.02.20</t>
    <phoneticPr fontId="3" type="noConversion"/>
  </si>
  <si>
    <t>采縈開發建設有限公司</t>
    <phoneticPr fontId="3" type="noConversion"/>
  </si>
  <si>
    <t>建物標示圖簽證</t>
    <phoneticPr fontId="3" type="noConversion"/>
  </si>
  <si>
    <t>大雅區科雅段74地號等4筆</t>
    <phoneticPr fontId="3" type="noConversion"/>
  </si>
  <si>
    <t>徐瑛宜 代書</t>
    <phoneticPr fontId="3" type="noConversion"/>
  </si>
  <si>
    <t>04-23756998</t>
    <phoneticPr fontId="3" type="noConversion"/>
  </si>
  <si>
    <t>04-23756990</t>
    <phoneticPr fontId="3" type="noConversion"/>
  </si>
  <si>
    <t>台中市西區公館路114號</t>
    <phoneticPr fontId="3" type="noConversion"/>
  </si>
  <si>
    <t>114.02.27</t>
    <phoneticPr fontId="3" type="noConversion"/>
  </si>
  <si>
    <t>B114-C006-0</t>
    <phoneticPr fontId="3" type="noConversion"/>
  </si>
  <si>
    <t>B114-C008-1</t>
    <phoneticPr fontId="3" type="noConversion"/>
  </si>
  <si>
    <t>114.03.04</t>
    <phoneticPr fontId="3" type="noConversion"/>
  </si>
  <si>
    <t>B114-C016-0</t>
    <phoneticPr fontId="3" type="noConversion"/>
  </si>
  <si>
    <t>B114-C021-0</t>
    <phoneticPr fontId="3" type="noConversion"/>
  </si>
  <si>
    <t>B114-C009-0</t>
    <phoneticPr fontId="3" type="noConversion"/>
  </si>
  <si>
    <t>114.03.31</t>
    <phoneticPr fontId="3" type="noConversion"/>
  </si>
  <si>
    <t>114.03.07</t>
    <phoneticPr fontId="3" type="noConversion"/>
  </si>
  <si>
    <t>114.04.16</t>
    <phoneticPr fontId="3" type="noConversion"/>
  </si>
  <si>
    <t>喜吾家建設股份有限公司</t>
    <phoneticPr fontId="3" type="noConversion"/>
  </si>
  <si>
    <t>建物第一次測量</t>
    <phoneticPr fontId="3" type="noConversion"/>
  </si>
  <si>
    <t>北屯區長安段264地號</t>
    <phoneticPr fontId="3" type="noConversion"/>
  </si>
  <si>
    <t>董淑英 地政士</t>
    <phoneticPr fontId="3" type="noConversion"/>
  </si>
  <si>
    <t>0955-907029</t>
    <phoneticPr fontId="3" type="noConversion"/>
  </si>
  <si>
    <t>83385332</t>
    <phoneticPr fontId="3" type="noConversion"/>
  </si>
  <si>
    <t>台中市西區台灣大道二段218號6樓之2</t>
    <phoneticPr fontId="3" type="noConversion"/>
  </si>
  <si>
    <t>114.05.02</t>
    <phoneticPr fontId="3" type="noConversion"/>
  </si>
  <si>
    <t>昶翰科技股份有限公司</t>
    <phoneticPr fontId="3" type="noConversion"/>
  </si>
  <si>
    <t>神岡區社南段523地號</t>
    <phoneticPr fontId="3" type="noConversion"/>
  </si>
  <si>
    <t>白沅青 地政士</t>
    <phoneticPr fontId="3" type="noConversion"/>
  </si>
  <si>
    <t>53785368</t>
    <phoneticPr fontId="3" type="noConversion"/>
  </si>
  <si>
    <t>大雅郵局355信箱</t>
    <phoneticPr fontId="3" type="noConversion"/>
  </si>
  <si>
    <t>114.03.20</t>
    <phoneticPr fontId="3" type="noConversion"/>
  </si>
  <si>
    <t>任泰技術顧問有限公司</t>
    <phoneticPr fontId="3" type="noConversion"/>
  </si>
  <si>
    <t>地形測量</t>
    <phoneticPr fontId="3" type="noConversion"/>
  </si>
  <si>
    <t>東豐自行車道</t>
    <phoneticPr fontId="3" type="noConversion"/>
  </si>
  <si>
    <t xml:space="preserve">薛宏裕 </t>
    <phoneticPr fontId="3" type="noConversion"/>
  </si>
  <si>
    <t>0935-265228</t>
    <phoneticPr fontId="3" type="noConversion"/>
  </si>
  <si>
    <t>築心建設有限公司</t>
    <phoneticPr fontId="3" type="noConversion"/>
  </si>
  <si>
    <t>沙鹿區大學段276地號</t>
    <phoneticPr fontId="3" type="noConversion"/>
  </si>
  <si>
    <t>徐佳瑜 地政士</t>
    <phoneticPr fontId="3" type="noConversion"/>
  </si>
  <si>
    <t>04-22517075</t>
    <phoneticPr fontId="3" type="noConversion"/>
  </si>
  <si>
    <t>114.04.02</t>
    <phoneticPr fontId="3" type="noConversion"/>
  </si>
  <si>
    <t>專誠開發實業有限公司</t>
    <phoneticPr fontId="3" type="noConversion"/>
  </si>
  <si>
    <t>北屯區北屯段268-35地號</t>
    <phoneticPr fontId="3" type="noConversion"/>
  </si>
  <si>
    <t>B114-C025-0</t>
    <phoneticPr fontId="3" type="noConversion"/>
  </si>
  <si>
    <t>B114-C026-0</t>
    <phoneticPr fontId="3" type="noConversion"/>
  </si>
  <si>
    <t>114.05.09</t>
    <phoneticPr fontId="3" type="noConversion"/>
  </si>
  <si>
    <t>114.05.19</t>
    <phoneticPr fontId="3" type="noConversion"/>
  </si>
  <si>
    <t>弘昌泰股份有限公司</t>
    <phoneticPr fontId="3" type="noConversion"/>
  </si>
  <si>
    <t>余志潔</t>
    <phoneticPr fontId="3" type="noConversion"/>
  </si>
  <si>
    <t>東勢區延平段456等地號</t>
    <phoneticPr fontId="3" type="noConversion"/>
  </si>
  <si>
    <t>北屯區環中段199地號</t>
    <phoneticPr fontId="3" type="noConversion"/>
  </si>
  <si>
    <t>林榆娟 地政士</t>
    <phoneticPr fontId="3" type="noConversion"/>
  </si>
  <si>
    <t>曾瓊慧 地政士</t>
    <phoneticPr fontId="3" type="noConversion"/>
  </si>
  <si>
    <t>吳沛卿 地政士</t>
    <phoneticPr fontId="3" type="noConversion"/>
  </si>
  <si>
    <t>04-22517075</t>
    <phoneticPr fontId="3" type="noConversion"/>
  </si>
  <si>
    <t>0932-608872</t>
    <phoneticPr fontId="3" type="noConversion"/>
  </si>
  <si>
    <t>0920-200949</t>
    <phoneticPr fontId="3" type="noConversion"/>
  </si>
  <si>
    <t>83138699</t>
    <phoneticPr fontId="3" type="noConversion"/>
  </si>
  <si>
    <t>114.05.20</t>
    <phoneticPr fontId="3" type="noConversion"/>
  </si>
  <si>
    <t>114.05.05</t>
    <phoneticPr fontId="3" type="noConversion"/>
  </si>
  <si>
    <t>不開發票</t>
    <phoneticPr fontId="3" type="noConversion"/>
  </si>
  <si>
    <t>114.05.21</t>
    <phoneticPr fontId="3" type="noConversion"/>
  </si>
  <si>
    <t>B114-B022-0</t>
    <phoneticPr fontId="3" type="noConversion"/>
  </si>
  <si>
    <t>114.06.02</t>
    <phoneticPr fontId="3" type="noConversion"/>
  </si>
  <si>
    <t>華筱晨</t>
    <phoneticPr fontId="3" type="noConversion"/>
  </si>
  <si>
    <t>華筱晨</t>
    <phoneticPr fontId="3" type="noConversion"/>
  </si>
  <si>
    <t>04-37077356</t>
    <phoneticPr fontId="3" type="noConversion"/>
  </si>
  <si>
    <t>83716494</t>
    <phoneticPr fontId="3" type="noConversion"/>
  </si>
  <si>
    <t>B114-B021-2</t>
    <phoneticPr fontId="3" type="noConversion"/>
  </si>
  <si>
    <t>B114-B023-0</t>
    <phoneticPr fontId="3" type="noConversion"/>
  </si>
  <si>
    <t>114.06.05</t>
    <phoneticPr fontId="3" type="noConversion"/>
  </si>
  <si>
    <t>114.06.09</t>
    <phoneticPr fontId="3" type="noConversion"/>
  </si>
  <si>
    <t>新莊副都心透地雷達測量</t>
    <phoneticPr fontId="3" type="noConversion"/>
  </si>
  <si>
    <t>新北市新莊區</t>
    <phoneticPr fontId="3" type="noConversion"/>
  </si>
  <si>
    <t>張景策 技師</t>
    <phoneticPr fontId="3" type="noConversion"/>
  </si>
  <si>
    <t>02-22118015</t>
    <phoneticPr fontId="3" type="noConversion"/>
  </si>
  <si>
    <t>0983-212428</t>
    <phoneticPr fontId="3" type="noConversion"/>
  </si>
  <si>
    <t>02-22115919</t>
    <phoneticPr fontId="3" type="noConversion"/>
  </si>
  <si>
    <t>84828573</t>
    <phoneticPr fontId="3" type="noConversion"/>
  </si>
  <si>
    <t>新北市新店區安興路115號12樓</t>
    <phoneticPr fontId="3" type="noConversion"/>
  </si>
  <si>
    <t>新竹縣竹北市新工五路11號10樓之1</t>
    <phoneticPr fontId="3" type="noConversion"/>
  </si>
  <si>
    <t>山銘工程顧問有限公司</t>
    <phoneticPr fontId="3" type="noConversion"/>
  </si>
  <si>
    <t>中國砂輪企業股份有限公司竹北廠現況測量</t>
    <phoneticPr fontId="3" type="noConversion"/>
  </si>
  <si>
    <t>新竹縣竹北市十興路260號(新竹縣竹北市水瀧段1429地號-部分)</t>
    <phoneticPr fontId="3" type="noConversion"/>
  </si>
  <si>
    <t>羅健倫 技師</t>
    <phoneticPr fontId="3" type="noConversion"/>
  </si>
  <si>
    <t>03-5559777</t>
    <phoneticPr fontId="3" type="noConversion"/>
  </si>
  <si>
    <t>03-5559825</t>
  </si>
  <si>
    <t>0953-288589</t>
    <phoneticPr fontId="3" type="noConversion"/>
  </si>
  <si>
    <t>25057562</t>
    <phoneticPr fontId="3" type="noConversion"/>
  </si>
  <si>
    <t>cllo0718910@gmail.com</t>
    <phoneticPr fontId="3" type="noConversion"/>
  </si>
  <si>
    <t>B114-B001-1</t>
    <phoneticPr fontId="3" type="noConversion"/>
  </si>
  <si>
    <t>114.02.03</t>
    <phoneticPr fontId="3" type="noConversion"/>
  </si>
  <si>
    <t>漢陽營區新建二級廠統包工程-測量項目</t>
    <phoneticPr fontId="3" type="noConversion"/>
  </si>
  <si>
    <t>漢陽營區</t>
    <phoneticPr fontId="3" type="noConversion"/>
  </si>
  <si>
    <t>賴柏臻</t>
    <phoneticPr fontId="3" type="noConversion"/>
  </si>
  <si>
    <t>04-22016369</t>
    <phoneticPr fontId="3" type="noConversion"/>
  </si>
  <si>
    <t>85998906</t>
    <phoneticPr fontId="3" type="noConversion"/>
  </si>
  <si>
    <t>B114-B025-0</t>
    <phoneticPr fontId="3" type="noConversion"/>
  </si>
  <si>
    <t>114.06.12</t>
    <phoneticPr fontId="3" type="noConversion"/>
  </si>
  <si>
    <t>洪得雄建築師事務所</t>
    <phoneticPr fontId="3" type="noConversion"/>
  </si>
  <si>
    <t>洪得雄建築師事務所</t>
    <phoneticPr fontId="3" type="noConversion"/>
  </si>
  <si>
    <t>桃園市楊梅區高獅段827號(部分)現況測量</t>
    <phoneticPr fontId="3" type="noConversion"/>
  </si>
  <si>
    <t>桃園市楊梅區</t>
    <phoneticPr fontId="3" type="noConversion"/>
  </si>
  <si>
    <t>洪得雄 建築師</t>
    <phoneticPr fontId="3" type="noConversion"/>
  </si>
  <si>
    <t>04-22016369</t>
    <phoneticPr fontId="3" type="noConversion"/>
  </si>
  <si>
    <t>85998906</t>
    <phoneticPr fontId="3" type="noConversion"/>
  </si>
  <si>
    <t>hth85998906@gmail.com</t>
    <phoneticPr fontId="3" type="noConversion"/>
  </si>
  <si>
    <t>hth85998906@gmail.com</t>
    <phoneticPr fontId="3" type="noConversion"/>
  </si>
  <si>
    <t>台中市北區五權路281號</t>
    <phoneticPr fontId="3" type="noConversion"/>
  </si>
  <si>
    <t>台中市北區五權路281號</t>
    <phoneticPr fontId="3" type="noConversion"/>
  </si>
  <si>
    <t>紹華營造股份有限公司</t>
    <phoneticPr fontId="3" type="noConversion"/>
  </si>
  <si>
    <t>北屯區陳平段2971地號建築線測量</t>
    <phoneticPr fontId="3" type="noConversion"/>
  </si>
  <si>
    <t>台中市十甲路56號建物傾斜及高程測量</t>
    <phoneticPr fontId="3" type="noConversion"/>
  </si>
  <si>
    <t>114.06.11</t>
    <phoneticPr fontId="3" type="noConversion"/>
  </si>
  <si>
    <t>B114-B026-0</t>
    <phoneticPr fontId="3" type="noConversion"/>
  </si>
  <si>
    <t>114.06.18</t>
    <phoneticPr fontId="3" type="noConversion"/>
  </si>
  <si>
    <t>紹華營造股份有限公司</t>
    <phoneticPr fontId="3" type="noConversion"/>
  </si>
  <si>
    <t>永翠76透地雷達測量</t>
    <phoneticPr fontId="3" type="noConversion"/>
  </si>
  <si>
    <t>新北市板橋區</t>
    <phoneticPr fontId="3" type="noConversion"/>
  </si>
  <si>
    <t>鄭志宏 技師</t>
    <phoneticPr fontId="3" type="noConversion"/>
  </si>
  <si>
    <t>02-22118015</t>
    <phoneticPr fontId="3" type="noConversion"/>
  </si>
  <si>
    <t>0983-212428</t>
    <phoneticPr fontId="3" type="noConversion"/>
  </si>
  <si>
    <t>02-22115919</t>
    <phoneticPr fontId="3" type="noConversion"/>
  </si>
  <si>
    <t>84828573</t>
    <phoneticPr fontId="3" type="noConversion"/>
  </si>
  <si>
    <t>114.06.13</t>
    <phoneticPr fontId="3" type="noConversion"/>
  </si>
  <si>
    <t>B114-B003-0</t>
    <phoneticPr fontId="3" type="noConversion"/>
  </si>
  <si>
    <t>114.02.11</t>
    <phoneticPr fontId="3" type="noConversion"/>
  </si>
  <si>
    <t>建邦土木結構技師事務所</t>
    <phoneticPr fontId="3" type="noConversion"/>
  </si>
  <si>
    <t>建邦土木結構技師事務所</t>
    <phoneticPr fontId="3" type="noConversion"/>
  </si>
  <si>
    <t>興龍機械廠有限公司透地雷達測量</t>
    <phoneticPr fontId="3" type="noConversion"/>
  </si>
  <si>
    <t>新北市三重區五谷王南街11巷</t>
    <phoneticPr fontId="3" type="noConversion"/>
  </si>
  <si>
    <t>金額改為含稅14萬  發票抬頭：建邦工程顧問有限公司   統編：95427384</t>
    <phoneticPr fontId="3" type="noConversion"/>
  </si>
  <si>
    <t>金額改為含稅4萬</t>
    <phoneticPr fontId="3" type="noConversion"/>
  </si>
  <si>
    <t>114.07.02</t>
    <phoneticPr fontId="3" type="noConversion"/>
  </si>
  <si>
    <t>張雅程 負責人</t>
    <phoneticPr fontId="3" type="noConversion"/>
  </si>
  <si>
    <t>02-27598687</t>
  </si>
  <si>
    <t>77184337</t>
  </si>
  <si>
    <t>台北市南港區忠孝東路六段85號10樓</t>
  </si>
  <si>
    <t>B114-B016-0</t>
    <phoneticPr fontId="3" type="noConversion"/>
  </si>
  <si>
    <t>114.04.22</t>
    <phoneticPr fontId="3" type="noConversion"/>
  </si>
  <si>
    <t>透地雷達測量</t>
    <phoneticPr fontId="3" type="noConversion"/>
  </si>
  <si>
    <t>新北市五股區成泰路三段171號</t>
    <phoneticPr fontId="3" type="noConversion"/>
  </si>
  <si>
    <t>林宜靜 技師</t>
    <phoneticPr fontId="3" type="noConversion"/>
  </si>
  <si>
    <t>發票寄：新北市永和區中山路一段19號 楊濟碩</t>
    <phoneticPr fontId="3" type="noConversion"/>
  </si>
  <si>
    <t>金額改為含稅12萬</t>
    <phoneticPr fontId="3" type="noConversion"/>
  </si>
  <si>
    <t>B114-B027-0</t>
    <phoneticPr fontId="3" type="noConversion"/>
  </si>
  <si>
    <t>v</t>
    <phoneticPr fontId="3" type="noConversion"/>
  </si>
  <si>
    <t>114.06.25</t>
    <phoneticPr fontId="3" type="noConversion"/>
  </si>
  <si>
    <t>B114-B028-0</t>
    <phoneticPr fontId="3" type="noConversion"/>
  </si>
  <si>
    <t>114.07.01</t>
    <phoneticPr fontId="3" type="noConversion"/>
  </si>
  <si>
    <t>容健浩建築師事務所</t>
    <phoneticPr fontId="3" type="noConversion"/>
  </si>
  <si>
    <t>臺中市梧棲區南簡公園現況測量</t>
    <phoneticPr fontId="3" type="noConversion"/>
  </si>
  <si>
    <t>承優營造股份有限公司</t>
    <phoneticPr fontId="3" type="noConversion"/>
  </si>
  <si>
    <t>五谷王南街透地雷達</t>
    <phoneticPr fontId="3" type="noConversion"/>
  </si>
  <si>
    <t>新北市三重區五谷王南街</t>
    <phoneticPr fontId="3" type="noConversion"/>
  </si>
  <si>
    <t>v</t>
    <phoneticPr fontId="3" type="noConversion"/>
  </si>
  <si>
    <t>金額改為含稅3萬</t>
    <phoneticPr fontId="3" type="noConversion"/>
  </si>
  <si>
    <t>臺中市西屯區市政南二路10號4樓</t>
    <phoneticPr fontId="3" type="noConversion"/>
  </si>
  <si>
    <t>林國雍</t>
    <phoneticPr fontId="3" type="noConversion"/>
  </si>
  <si>
    <t>04-22510036</t>
    <phoneticPr fontId="3" type="noConversion"/>
  </si>
  <si>
    <t>runglin.atelier@gmail.com</t>
    <phoneticPr fontId="3" type="noConversion"/>
  </si>
  <si>
    <t>臺中市梧棲區南簡公園</t>
    <phoneticPr fontId="3" type="noConversion"/>
  </si>
  <si>
    <t>陳健平 主任</t>
    <phoneticPr fontId="3" type="noConversion"/>
  </si>
  <si>
    <t>02-22116620</t>
    <phoneticPr fontId="3" type="noConversion"/>
  </si>
  <si>
    <t>02-22115919</t>
    <phoneticPr fontId="3" type="noConversion"/>
  </si>
  <si>
    <t>86199233</t>
    <phoneticPr fontId="3" type="noConversion"/>
  </si>
  <si>
    <t>93343184</t>
    <phoneticPr fontId="3" type="noConversion"/>
  </si>
  <si>
    <t>新北市新店區安興路115號13樓之1</t>
    <phoneticPr fontId="3" type="noConversion"/>
  </si>
  <si>
    <t>B114-C030-1</t>
    <phoneticPr fontId="3" type="noConversion"/>
  </si>
  <si>
    <t>114.05.29</t>
    <phoneticPr fontId="3" type="noConversion"/>
  </si>
  <si>
    <t>劉進財、孫瑟花</t>
    <phoneticPr fontId="3" type="noConversion"/>
  </si>
  <si>
    <t>現況測量</t>
    <phoneticPr fontId="3" type="noConversion"/>
  </si>
  <si>
    <t>台中市東勢區茅埔西段939等地號</t>
    <phoneticPr fontId="3" type="noConversion"/>
  </si>
  <si>
    <t>0936-959319</t>
    <phoneticPr fontId="3" type="noConversion"/>
  </si>
  <si>
    <t>B114-B010-0</t>
    <phoneticPr fontId="3" type="noConversion"/>
  </si>
  <si>
    <t>114.04.16</t>
    <phoneticPr fontId="3" type="noConversion"/>
  </si>
  <si>
    <t>西屯區廣昌段162、162-1、163、163-1、164、165地號建築線測量</t>
    <phoneticPr fontId="3" type="noConversion"/>
  </si>
  <si>
    <t>B114-B013-0</t>
    <phoneticPr fontId="3" type="noConversion"/>
  </si>
  <si>
    <t>B114-B036-0</t>
    <phoneticPr fontId="3" type="noConversion"/>
  </si>
  <si>
    <t>114.07.11</t>
    <phoneticPr fontId="3" type="noConversion"/>
  </si>
  <si>
    <t>華筱晨</t>
    <phoneticPr fontId="3" type="noConversion"/>
  </si>
  <si>
    <t>西屯區下石碑段1595地號建築線測量</t>
    <phoneticPr fontId="3" type="noConversion"/>
  </si>
  <si>
    <t>西屯區下石碑段1595地號</t>
    <phoneticPr fontId="3" type="noConversion"/>
  </si>
  <si>
    <t>北屯區陳平段2971地號</t>
    <phoneticPr fontId="3" type="noConversion"/>
  </si>
  <si>
    <t>西屯區廣昌段162、162-1、163、163-1、164、165地號</t>
    <phoneticPr fontId="3" type="noConversion"/>
  </si>
  <si>
    <t>04-37077356</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</si>
  <si>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</si>
  <si>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</si>
  <si>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</si>
  <si>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</si>
  <si>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</si>
  <si>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</si>
  <si>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</si>
  <si>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未足1元</t>
    <phoneticPr fontId="3" type="noConversion"/>
  </si>
  <si>
    <t>B114-B037-2</t>
    <phoneticPr fontId="3" type="noConversion"/>
  </si>
  <si>
    <t>114.07.25</t>
    <phoneticPr fontId="3" type="noConversion"/>
  </si>
  <si>
    <t>先創國際股份有限公司</t>
    <phoneticPr fontId="3" type="noConversion"/>
  </si>
  <si>
    <t>中國土方驗算報告及技師簽證</t>
    <phoneticPr fontId="3" type="noConversion"/>
  </si>
  <si>
    <t>0987-170260</t>
    <phoneticPr fontId="3" type="noConversion"/>
  </si>
  <si>
    <t>80282240</t>
    <phoneticPr fontId="3" type="noConversion"/>
  </si>
  <si>
    <t>高雄市三民區九如一路502號13樓B6</t>
    <phoneticPr fontId="3" type="noConversion"/>
  </si>
  <si>
    <t>B114-C041-0</t>
    <phoneticPr fontId="3" type="noConversion"/>
  </si>
  <si>
    <t>114.07.18</t>
    <phoneticPr fontId="3" type="noConversion"/>
  </si>
  <si>
    <t>玉山峯建設有限公司</t>
    <phoneticPr fontId="3" type="noConversion"/>
  </si>
  <si>
    <t>建物第一次測量</t>
    <phoneticPr fontId="3" type="noConversion"/>
  </si>
  <si>
    <t>二林鎮鎮安段1367地號</t>
    <phoneticPr fontId="3" type="noConversion"/>
  </si>
  <si>
    <t>陳郁唯 地政士</t>
    <phoneticPr fontId="3" type="noConversion"/>
  </si>
  <si>
    <t>0932-638603</t>
    <phoneticPr fontId="3" type="noConversion"/>
  </si>
  <si>
    <t>B114-C023-0</t>
    <phoneticPr fontId="3" type="noConversion"/>
  </si>
  <si>
    <t>B114-C023a-0</t>
    <phoneticPr fontId="3" type="noConversion"/>
  </si>
  <si>
    <t>114.04.24</t>
    <phoneticPr fontId="3" type="noConversion"/>
  </si>
  <si>
    <t>114.06.13</t>
    <phoneticPr fontId="3" type="noConversion"/>
  </si>
  <si>
    <t>大毅工程顧問有限公司</t>
    <phoneticPr fontId="3" type="noConversion"/>
  </si>
  <si>
    <t>地形測量</t>
    <phoneticPr fontId="3" type="noConversion"/>
  </si>
  <si>
    <t>成功嶺</t>
    <phoneticPr fontId="3" type="noConversion"/>
  </si>
  <si>
    <t>清泉崗</t>
    <phoneticPr fontId="3" type="noConversion"/>
  </si>
  <si>
    <t>游修信</t>
    <phoneticPr fontId="3" type="noConversion"/>
  </si>
  <si>
    <t>0921-214558</t>
    <phoneticPr fontId="3" type="noConversion"/>
  </si>
  <si>
    <t>54197395</t>
    <phoneticPr fontId="3" type="noConversion"/>
  </si>
  <si>
    <t>高雄市鳳山區文聖街152號</t>
    <phoneticPr fontId="3" type="noConversion"/>
  </si>
  <si>
    <t>114.08.14</t>
    <phoneticPr fontId="3" type="noConversion"/>
  </si>
  <si>
    <t>114.08.14</t>
    <phoneticPr fontId="3" type="noConversion"/>
  </si>
  <si>
    <t>B114-C039-0</t>
    <phoneticPr fontId="3" type="noConversion"/>
  </si>
  <si>
    <t>114.07.10</t>
    <phoneticPr fontId="3" type="noConversion"/>
  </si>
  <si>
    <t>國聚建設股份有限公司</t>
    <phoneticPr fontId="3" type="noConversion"/>
  </si>
  <si>
    <t>24265310</t>
    <phoneticPr fontId="3" type="noConversion"/>
  </si>
  <si>
    <t>台中市西區臺灣大道二段573號5樓H室</t>
    <phoneticPr fontId="3" type="noConversion"/>
  </si>
  <si>
    <t>114.08.07</t>
    <phoneticPr fontId="3" type="noConversion"/>
  </si>
  <si>
    <t>B114-C043-0</t>
    <phoneticPr fontId="3" type="noConversion"/>
  </si>
  <si>
    <t>114.07.30</t>
    <phoneticPr fontId="3" type="noConversion"/>
  </si>
  <si>
    <t>國泰建設股份有限公司</t>
    <phoneticPr fontId="3" type="noConversion"/>
  </si>
  <si>
    <t>龍井區東海路694-7、697地號</t>
    <phoneticPr fontId="3" type="noConversion"/>
  </si>
  <si>
    <t>北屯區美和段569地號</t>
    <phoneticPr fontId="3" type="noConversion"/>
  </si>
  <si>
    <t>114.08.05</t>
    <phoneticPr fontId="3" type="noConversion"/>
  </si>
  <si>
    <t>訂購通知</t>
    <phoneticPr fontId="3" type="noConversion"/>
  </si>
  <si>
    <t>台塑網科技股份有限公司</t>
    <phoneticPr fontId="3" type="noConversion"/>
  </si>
  <si>
    <t>鹽倉容積及傾斜檢測系統軟體</t>
    <phoneticPr fontId="3" type="noConversion"/>
  </si>
  <si>
    <t>台塑麥寮</t>
    <phoneticPr fontId="3" type="noConversion"/>
  </si>
  <si>
    <t>B114-B032-1</t>
    <phoneticPr fontId="3" type="noConversion"/>
  </si>
  <si>
    <t>114.07.03</t>
    <phoneticPr fontId="3" type="noConversion"/>
  </si>
  <si>
    <t>顏新元 地政士</t>
    <phoneticPr fontId="3" type="noConversion"/>
  </si>
  <si>
    <t>北屯區建安段10地號(10-3地號已合併)現況測量及地籍套繪</t>
    <phoneticPr fontId="3" type="noConversion"/>
  </si>
  <si>
    <t>北屯區建安段</t>
    <phoneticPr fontId="3" type="noConversion"/>
  </si>
  <si>
    <t>顏新元 地政士</t>
    <phoneticPr fontId="3" type="noConversion"/>
  </si>
  <si>
    <t>04-23225095</t>
    <phoneticPr fontId="3" type="noConversion"/>
  </si>
  <si>
    <t>0935-119619</t>
    <phoneticPr fontId="3" type="noConversion"/>
  </si>
  <si>
    <t>04-23222818</t>
    <phoneticPr fontId="3" type="noConversion"/>
  </si>
  <si>
    <t>臺中市中美街615號</t>
    <phoneticPr fontId="3" type="noConversion"/>
  </si>
  <si>
    <t>不開發票</t>
    <phoneticPr fontId="3" type="noConversion"/>
  </si>
  <si>
    <t>B114-B031-0</t>
    <phoneticPr fontId="3" type="noConversion"/>
  </si>
  <si>
    <t>114.07.02</t>
    <phoneticPr fontId="3" type="noConversion"/>
  </si>
  <si>
    <t>建邦工程顧問有限公司</t>
    <phoneticPr fontId="3" type="noConversion"/>
  </si>
  <si>
    <t>三重區寶寶共和國及大安區杭州南路二段51巷18號透地雷達掃描</t>
    <phoneticPr fontId="3" type="noConversion"/>
  </si>
  <si>
    <t>三重區大安區</t>
    <phoneticPr fontId="3" type="noConversion"/>
  </si>
  <si>
    <t>02-27598687</t>
    <phoneticPr fontId="3" type="noConversion"/>
  </si>
  <si>
    <t>0986-681225</t>
    <phoneticPr fontId="3" type="noConversion"/>
  </si>
  <si>
    <t>95427384</t>
    <phoneticPr fontId="3" type="noConversion"/>
  </si>
  <si>
    <t>台北市南港區忠孝東路六段85號10樓</t>
    <phoneticPr fontId="3" type="noConversion"/>
  </si>
  <si>
    <t>B114-B030-0</t>
    <phoneticPr fontId="3" type="noConversion"/>
  </si>
  <si>
    <t>114.07.01</t>
    <phoneticPr fontId="3" type="noConversion"/>
  </si>
  <si>
    <t>張啟良建築師事務所</t>
    <phoneticPr fontId="3" type="noConversion"/>
  </si>
  <si>
    <t>豐原區豐勢路二段217號透地雷達掃描</t>
    <phoneticPr fontId="3" type="noConversion"/>
  </si>
  <si>
    <t>豐原區豐勢路</t>
    <phoneticPr fontId="3" type="noConversion"/>
  </si>
  <si>
    <t>B114-C036-0</t>
    <phoneticPr fontId="3" type="noConversion"/>
  </si>
  <si>
    <t>114.06.26</t>
    <phoneticPr fontId="3" type="noConversion"/>
  </si>
  <si>
    <t>瑞兆豐建設股份有限公司</t>
    <phoneticPr fontId="3" type="noConversion"/>
  </si>
  <si>
    <t>建物第一次測量</t>
    <phoneticPr fontId="3" type="noConversion"/>
  </si>
  <si>
    <t>芬園鄉圳墘段619等17筆地號</t>
    <phoneticPr fontId="3" type="noConversion"/>
  </si>
  <si>
    <t>0920-200949</t>
    <phoneticPr fontId="3" type="noConversion"/>
  </si>
  <si>
    <t>改為含稅價15000 抬頭：協詮環保工程有限公司 統編：12822207</t>
    <phoneticPr fontId="3" type="noConversion"/>
  </si>
  <si>
    <t>114.08.19</t>
    <phoneticPr fontId="3" type="noConversion"/>
  </si>
  <si>
    <t>114.08.14</t>
    <phoneticPr fontId="3" type="noConversion"/>
  </si>
  <si>
    <t>發票抬頭：社團法人新北市結構工程技師公會  統編：10695182  寄：新北市板橋區四川路二段241號11樓</t>
    <phoneticPr fontId="3" type="noConversion"/>
  </si>
  <si>
    <t>B114-C035-0</t>
    <phoneticPr fontId="3" type="noConversion"/>
  </si>
  <si>
    <t>B114-C035a-0</t>
    <phoneticPr fontId="3" type="noConversion"/>
  </si>
  <si>
    <t>114.06.25</t>
    <phoneticPr fontId="3" type="noConversion"/>
  </si>
  <si>
    <t>114.07.01</t>
    <phoneticPr fontId="3" type="noConversion"/>
  </si>
  <si>
    <t>寶泰開發事業股份有限公司</t>
    <phoneticPr fontId="3" type="noConversion"/>
  </si>
  <si>
    <t>建物保存登記</t>
    <phoneticPr fontId="3" type="noConversion"/>
  </si>
  <si>
    <t>澎湖縣馬公市東澳段179地號</t>
    <phoneticPr fontId="3" type="noConversion"/>
  </si>
  <si>
    <t>114.08.20</t>
    <phoneticPr fontId="3" type="noConversion"/>
  </si>
  <si>
    <t>114.08.20</t>
    <phoneticPr fontId="3" type="noConversion"/>
  </si>
  <si>
    <t>上升</t>
    <phoneticPr fontId="3" type="noConversion"/>
  </si>
  <si>
    <t>02-82955695</t>
    <phoneticPr fontId="3" type="noConversion"/>
  </si>
  <si>
    <t>28038230</t>
    <phoneticPr fontId="3" type="noConversion"/>
  </si>
  <si>
    <t>28038230</t>
    <phoneticPr fontId="3" type="noConversion"/>
  </si>
  <si>
    <t>新北市新莊區中華路三段222號六樓</t>
    <phoneticPr fontId="3" type="noConversion"/>
  </si>
  <si>
    <t>114.08.25</t>
    <phoneticPr fontId="3" type="noConversion"/>
  </si>
  <si>
    <t>B114-Y001-0</t>
    <phoneticPr fontId="3" type="noConversion"/>
  </si>
  <si>
    <t>114.08.20</t>
    <phoneticPr fontId="3" type="noConversion"/>
  </si>
  <si>
    <t>怡和國際能源股份有限公司</t>
    <phoneticPr fontId="3" type="noConversion"/>
  </si>
  <si>
    <t>南亞塑膠公司嘉義廠透地雷達測量</t>
    <phoneticPr fontId="3" type="noConversion"/>
  </si>
  <si>
    <t>南亞塑膠公司嘉義廠</t>
    <phoneticPr fontId="3" type="noConversion"/>
  </si>
  <si>
    <t>楊景棋 經理</t>
    <phoneticPr fontId="3" type="noConversion"/>
  </si>
  <si>
    <t>07-9689366</t>
    <phoneticPr fontId="3" type="noConversion"/>
  </si>
  <si>
    <t>59330169</t>
    <phoneticPr fontId="3" type="noConversion"/>
  </si>
  <si>
    <t>高雄市新興區中正三路55號25樓A</t>
    <phoneticPr fontId="3" type="noConversion"/>
  </si>
  <si>
    <t>寶泰開發事業股份有限公司</t>
    <phoneticPr fontId="3" type="noConversion"/>
  </si>
  <si>
    <t>B114-C049-0</t>
    <phoneticPr fontId="3" type="noConversion"/>
  </si>
  <si>
    <t>114.08.27</t>
    <phoneticPr fontId="3" type="noConversion"/>
  </si>
  <si>
    <t>晟億地產股份有限公司</t>
    <phoneticPr fontId="3" type="noConversion"/>
  </si>
  <si>
    <t>西屯區惠來厝604地號</t>
    <phoneticPr fontId="3" type="noConversion"/>
  </si>
  <si>
    <t>支票</t>
    <phoneticPr fontId="3" type="noConversion"/>
  </si>
  <si>
    <t>周美葳 地政士</t>
    <phoneticPr fontId="3" type="noConversion"/>
  </si>
  <si>
    <t>0938-383877</t>
    <phoneticPr fontId="3" type="noConversion"/>
  </si>
  <si>
    <t>03374306</t>
    <phoneticPr fontId="3" type="noConversion"/>
  </si>
  <si>
    <t>114.09.09</t>
    <phoneticPr fontId="3" type="noConversion"/>
  </si>
  <si>
    <t>周君萍 地政士</t>
    <phoneticPr fontId="3" type="noConversion"/>
  </si>
  <si>
    <t>0912-008988</t>
    <phoneticPr fontId="3" type="noConversion"/>
  </si>
  <si>
    <t>84231862</t>
    <phoneticPr fontId="3" type="noConversion"/>
  </si>
  <si>
    <t>114.08.28</t>
    <phoneticPr fontId="3" type="noConversion"/>
  </si>
  <si>
    <t>南屯區春安段255地號</t>
    <phoneticPr fontId="3" type="noConversion"/>
  </si>
  <si>
    <t>南屯區春安段255地號建築線測量</t>
    <phoneticPr fontId="3" type="noConversion"/>
  </si>
  <si>
    <t>83716494</t>
    <phoneticPr fontId="3" type="noConversion"/>
  </si>
  <si>
    <t>B114-C028-0</t>
    <phoneticPr fontId="3" type="noConversion"/>
  </si>
  <si>
    <t>114.05.28</t>
    <phoneticPr fontId="3" type="noConversion"/>
  </si>
  <si>
    <t>誠邑築建設股份有限公司</t>
    <phoneticPr fontId="3" type="noConversion"/>
  </si>
  <si>
    <t>北區賴厝廍段165、164-1地號</t>
    <phoneticPr fontId="3" type="noConversion"/>
  </si>
  <si>
    <t>陳逢凱 地政士</t>
    <phoneticPr fontId="3" type="noConversion"/>
  </si>
  <si>
    <t>04-22517075</t>
    <phoneticPr fontId="3" type="noConversion"/>
  </si>
  <si>
    <t>85060160</t>
    <phoneticPr fontId="3" type="noConversion"/>
  </si>
  <si>
    <t>114.09.24</t>
    <phoneticPr fontId="3" type="noConversion"/>
  </si>
  <si>
    <t>B114-A004-1</t>
    <phoneticPr fontId="3" type="noConversion"/>
  </si>
  <si>
    <t>114.10.03</t>
    <phoneticPr fontId="3" type="noConversion"/>
  </si>
  <si>
    <t>蔡銘座建築師事務所</t>
    <phoneticPr fontId="3" type="noConversion"/>
  </si>
  <si>
    <t>台中市大肚區北王田段23地號補充測量</t>
    <phoneticPr fontId="3" type="noConversion"/>
  </si>
  <si>
    <t>台中市大肚區北王田段23地號</t>
    <phoneticPr fontId="3" type="noConversion"/>
  </si>
  <si>
    <t>蔡銘座 建築師</t>
    <phoneticPr fontId="3" type="noConversion"/>
  </si>
  <si>
    <t>04-22615598</t>
    <phoneticPr fontId="3" type="noConversion"/>
  </si>
  <si>
    <t>0932-511229</t>
    <phoneticPr fontId="3" type="noConversion"/>
  </si>
  <si>
    <t>台中市南區平順街210號</t>
    <phoneticPr fontId="3" type="noConversion"/>
  </si>
  <si>
    <t>B110-012-v6</t>
    <phoneticPr fontId="3" type="noConversion"/>
  </si>
  <si>
    <t>114.10.03</t>
    <phoneticPr fontId="3" type="noConversion"/>
  </si>
  <si>
    <t>車麗屋汽車百貨股份有限公司</t>
    <phoneticPr fontId="3" type="noConversion"/>
  </si>
  <si>
    <t>台中都會區鐵路高架道路下層空間多目標使用建築線指定申請</t>
    <phoneticPr fontId="3" type="noConversion"/>
  </si>
  <si>
    <t>台中都會區鐵路高架道路下層空間</t>
    <phoneticPr fontId="3" type="noConversion"/>
  </si>
  <si>
    <t>卓豐閔 董事長</t>
    <phoneticPr fontId="3" type="noConversion"/>
  </si>
  <si>
    <t>02-22230198</t>
    <phoneticPr fontId="3" type="noConversion"/>
  </si>
  <si>
    <t>0932-517005</t>
    <phoneticPr fontId="3" type="noConversion"/>
  </si>
  <si>
    <t>02-22236168</t>
    <phoneticPr fontId="3" type="noConversion"/>
  </si>
  <si>
    <t>12606833</t>
    <phoneticPr fontId="3" type="noConversion"/>
  </si>
  <si>
    <t>台北市中和區建康路176號11樓</t>
    <phoneticPr fontId="3" type="noConversion"/>
  </si>
  <si>
    <t>B114-A016-2</t>
    <phoneticPr fontId="3" type="noConversion"/>
  </si>
  <si>
    <t>B114-A016-3</t>
  </si>
  <si>
    <t>114.06.03</t>
    <phoneticPr fontId="3" type="noConversion"/>
  </si>
  <si>
    <t>114.09.19</t>
    <phoneticPr fontId="3" type="noConversion"/>
  </si>
  <si>
    <t>吳志宏</t>
    <phoneticPr fontId="3" type="noConversion"/>
  </si>
  <si>
    <t>苗栗縣通霄鎮北勢窩段1355等3筆地號現況地形測量</t>
    <phoneticPr fontId="3" type="noConversion"/>
  </si>
  <si>
    <t>苗栗縣通霄鎮北勢窩段1355等3筆地號</t>
    <phoneticPr fontId="3" type="noConversion"/>
  </si>
  <si>
    <t>B114-C042-0</t>
    <phoneticPr fontId="3" type="noConversion"/>
  </si>
  <si>
    <t>114.07.22</t>
    <phoneticPr fontId="3" type="noConversion"/>
  </si>
  <si>
    <t>雙橡園建設股份有限公司</t>
    <phoneticPr fontId="3" type="noConversion"/>
  </si>
  <si>
    <t>北屯區仁平段274地號</t>
    <phoneticPr fontId="3" type="noConversion"/>
  </si>
  <si>
    <t>114.10.02</t>
    <phoneticPr fontId="3" type="noConversion"/>
  </si>
  <si>
    <t>董佩亭 地政士</t>
    <phoneticPr fontId="3" type="noConversion"/>
  </si>
  <si>
    <t>04-22517075</t>
    <phoneticPr fontId="3" type="noConversion"/>
  </si>
  <si>
    <t>82832565</t>
    <phoneticPr fontId="3" type="noConversion"/>
  </si>
  <si>
    <t>B114-C047-0</t>
    <phoneticPr fontId="3" type="noConversion"/>
  </si>
  <si>
    <t>114.08.20</t>
    <phoneticPr fontId="3" type="noConversion"/>
  </si>
  <si>
    <t>生活制造建設開發股份有限公司</t>
    <phoneticPr fontId="3" type="noConversion"/>
  </si>
  <si>
    <t>北屯區美和段470地號(4筆)</t>
    <phoneticPr fontId="3" type="noConversion"/>
  </si>
  <si>
    <t>徐佳瑜 地政士</t>
    <phoneticPr fontId="3" type="noConversion"/>
  </si>
  <si>
    <t>90591511</t>
    <phoneticPr fontId="3" type="noConversion"/>
  </si>
  <si>
    <t>B114-C054-0</t>
    <phoneticPr fontId="3" type="noConversion"/>
  </si>
  <si>
    <t>114.09.10</t>
    <phoneticPr fontId="3" type="noConversion"/>
  </si>
  <si>
    <t>虹府建設實業有限公司</t>
    <phoneticPr fontId="3" type="noConversion"/>
  </si>
  <si>
    <t>北屯區敦和段295地號等9筆</t>
    <phoneticPr fontId="3" type="noConversion"/>
  </si>
  <si>
    <t>黃怡臻 地政士</t>
    <phoneticPr fontId="3" type="noConversion"/>
  </si>
  <si>
    <t>0953-666222</t>
    <phoneticPr fontId="3" type="noConversion"/>
  </si>
  <si>
    <t>23683879</t>
    <phoneticPr fontId="3" type="noConversion"/>
  </si>
  <si>
    <t>B114-C057-0</t>
    <phoneticPr fontId="3" type="noConversion"/>
  </si>
  <si>
    <t>由鉅投資股份有限公司</t>
    <phoneticPr fontId="3" type="noConversion"/>
  </si>
  <si>
    <t>梧棲區梧棲段3605等地號</t>
    <phoneticPr fontId="3" type="noConversion"/>
  </si>
  <si>
    <t>90361150</t>
    <phoneticPr fontId="3" type="noConversion"/>
  </si>
  <si>
    <t>B114-C045-0</t>
    <phoneticPr fontId="3" type="noConversion"/>
  </si>
  <si>
    <t>114.08.08</t>
    <phoneticPr fontId="3" type="noConversion"/>
  </si>
  <si>
    <t>午資開發股份有限公司</t>
    <phoneticPr fontId="3" type="noConversion"/>
  </si>
  <si>
    <t>北屯區仁美段1082等地號</t>
    <phoneticPr fontId="3" type="noConversion"/>
  </si>
  <si>
    <t>鄭如軒 地政士</t>
    <phoneticPr fontId="3" type="noConversion"/>
  </si>
  <si>
    <t>0936-301629</t>
    <phoneticPr fontId="3" type="noConversion"/>
  </si>
  <si>
    <t>28087251</t>
    <phoneticPr fontId="3" type="noConversion"/>
  </si>
  <si>
    <t>114.09.05</t>
    <phoneticPr fontId="3" type="noConversion"/>
  </si>
  <si>
    <t>114.09.05</t>
    <phoneticPr fontId="3" type="noConversion"/>
  </si>
  <si>
    <t>B114-C031-1</t>
    <phoneticPr fontId="3" type="noConversion"/>
  </si>
  <si>
    <t>114.06.13</t>
    <phoneticPr fontId="3" type="noConversion"/>
  </si>
  <si>
    <t>張翁枝梅、張黃好</t>
    <phoneticPr fontId="3" type="noConversion"/>
  </si>
  <si>
    <t>台中市后里區舊社新段191、196地號</t>
    <phoneticPr fontId="3" type="noConversion"/>
  </si>
  <si>
    <t>黃春馨 地政士</t>
    <phoneticPr fontId="3" type="noConversion"/>
  </si>
  <si>
    <t>0928-318519</t>
    <phoneticPr fontId="3" type="noConversion"/>
  </si>
  <si>
    <t>B114-B034-2</t>
    <phoneticPr fontId="3" type="noConversion"/>
  </si>
  <si>
    <t>114.07.23</t>
    <phoneticPr fontId="3" type="noConversion"/>
  </si>
  <si>
    <t>台灣電力公司萬大發電廠</t>
    <phoneticPr fontId="3" type="noConversion"/>
  </si>
  <si>
    <t>集水區界限檢核、圖表製作及報告撰寫服務</t>
    <phoneticPr fontId="3" type="noConversion"/>
  </si>
  <si>
    <t>049-2974166</t>
    <phoneticPr fontId="3" type="noConversion"/>
  </si>
  <si>
    <t>B114-C044-0</t>
    <phoneticPr fontId="3" type="noConversion"/>
  </si>
  <si>
    <t>114.07.30</t>
    <phoneticPr fontId="3" type="noConversion"/>
  </si>
  <si>
    <t>陳偉慶、劉錫謀</t>
    <phoneticPr fontId="3" type="noConversion"/>
  </si>
  <si>
    <t>西區平民段四小段1-10地號等5筆</t>
    <phoneticPr fontId="3" type="noConversion"/>
  </si>
  <si>
    <t>114.10.16</t>
    <phoneticPr fontId="3" type="noConversion"/>
  </si>
  <si>
    <t>王文君 地政士</t>
    <phoneticPr fontId="3" type="noConversion"/>
  </si>
  <si>
    <t>0933-401842</t>
    <phoneticPr fontId="3" type="noConversion"/>
  </si>
  <si>
    <t>114.10.17</t>
    <phoneticPr fontId="3" type="noConversion"/>
  </si>
  <si>
    <t>B114-C059-2</t>
    <phoneticPr fontId="3" type="noConversion"/>
  </si>
  <si>
    <t>114.09.30</t>
    <phoneticPr fontId="3" type="noConversion"/>
  </si>
  <si>
    <t>群陽建設股份有限公司</t>
    <phoneticPr fontId="3" type="noConversion"/>
  </si>
  <si>
    <t>豐原區三陽段600等地號</t>
    <phoneticPr fontId="3" type="noConversion"/>
  </si>
  <si>
    <t>徐瑛宜 地政士</t>
    <phoneticPr fontId="3" type="noConversion"/>
  </si>
  <si>
    <t>04-23756998</t>
    <phoneticPr fontId="3" type="noConversion"/>
  </si>
  <si>
    <t>04-23756990</t>
    <phoneticPr fontId="3" type="noConversion"/>
  </si>
  <si>
    <t>114.10.08</t>
    <phoneticPr fontId="3" type="noConversion"/>
  </si>
  <si>
    <t>B114-C058-0</t>
    <phoneticPr fontId="3" type="noConversion"/>
  </si>
  <si>
    <t>114.09.22</t>
    <phoneticPr fontId="3" type="noConversion"/>
  </si>
  <si>
    <t>太平區仁平段378-1、382地號</t>
    <phoneticPr fontId="3" type="noConversion"/>
  </si>
  <si>
    <t>90820394</t>
    <phoneticPr fontId="3" type="noConversion"/>
  </si>
  <si>
    <t>114.10.21</t>
    <phoneticPr fontId="3" type="noConversion"/>
  </si>
  <si>
    <t>發票抬頭：徐瑛宜地政士聯合事務所 統編：95838540</t>
    <phoneticPr fontId="3" type="noConversion"/>
  </si>
  <si>
    <t>發票抬頭：台灣電力股份有限公司萬大發電廠</t>
    <phoneticPr fontId="3" type="noConversion"/>
  </si>
  <si>
    <t>114.10.27</t>
    <phoneticPr fontId="3" type="noConversion"/>
  </si>
  <si>
    <t>B114-C055-0</t>
    <phoneticPr fontId="3" type="noConversion"/>
  </si>
  <si>
    <t>114.09.10</t>
    <phoneticPr fontId="3" type="noConversion"/>
  </si>
  <si>
    <t>愛子教育有限公司</t>
    <phoneticPr fontId="3" type="noConversion"/>
  </si>
  <si>
    <t>北屯區竹興段46地號</t>
    <phoneticPr fontId="3" type="noConversion"/>
  </si>
  <si>
    <t>114.10.23</t>
    <phoneticPr fontId="3" type="noConversion"/>
  </si>
  <si>
    <t>90500287</t>
    <phoneticPr fontId="3" type="noConversion"/>
  </si>
  <si>
    <t>114.10.23</t>
    <phoneticPr fontId="3" type="noConversion"/>
  </si>
  <si>
    <t>B114-C033a-0</t>
    <phoneticPr fontId="3" type="noConversion"/>
  </si>
  <si>
    <t>B114-C033b-0</t>
    <phoneticPr fontId="3" type="noConversion"/>
  </si>
  <si>
    <t>114.06.18</t>
    <phoneticPr fontId="3" type="noConversion"/>
  </si>
  <si>
    <t>114.06.18</t>
    <phoneticPr fontId="3" type="noConversion"/>
  </si>
  <si>
    <t>順天建設股份有限公司</t>
    <phoneticPr fontId="3" type="noConversion"/>
  </si>
  <si>
    <t>建物第一次測量</t>
    <phoneticPr fontId="3" type="noConversion"/>
  </si>
  <si>
    <t>建物第一次測量</t>
    <phoneticPr fontId="3" type="noConversion"/>
  </si>
  <si>
    <t>太平區愛平段1058地號等6筆土地</t>
    <phoneticPr fontId="3" type="noConversion"/>
  </si>
  <si>
    <t>太平區壽平段540地號</t>
    <phoneticPr fontId="3" type="noConversion"/>
  </si>
  <si>
    <t>黃筱筑</t>
    <phoneticPr fontId="3" type="noConversion"/>
  </si>
  <si>
    <t>04-22595777#1405</t>
    <phoneticPr fontId="3" type="noConversion"/>
  </si>
  <si>
    <t>22764965</t>
    <phoneticPr fontId="3" type="noConversion"/>
  </si>
  <si>
    <t>22464965</t>
    <phoneticPr fontId="3" type="noConversion"/>
  </si>
  <si>
    <t>114.10.28</t>
    <phoneticPr fontId="3" type="noConversion"/>
  </si>
  <si>
    <t>114.10.28</t>
    <phoneticPr fontId="3" type="noConversion"/>
  </si>
  <si>
    <t>B114-C024-0</t>
    <phoneticPr fontId="3" type="noConversion"/>
  </si>
  <si>
    <t>114.05.09</t>
    <phoneticPr fontId="3" type="noConversion"/>
  </si>
  <si>
    <t>財團法人中國醫藥大學</t>
    <phoneticPr fontId="3" type="noConversion"/>
  </si>
  <si>
    <t>北屯區大仁段465等地號</t>
    <phoneticPr fontId="3" type="noConversion"/>
  </si>
  <si>
    <t>04-22517075</t>
    <phoneticPr fontId="3" type="noConversion"/>
  </si>
  <si>
    <t>B114-C014a-0</t>
    <phoneticPr fontId="3" type="noConversion"/>
  </si>
  <si>
    <t>114.03.28</t>
    <phoneticPr fontId="3" type="noConversion"/>
  </si>
  <si>
    <t>南屯區永春段105地號等35筆土地</t>
    <phoneticPr fontId="3" type="noConversion"/>
  </si>
  <si>
    <t>林妙涵</t>
    <phoneticPr fontId="3" type="noConversion"/>
  </si>
  <si>
    <t>04-22595777#1402</t>
    <phoneticPr fontId="3" type="noConversion"/>
  </si>
  <si>
    <t>22764965</t>
    <phoneticPr fontId="3" type="noConversion"/>
  </si>
  <si>
    <t>114.09.16</t>
    <phoneticPr fontId="3" type="noConversion"/>
  </si>
  <si>
    <t>B114-C014b-0</t>
    <phoneticPr fontId="3" type="noConversion"/>
  </si>
  <si>
    <t>114.05.28</t>
    <phoneticPr fontId="3" type="noConversion"/>
  </si>
  <si>
    <t>卓豐閔 董事長</t>
    <phoneticPr fontId="3" type="noConversion"/>
  </si>
  <si>
    <t>02-22230198</t>
    <phoneticPr fontId="3" type="noConversion"/>
  </si>
  <si>
    <t>0932-517005</t>
    <phoneticPr fontId="3" type="noConversion"/>
  </si>
  <si>
    <t>02-22236168</t>
    <phoneticPr fontId="3" type="noConversion"/>
  </si>
  <si>
    <t>12606833</t>
    <phoneticPr fontId="3" type="noConversion"/>
  </si>
  <si>
    <t>新北市中和區建康路176號11樓</t>
    <phoneticPr fontId="3" type="noConversion"/>
  </si>
  <si>
    <t>114.06.18</t>
    <phoneticPr fontId="3" type="noConversion"/>
  </si>
  <si>
    <t>黃佳郁</t>
    <phoneticPr fontId="3" type="noConversion"/>
  </si>
  <si>
    <t>台中市東勢區興隆段1035、1036地號</t>
    <phoneticPr fontId="3" type="noConversion"/>
  </si>
  <si>
    <t>v</t>
    <phoneticPr fontId="3" type="noConversion"/>
  </si>
  <si>
    <t>B114-C069-0</t>
    <phoneticPr fontId="3" type="noConversion"/>
  </si>
  <si>
    <t>114.07.14</t>
    <phoneticPr fontId="3" type="noConversion"/>
  </si>
  <si>
    <t>鑫曜建設有限公司</t>
    <phoneticPr fontId="3" type="noConversion"/>
  </si>
  <si>
    <t>南投市福興段553地號</t>
    <phoneticPr fontId="3" type="noConversion"/>
  </si>
  <si>
    <t>114.10.29</t>
    <phoneticPr fontId="3" type="noConversion"/>
  </si>
  <si>
    <t>嚴惠珍 地政士</t>
    <phoneticPr fontId="3" type="noConversion"/>
  </si>
  <si>
    <t>0933-539911</t>
    <phoneticPr fontId="3" type="noConversion"/>
  </si>
  <si>
    <t>83622285</t>
    <phoneticPr fontId="3" type="noConversion"/>
  </si>
  <si>
    <t>給現金</t>
    <phoneticPr fontId="3" type="noConversion"/>
  </si>
  <si>
    <t>114.10.27</t>
    <phoneticPr fontId="3" type="noConversion"/>
  </si>
  <si>
    <t>B114-C029-1</t>
    <phoneticPr fontId="3" type="noConversion"/>
  </si>
  <si>
    <t>現況測量、建築線測量</t>
    <phoneticPr fontId="3" type="noConversion"/>
  </si>
  <si>
    <t>B114-C034-0</t>
    <phoneticPr fontId="3" type="noConversion"/>
  </si>
  <si>
    <t>B114-C063-0</t>
    <phoneticPr fontId="3" type="noConversion"/>
  </si>
  <si>
    <t>114.10.01</t>
    <phoneticPr fontId="3" type="noConversion"/>
  </si>
  <si>
    <t>佳緹建設股份有限公司</t>
    <phoneticPr fontId="3" type="noConversion"/>
  </si>
  <si>
    <t>太平區振文段113地號等32筆</t>
    <phoneticPr fontId="3" type="noConversion"/>
  </si>
  <si>
    <t>114.11.04</t>
    <phoneticPr fontId="3" type="noConversion"/>
  </si>
  <si>
    <t>陳香如 地政士</t>
    <phoneticPr fontId="3" type="noConversion"/>
  </si>
  <si>
    <t>0937-598647</t>
    <phoneticPr fontId="3" type="noConversion"/>
  </si>
  <si>
    <t>54904779</t>
    <phoneticPr fontId="3" type="noConversion"/>
  </si>
  <si>
    <t>B114-C073-1</t>
    <phoneticPr fontId="3" type="noConversion"/>
  </si>
  <si>
    <t>B114-C075-0</t>
    <phoneticPr fontId="3" type="noConversion"/>
  </si>
  <si>
    <t>114.11.20</t>
    <phoneticPr fontId="3" type="noConversion"/>
  </si>
  <si>
    <t>燊鼎地產股份有限公司</t>
  </si>
  <si>
    <t>蔣俊彥 地政士</t>
    <phoneticPr fontId="3" type="noConversion"/>
  </si>
  <si>
    <t>04-22360096</t>
    <phoneticPr fontId="3" type="noConversion"/>
  </si>
  <si>
    <t>24842707</t>
    <phoneticPr fontId="3" type="noConversion"/>
  </si>
  <si>
    <t>114.12.01</t>
    <phoneticPr fontId="3" type="noConversion"/>
  </si>
  <si>
    <t>曾記自動控制有限公司</t>
  </si>
  <si>
    <t>大雅區上楓段1589-2地號</t>
  </si>
  <si>
    <t>04-23756998</t>
    <phoneticPr fontId="3" type="noConversion"/>
  </si>
  <si>
    <t>28014928</t>
    <phoneticPr fontId="3" type="noConversion"/>
  </si>
  <si>
    <t>114.10.14</t>
    <phoneticPr fontId="3" type="noConversion"/>
  </si>
  <si>
    <t>李盛明建築師事務所</t>
    <phoneticPr fontId="3" type="noConversion"/>
  </si>
  <si>
    <t>台中市和平區博愛段955等地號建築線指定</t>
    <phoneticPr fontId="3" type="noConversion"/>
  </si>
  <si>
    <t>台中市和平區博愛段955等地號</t>
    <phoneticPr fontId="3" type="noConversion"/>
  </si>
  <si>
    <t>李盛明 建築師</t>
    <phoneticPr fontId="3" type="noConversion"/>
  </si>
  <si>
    <t>B114-020-0A</t>
    <phoneticPr fontId="3" type="noConversion"/>
  </si>
  <si>
    <t>114.12.01</t>
  </si>
  <si>
    <t>精摯工程顧問股份有限公司</t>
  </si>
  <si>
    <t>桃園楓樹國小現況測量</t>
  </si>
  <si>
    <t>桃園楓樹國小</t>
  </si>
  <si>
    <t>B114-C076-0</t>
    <phoneticPr fontId="3" type="noConversion"/>
  </si>
  <si>
    <t>114.11.24</t>
    <phoneticPr fontId="3" type="noConversion"/>
  </si>
  <si>
    <t>達麗建設事業股份有限公司</t>
    <phoneticPr fontId="3" type="noConversion"/>
  </si>
  <si>
    <t>重測土地界址爭議案件諮詢</t>
    <phoneticPr fontId="3" type="noConversion"/>
  </si>
  <si>
    <t>北區賴厝廍三段683地號</t>
    <phoneticPr fontId="3" type="noConversion"/>
  </si>
  <si>
    <t>臺中市北區賴厝廍段86-4,86-85地號</t>
    <phoneticPr fontId="3" type="noConversion"/>
  </si>
  <si>
    <t>錢儀峯 經理</t>
    <phoneticPr fontId="3" type="noConversion"/>
  </si>
  <si>
    <t>0928-973593</t>
    <phoneticPr fontId="3" type="noConversion"/>
  </si>
  <si>
    <t>B114-B067-0</t>
    <phoneticPr fontId="3" type="noConversion"/>
  </si>
  <si>
    <t>葉憶萱</t>
    <phoneticPr fontId="3" type="noConversion"/>
  </si>
  <si>
    <t>0988-987908</t>
    <phoneticPr fontId="3" type="noConversion"/>
  </si>
  <si>
    <t>114.07.04</t>
    <phoneticPr fontId="3" type="noConversion"/>
  </si>
  <si>
    <t>114.07.10</t>
    <phoneticPr fontId="3" type="noConversion"/>
  </si>
  <si>
    <t>114.12.08</t>
    <phoneticPr fontId="3" type="noConversion"/>
  </si>
  <si>
    <t>發票抬頭：谷關大道院 統編：95849119</t>
    <phoneticPr fontId="3" type="noConversion"/>
  </si>
  <si>
    <t>B114-C060-0</t>
    <phoneticPr fontId="3" type="noConversion"/>
  </si>
  <si>
    <t>114.09.24</t>
    <phoneticPr fontId="3" type="noConversion"/>
  </si>
  <si>
    <t>龍寶建設股份有限公司</t>
    <phoneticPr fontId="3" type="noConversion"/>
  </si>
  <si>
    <t>「愛臻邸」建物保存登記</t>
    <phoneticPr fontId="3" type="noConversion"/>
  </si>
  <si>
    <t>北屯區昌平段255地號</t>
    <phoneticPr fontId="3" type="noConversion"/>
  </si>
  <si>
    <t>林世佑 地政士</t>
    <phoneticPr fontId="3" type="noConversion"/>
  </si>
  <si>
    <t>0937-729595</t>
    <phoneticPr fontId="3" type="noConversion"/>
  </si>
  <si>
    <t>114.12.09</t>
    <phoneticPr fontId="3" type="noConversion"/>
  </si>
  <si>
    <t>B114-C079-0</t>
    <phoneticPr fontId="3" type="noConversion"/>
  </si>
  <si>
    <t>114.12.05</t>
    <phoneticPr fontId="3" type="noConversion"/>
  </si>
  <si>
    <t>董小燕</t>
    <phoneticPr fontId="3" type="noConversion"/>
  </si>
  <si>
    <t>神岡區林厝段421地號</t>
    <phoneticPr fontId="3" type="noConversion"/>
  </si>
  <si>
    <t>114.12.10</t>
    <phoneticPr fontId="3" type="noConversion"/>
  </si>
  <si>
    <t>吳秋津 地政士</t>
    <phoneticPr fontId="3" type="noConversion"/>
  </si>
  <si>
    <t>0953-837698</t>
    <phoneticPr fontId="3" type="noConversion"/>
  </si>
  <si>
    <t>114.12.10</t>
    <phoneticPr fontId="3" type="noConversion"/>
  </si>
  <si>
    <t>B114-B004-1</t>
    <phoneticPr fontId="3" type="noConversion"/>
  </si>
  <si>
    <t>114.12.10</t>
    <phoneticPr fontId="3" type="noConversion"/>
  </si>
  <si>
    <t>大有國際不動產估價師聯合事務所</t>
    <phoneticPr fontId="3" type="noConversion"/>
  </si>
  <si>
    <t>臺北市木柵路四段 五段附近地區區段徵收土地改良物暨土地市價查估作業委託專業服務案空拍服務</t>
    <phoneticPr fontId="3" type="noConversion"/>
  </si>
  <si>
    <t>臺北市木柵路四段、五段</t>
    <phoneticPr fontId="3" type="noConversion"/>
  </si>
  <si>
    <t>v</t>
    <phoneticPr fontId="3" type="noConversion"/>
  </si>
  <si>
    <t>李昭德</t>
    <phoneticPr fontId="3" type="noConversion"/>
  </si>
  <si>
    <t>07-9691008</t>
    <phoneticPr fontId="3" type="noConversion"/>
  </si>
  <si>
    <t>07-9691005</t>
    <phoneticPr fontId="3" type="noConversion"/>
  </si>
  <si>
    <t>15586732</t>
    <phoneticPr fontId="3" type="noConversion"/>
  </si>
  <si>
    <t>B114-B070-0</t>
    <phoneticPr fontId="3" type="noConversion"/>
  </si>
  <si>
    <t>114.12.11</t>
    <phoneticPr fontId="3" type="noConversion"/>
  </si>
  <si>
    <t>新家華建設有限公司</t>
    <phoneticPr fontId="3" type="noConversion"/>
  </si>
  <si>
    <t>新竹縣芎林鄉金獅段1063、1064、1069及1070地號現況測量與地籍圖套繪</t>
    <phoneticPr fontId="3" type="noConversion"/>
  </si>
  <si>
    <t>新竹縣芎林鄉金獅段1063、1064、1069及1070地號</t>
    <phoneticPr fontId="3" type="noConversion"/>
  </si>
  <si>
    <t>簡仲唯</t>
    <phoneticPr fontId="3" type="noConversion"/>
  </si>
  <si>
    <t>03-5217025</t>
    <phoneticPr fontId="3" type="noConversion"/>
  </si>
  <si>
    <t>0922-360063</t>
    <phoneticPr fontId="3" type="noConversion"/>
  </si>
  <si>
    <t>03-5227064</t>
    <phoneticPr fontId="3" type="noConversion"/>
  </si>
  <si>
    <t>79963015</t>
    <phoneticPr fontId="3" type="noConversion"/>
  </si>
  <si>
    <t>12/10轉帳</t>
    <phoneticPr fontId="3" type="noConversion"/>
  </si>
  <si>
    <t>B114-B069-0</t>
    <phoneticPr fontId="3" type="noConversion"/>
  </si>
  <si>
    <t>114.12.16</t>
    <phoneticPr fontId="3" type="noConversion"/>
  </si>
  <si>
    <t>0987-170260</t>
    <phoneticPr fontId="3" type="noConversion"/>
  </si>
  <si>
    <t>80282240</t>
    <phoneticPr fontId="3" type="noConversion"/>
  </si>
  <si>
    <t>B114-C081-0</t>
    <phoneticPr fontId="3" type="noConversion"/>
  </si>
  <si>
    <t>114.12.10</t>
    <phoneticPr fontId="3" type="noConversion"/>
  </si>
  <si>
    <t>久固建設有限公司</t>
    <phoneticPr fontId="3" type="noConversion"/>
  </si>
  <si>
    <t>北斗鎮螺青段609-6等地號</t>
    <phoneticPr fontId="3" type="noConversion"/>
  </si>
  <si>
    <t>114.12.15</t>
    <phoneticPr fontId="3" type="noConversion"/>
  </si>
  <si>
    <t>B114-D003-0</t>
    <phoneticPr fontId="3" type="noConversion"/>
  </si>
  <si>
    <t>台中市大甲區金華段173地號等6筆土地</t>
    <phoneticPr fontId="3" type="noConversion"/>
  </si>
  <si>
    <t>台中市大甲區金華段173地號等界標測設</t>
    <phoneticPr fontId="3" type="noConversion"/>
  </si>
  <si>
    <t>何明利</t>
    <phoneticPr fontId="3" type="noConversion"/>
  </si>
  <si>
    <t>0932-561287</t>
    <phoneticPr fontId="3" type="noConversion"/>
  </si>
  <si>
    <t>發票抬頭：汎宇藥業股份有限公司  統編：12736723</t>
    <phoneticPr fontId="3" type="noConversion"/>
  </si>
  <si>
    <t>114.12.17</t>
    <phoneticPr fontId="3" type="noConversion"/>
  </si>
  <si>
    <t>台86線向東延伸與182線共線路段道路改善工程委託綜合規劃、二量、地質探查、設計及環境影響評估服務工作-測量工作</t>
    <phoneticPr fontId="3" type="noConversion"/>
  </si>
  <si>
    <t>v</t>
    <phoneticPr fontId="3" type="noConversion"/>
  </si>
  <si>
    <t>114.10.</t>
    <phoneticPr fontId="3" type="noConversion"/>
  </si>
  <si>
    <t>林同棪工程顧問股份有限公司</t>
    <phoneticPr fontId="3" type="noConversion"/>
  </si>
  <si>
    <t>B114-C011-0</t>
    <phoneticPr fontId="3" type="noConversion"/>
  </si>
  <si>
    <t>114.03.12</t>
    <phoneticPr fontId="3" type="noConversion"/>
  </si>
  <si>
    <t>珺卉建築師事務所</t>
    <phoneticPr fontId="3" type="noConversion"/>
  </si>
  <si>
    <t>建物保存登記</t>
    <phoneticPr fontId="3" type="noConversion"/>
  </si>
  <si>
    <t>后里區泰安段1008地號</t>
    <phoneticPr fontId="3" type="noConversion"/>
  </si>
  <si>
    <t>林玫君 建築師</t>
    <phoneticPr fontId="3" type="noConversion"/>
  </si>
  <si>
    <t>0952-780357</t>
    <phoneticPr fontId="3" type="noConversion"/>
  </si>
  <si>
    <t>發票抬頭：臺中市立老人復健綜合醫院(委託財團法人中國醫藥大學興建經營) 統編：92232549</t>
    <phoneticPr fontId="3" type="noConversion"/>
  </si>
  <si>
    <t>114.10.22</t>
    <phoneticPr fontId="3" type="noConversion"/>
  </si>
  <si>
    <t>發票抬頭：環中不動產有限公司  統編：24603375</t>
    <phoneticPr fontId="3" type="noConversion"/>
  </si>
  <si>
    <t>114.12.22</t>
    <phoneticPr fontId="3" type="noConversion"/>
  </si>
  <si>
    <t>B114-C071-0</t>
    <phoneticPr fontId="3" type="noConversion"/>
  </si>
  <si>
    <t>114.11.04</t>
    <phoneticPr fontId="3" type="noConversion"/>
  </si>
  <si>
    <t>賴淑茹</t>
    <phoneticPr fontId="3" type="noConversion"/>
  </si>
  <si>
    <t>北屯區榮德段290地號等3筆</t>
    <phoneticPr fontId="3" type="noConversion"/>
  </si>
  <si>
    <t>王文君 地政士</t>
    <phoneticPr fontId="3" type="noConversion"/>
  </si>
  <si>
    <t>0933-401842</t>
    <phoneticPr fontId="3" type="noConversion"/>
  </si>
  <si>
    <t>B114-C085-0</t>
    <phoneticPr fontId="3" type="noConversion"/>
  </si>
  <si>
    <t>114.12.24</t>
    <phoneticPr fontId="3" type="noConversion"/>
  </si>
  <si>
    <t>白惠君</t>
    <phoneticPr fontId="3" type="noConversion"/>
  </si>
  <si>
    <t>北屯區南興路58地號</t>
    <phoneticPr fontId="3" type="noConversion"/>
  </si>
  <si>
    <t>建物第一次測量</t>
    <phoneticPr fontId="3" type="noConversion"/>
  </si>
  <si>
    <t>v</t>
    <phoneticPr fontId="3" type="noConversion"/>
  </si>
  <si>
    <t>劉清露 地政士</t>
    <phoneticPr fontId="3" type="noConversion"/>
  </si>
  <si>
    <t>0919-524264</t>
    <phoneticPr fontId="3" type="noConversion"/>
  </si>
  <si>
    <t>給現金</t>
    <phoneticPr fontId="3" type="noConversion"/>
  </si>
  <si>
    <t>B114-C089-0</t>
    <phoneticPr fontId="3" type="noConversion"/>
  </si>
  <si>
    <t>114.12.30</t>
    <phoneticPr fontId="3" type="noConversion"/>
  </si>
  <si>
    <t>銓達精密科技股份有限公司</t>
    <phoneticPr fontId="3" type="noConversion"/>
  </si>
  <si>
    <t>建物第一次測量(舊照更正+增建)</t>
    <phoneticPr fontId="3" type="noConversion"/>
  </si>
  <si>
    <t>太平區光隆段18-1地號</t>
    <phoneticPr fontId="3" type="noConversion"/>
  </si>
  <si>
    <t>陳育文 建築師</t>
    <phoneticPr fontId="3" type="noConversion"/>
  </si>
  <si>
    <t>0926-833420</t>
    <phoneticPr fontId="3" type="noConversion"/>
  </si>
  <si>
    <t>53372275</t>
    <phoneticPr fontId="3" type="noConversion"/>
  </si>
  <si>
    <t>115.01.13</t>
    <phoneticPr fontId="3" type="noConversion"/>
  </si>
  <si>
    <t>04477420</t>
    <phoneticPr fontId="3" type="noConversion"/>
  </si>
  <si>
    <t>114.12.05</t>
    <phoneticPr fontId="3" type="noConversion"/>
  </si>
  <si>
    <t>B114-B055-0</t>
    <phoneticPr fontId="3" type="noConversion"/>
  </si>
  <si>
    <t>114.09.22</t>
    <phoneticPr fontId="3" type="noConversion"/>
  </si>
  <si>
    <t>新竹縣五峰鄉公所</t>
    <phoneticPr fontId="3" type="noConversion"/>
  </si>
  <si>
    <t>五峰鄉花園段地形測量</t>
    <phoneticPr fontId="3" type="noConversion"/>
  </si>
  <si>
    <t>新竹縣五峰鄉</t>
    <phoneticPr fontId="3" type="noConversion"/>
  </si>
  <si>
    <t>彭約瑟</t>
    <phoneticPr fontId="3" type="noConversion"/>
  </si>
  <si>
    <t>03-5851001#605</t>
    <phoneticPr fontId="3" type="noConversion"/>
  </si>
  <si>
    <t>新竹縣五峰鄉大隘村六鄰95號</t>
    <phoneticPr fontId="3" type="noConversion"/>
  </si>
  <si>
    <t>115.01.09</t>
    <phoneticPr fontId="3" type="noConversion"/>
  </si>
  <si>
    <t>B114-B068-0</t>
    <phoneticPr fontId="3" type="noConversion"/>
  </si>
  <si>
    <t>114.12.02</t>
    <phoneticPr fontId="3" type="noConversion"/>
  </si>
  <si>
    <t>貝加工業股份有限公司</t>
    <phoneticPr fontId="3" type="noConversion"/>
  </si>
  <si>
    <t>臺中草屯區新富仁段567-26、567-27等2筆地號</t>
    <phoneticPr fontId="3" type="noConversion"/>
  </si>
  <si>
    <t>新富仁段567-26、567-27等2筆地號</t>
    <phoneticPr fontId="3" type="noConversion"/>
  </si>
  <si>
    <t>溫設計師</t>
    <phoneticPr fontId="3" type="noConversion"/>
  </si>
  <si>
    <t>04-36097088#26</t>
    <phoneticPr fontId="3" type="noConversion"/>
  </si>
  <si>
    <t>台中市精誠路17號2樓</t>
    <phoneticPr fontId="3" type="noConversion"/>
  </si>
  <si>
    <t>B114-B053-0</t>
    <phoneticPr fontId="3" type="noConversion"/>
  </si>
  <si>
    <t>林同棪工程顧問股份有限公司</t>
    <phoneticPr fontId="3" type="noConversion"/>
  </si>
  <si>
    <t>台86線向東延伸與182線共線路段道路改善工程委託綜合規劃、測量、地質探查、設計及環境影響評估服務工作</t>
    <phoneticPr fontId="3" type="noConversion"/>
  </si>
  <si>
    <t>v</t>
    <phoneticPr fontId="3" type="noConversion"/>
  </si>
  <si>
    <t>02-27840988</t>
    <phoneticPr fontId="3" type="noConversion"/>
  </si>
  <si>
    <t>114.06.09</t>
    <phoneticPr fontId="3" type="noConversion"/>
  </si>
  <si>
    <t>達麗建設事業股份有限公司</t>
    <phoneticPr fontId="3" type="noConversion"/>
  </si>
  <si>
    <t>現況測量</t>
    <phoneticPr fontId="3" type="noConversion"/>
  </si>
  <si>
    <t>台中市北區錦村段102地號</t>
    <phoneticPr fontId="3" type="noConversion"/>
  </si>
  <si>
    <t>台中市東區旱溪段185-569地號</t>
    <phoneticPr fontId="3" type="noConversion"/>
  </si>
  <si>
    <t>台中市北屯區陳平段1880-2等地號</t>
    <phoneticPr fontId="3" type="noConversion"/>
  </si>
  <si>
    <t>廖廷駪(ㄕㄣ)</t>
    <phoneticPr fontId="3" type="noConversion"/>
  </si>
  <si>
    <t>0988-627095</t>
    <phoneticPr fontId="3" type="noConversion"/>
  </si>
  <si>
    <t>115.01.02</t>
    <phoneticPr fontId="3" type="noConversion"/>
  </si>
  <si>
    <t>B114-C015a-2</t>
    <phoneticPr fontId="3" type="noConversion"/>
  </si>
  <si>
    <t>B114-C015b-2</t>
    <phoneticPr fontId="3" type="noConversion"/>
  </si>
  <si>
    <t>B114-C015c-2</t>
    <phoneticPr fontId="3" type="noConversion"/>
  </si>
  <si>
    <t>B114-C067-0</t>
    <phoneticPr fontId="3" type="noConversion"/>
  </si>
  <si>
    <t>114.10.14</t>
    <phoneticPr fontId="3" type="noConversion"/>
  </si>
  <si>
    <t>陳志明</t>
    <phoneticPr fontId="3" type="noConversion"/>
  </si>
  <si>
    <t>現況測量</t>
    <phoneticPr fontId="3" type="noConversion"/>
  </si>
  <si>
    <t>台中市烏日區成功嶺段646等28等地號</t>
    <phoneticPr fontId="3" type="noConversion"/>
  </si>
  <si>
    <t>v</t>
    <phoneticPr fontId="3" type="noConversion"/>
  </si>
  <si>
    <t>0932-505842</t>
    <phoneticPr fontId="3" type="noConversion"/>
  </si>
  <si>
    <t>114.10.02</t>
    <phoneticPr fontId="3" type="noConversion"/>
  </si>
  <si>
    <t>裕峰營造股份有限公司</t>
    <phoneticPr fontId="3" type="noConversion"/>
  </si>
  <si>
    <t>廠房現況測量</t>
    <phoneticPr fontId="3" type="noConversion"/>
  </si>
  <si>
    <t>和美鎮鎮東路101號</t>
    <phoneticPr fontId="3" type="noConversion"/>
  </si>
  <si>
    <t>呆帳，成果與客戶無法達成共識，未出給客戶，無收款。</t>
    <phoneticPr fontId="3" type="noConversion"/>
  </si>
  <si>
    <t>B114-C064-0</t>
    <phoneticPr fontId="3" type="noConversion"/>
  </si>
  <si>
    <t>B114-B045-0</t>
    <phoneticPr fontId="3" type="noConversion"/>
  </si>
  <si>
    <t>B114-B020-2</t>
    <phoneticPr fontId="3" type="noConversion"/>
  </si>
  <si>
    <t>114.07.03</t>
    <phoneticPr fontId="3" type="noConversion"/>
  </si>
  <si>
    <t>建邦工程顧問有限公司</t>
    <phoneticPr fontId="3" type="noConversion"/>
  </si>
  <si>
    <t>學甲太陽能案場 現況地形測量</t>
    <phoneticPr fontId="3" type="noConversion"/>
  </si>
  <si>
    <t>學甲太陽能案場</t>
    <phoneticPr fontId="3" type="noConversion"/>
  </si>
  <si>
    <t>v</t>
    <phoneticPr fontId="3" type="noConversion"/>
  </si>
  <si>
    <t>張雅程 負責人</t>
    <phoneticPr fontId="3" type="noConversion"/>
  </si>
  <si>
    <t>02-26515789</t>
    <phoneticPr fontId="3" type="noConversion"/>
  </si>
  <si>
    <t>0986-681225</t>
    <phoneticPr fontId="3" type="noConversion"/>
  </si>
  <si>
    <t>95427384</t>
    <phoneticPr fontId="3" type="noConversion"/>
  </si>
  <si>
    <t>ricky@siecg.com</t>
    <phoneticPr fontId="3" type="noConversion"/>
  </si>
  <si>
    <t>台北市南港區忠孝東路六段85號10樓</t>
    <phoneticPr fontId="3" type="noConversion"/>
  </si>
  <si>
    <t>114.11.13</t>
    <phoneticPr fontId="3" type="noConversion"/>
  </si>
  <si>
    <t>114.07.02</t>
    <phoneticPr fontId="3" type="noConversion"/>
  </si>
  <si>
    <t>114.07.02</t>
    <phoneticPr fontId="3" type="noConversion"/>
  </si>
  <si>
    <t>B114-B035-0</t>
    <phoneticPr fontId="3" type="noConversion"/>
  </si>
  <si>
    <t>114.07.08</t>
    <phoneticPr fontId="3" type="noConversion"/>
  </si>
  <si>
    <t>鴻信營造股份有限公司</t>
    <phoneticPr fontId="3" type="noConversion"/>
  </si>
  <si>
    <t>新店區新和段89等地號透地雷達測量</t>
    <phoneticPr fontId="3" type="noConversion"/>
  </si>
  <si>
    <t>新店區新和段89等地號</t>
    <phoneticPr fontId="3" type="noConversion"/>
  </si>
  <si>
    <t>鄭志宏 技師</t>
    <phoneticPr fontId="3" type="noConversion"/>
  </si>
  <si>
    <t>02-22544468</t>
    <phoneticPr fontId="3" type="noConversion"/>
  </si>
  <si>
    <t>0963-230216</t>
    <phoneticPr fontId="3" type="noConversion"/>
  </si>
  <si>
    <t>16546029</t>
    <phoneticPr fontId="3" type="noConversion"/>
  </si>
  <si>
    <t>114.11.03</t>
    <phoneticPr fontId="3" type="noConversion"/>
  </si>
  <si>
    <t>B114-B048-1</t>
    <phoneticPr fontId="3" type="noConversion"/>
  </si>
  <si>
    <t>114.09.25</t>
    <phoneticPr fontId="3" type="noConversion"/>
  </si>
  <si>
    <t>國際海洋股份有限公司</t>
    <phoneticPr fontId="3" type="noConversion"/>
  </si>
  <si>
    <t xml:space="preserve">HDD site of land survey </t>
    <phoneticPr fontId="3" type="noConversion"/>
  </si>
  <si>
    <t>彰濱工業區</t>
    <phoneticPr fontId="3" type="noConversion"/>
  </si>
  <si>
    <t>依實作數量計價</t>
    <phoneticPr fontId="3" type="noConversion"/>
  </si>
  <si>
    <t>B114-B060-0</t>
    <phoneticPr fontId="3" type="noConversion"/>
  </si>
  <si>
    <t>114.10.23</t>
    <phoneticPr fontId="3" type="noConversion"/>
  </si>
  <si>
    <t>嘉64線拓寬改善工程路線錄影空拍作業</t>
    <phoneticPr fontId="3" type="noConversion"/>
  </si>
  <si>
    <t>嘉64線拓寬改善工程</t>
    <phoneticPr fontId="3" type="noConversion"/>
  </si>
  <si>
    <t>蔡宗錞</t>
    <phoneticPr fontId="3" type="noConversion"/>
  </si>
  <si>
    <t>05-3479088</t>
    <phoneticPr fontId="3" type="noConversion"/>
  </si>
  <si>
    <t>05-3478862</t>
    <phoneticPr fontId="3" type="noConversion"/>
  </si>
  <si>
    <t>台南市龍崎區</t>
    <phoneticPr fontId="3" type="noConversion"/>
  </si>
  <si>
    <t>台中市十甲路56號建物</t>
    <phoneticPr fontId="3" type="noConversion"/>
  </si>
  <si>
    <t>114.07.17</t>
    <phoneticPr fontId="3" type="noConversion"/>
  </si>
  <si>
    <t>114.10.08</t>
    <phoneticPr fontId="3" type="noConversion"/>
  </si>
  <si>
    <t>114.07.17</t>
    <phoneticPr fontId="3" type="noConversion"/>
  </si>
  <si>
    <t>114.10.08</t>
    <phoneticPr fontId="3" type="noConversion"/>
  </si>
  <si>
    <t>B114-A004-1</t>
    <phoneticPr fontId="3" type="noConversion"/>
  </si>
  <si>
    <t>B113-A016-2</t>
    <phoneticPr fontId="3" type="noConversion"/>
  </si>
  <si>
    <t>B113-A016-3</t>
    <phoneticPr fontId="3" type="noConversion"/>
  </si>
  <si>
    <t>114.08.05</t>
    <phoneticPr fontId="3" type="noConversion"/>
  </si>
  <si>
    <t>華筱晨</t>
    <phoneticPr fontId="3" type="noConversion"/>
  </si>
  <si>
    <t>華筱晨</t>
    <phoneticPr fontId="3" type="noConversion"/>
  </si>
  <si>
    <t>北屯區東光段28地號現況測量</t>
    <phoneticPr fontId="3" type="noConversion"/>
  </si>
  <si>
    <t>北屯區東光段28地號</t>
    <phoneticPr fontId="3" type="noConversion"/>
  </si>
  <si>
    <t>B114-B062-0</t>
    <phoneticPr fontId="3" type="noConversion"/>
  </si>
  <si>
    <t>114.11.03</t>
    <phoneticPr fontId="3" type="noConversion"/>
  </si>
  <si>
    <t>梧棲區民權段1643等16筆地號</t>
  </si>
  <si>
    <t>王盟貴</t>
    <phoneticPr fontId="3" type="noConversion"/>
  </si>
  <si>
    <t>0978-160099</t>
    <phoneticPr fontId="3" type="noConversion"/>
  </si>
  <si>
    <t>彰化縣員林市員東路二段498號5樓506室</t>
    <phoneticPr fontId="3" type="noConversion"/>
  </si>
  <si>
    <t>B114-B039-0</t>
    <phoneticPr fontId="3" type="noConversion"/>
  </si>
  <si>
    <t>嘉64線拓寬改善工程空拍及正射影像製作</t>
    <phoneticPr fontId="3" type="noConversion"/>
  </si>
  <si>
    <t>115.03.12</t>
    <phoneticPr fontId="3" type="noConversion"/>
  </si>
  <si>
    <t>B114-B017-B01</t>
    <phoneticPr fontId="3" type="noConversion"/>
  </si>
  <si>
    <t>B114-B017-B02</t>
    <phoneticPr fontId="3" type="noConversion"/>
  </si>
  <si>
    <t>114.04.23</t>
    <phoneticPr fontId="3" type="noConversion"/>
  </si>
  <si>
    <t>114.04.23</t>
    <phoneticPr fontId="3" type="noConversion"/>
  </si>
  <si>
    <t>玟揚精密工業股份有限公司</t>
    <phoneticPr fontId="3" type="noConversion"/>
  </si>
  <si>
    <t>草屯手工藝園區 A2坵塊現況及建築線測量</t>
    <phoneticPr fontId="3" type="noConversion"/>
  </si>
  <si>
    <t>草屯手工藝園區 A2坵塊</t>
    <phoneticPr fontId="3" type="noConversion"/>
  </si>
  <si>
    <t>草屯手工藝園區 F6坵塊</t>
    <phoneticPr fontId="3" type="noConversion"/>
  </si>
  <si>
    <t>溫設計師</t>
    <phoneticPr fontId="3" type="noConversion"/>
  </si>
  <si>
    <t>04-36097088#26</t>
    <phoneticPr fontId="3" type="noConversion"/>
  </si>
  <si>
    <t>90319689</t>
    <phoneticPr fontId="3" type="noConversion"/>
  </si>
  <si>
    <t>115.03.13</t>
  </si>
  <si>
    <t>115.03.13</t>
    <phoneticPr fontId="3" type="noConversion"/>
  </si>
  <si>
    <t>B114-B033-0</t>
    <phoneticPr fontId="3" type="noConversion"/>
  </si>
  <si>
    <t>114.07.08</t>
    <phoneticPr fontId="3" type="noConversion"/>
  </si>
  <si>
    <t>臺中市清水區現況測量</t>
    <phoneticPr fontId="3" type="noConversion"/>
  </si>
  <si>
    <t>臺中市清水區</t>
    <phoneticPr fontId="3" type="noConversion"/>
  </si>
  <si>
    <t>張裕沅 技師</t>
    <phoneticPr fontId="3" type="noConversion"/>
  </si>
  <si>
    <t>04-23587569</t>
    <phoneticPr fontId="3" type="noConversion"/>
  </si>
  <si>
    <t>83564454</t>
    <phoneticPr fontId="3" type="noConversion"/>
  </si>
  <si>
    <t>臺中市西屯區臺灣大道四段767號11樓之1</t>
    <phoneticPr fontId="3" type="noConversion"/>
  </si>
  <si>
    <t>115.03.13</t>
    <phoneticPr fontId="3" type="noConversion"/>
  </si>
  <si>
    <t>B114-B043-0</t>
    <phoneticPr fontId="3" type="noConversion"/>
  </si>
  <si>
    <t>114.12.02</t>
    <phoneticPr fontId="3" type="noConversion"/>
  </si>
  <si>
    <t>黎明工程顧問股份有限公司</t>
    <phoneticPr fontId="3" type="noConversion"/>
  </si>
  <si>
    <t>湖山水庫第一次定期安全評估委託技術服務</t>
    <phoneticPr fontId="3" type="noConversion"/>
  </si>
  <si>
    <t>雲林縣湖山水庫</t>
    <phoneticPr fontId="3" type="noConversion"/>
  </si>
  <si>
    <t>黃普源</t>
    <phoneticPr fontId="3" type="noConversion"/>
  </si>
  <si>
    <t>04-23208051#512</t>
    <phoneticPr fontId="3" type="noConversion"/>
  </si>
  <si>
    <t>0933-587955</t>
    <phoneticPr fontId="3" type="noConversion"/>
  </si>
  <si>
    <t>04-23208025</t>
    <phoneticPr fontId="3" type="noConversion"/>
  </si>
  <si>
    <t>97586963</t>
    <phoneticPr fontId="3" type="noConversion"/>
  </si>
  <si>
    <t>臺中市南屯區大墩十七街137號3樓</t>
    <phoneticPr fontId="3" type="noConversion"/>
  </si>
  <si>
    <t>115.03.13</t>
    <phoneticPr fontId="3" type="noConversion"/>
  </si>
  <si>
    <t>B114-B065-0</t>
    <phoneticPr fontId="3" type="noConversion"/>
  </si>
  <si>
    <t>114.11.27</t>
    <phoneticPr fontId="3" type="noConversion"/>
  </si>
  <si>
    <t>鄭志宏</t>
    <phoneticPr fontId="3" type="noConversion"/>
  </si>
  <si>
    <t>B114-B052-0</t>
    <phoneticPr fontId="3" type="noConversion"/>
  </si>
  <si>
    <t>114.09.22</t>
    <phoneticPr fontId="3" type="noConversion"/>
  </si>
  <si>
    <t>桃園市中壢區前寮段</t>
    <phoneticPr fontId="3" type="noConversion"/>
  </si>
  <si>
    <t>王欣雅</t>
    <phoneticPr fontId="3" type="noConversion"/>
  </si>
  <si>
    <t>04-22016369</t>
    <phoneticPr fontId="3" type="noConversion"/>
  </si>
  <si>
    <t>85998906</t>
    <phoneticPr fontId="3" type="noConversion"/>
  </si>
  <si>
    <t>洪得雄建築師事務所</t>
    <phoneticPr fontId="3" type="noConversion"/>
  </si>
  <si>
    <t>漢陽營區新建二級廠統包工程-測量項目</t>
    <phoneticPr fontId="3" type="noConversion"/>
  </si>
  <si>
    <t>金額改為含稅45000</t>
    <phoneticPr fontId="3" type="noConversion"/>
  </si>
  <si>
    <t>115.03.13</t>
    <phoneticPr fontId="3" type="noConversion"/>
  </si>
  <si>
    <t>長富營造有限公司</t>
    <phoneticPr fontId="3" type="noConversion"/>
  </si>
  <si>
    <t>空軍貿易六村職務宿舍興建統包工程-透地雷達測量及補充基地測量</t>
    <phoneticPr fontId="3" type="noConversion"/>
  </si>
  <si>
    <t>發票抬頭：蔡蕙宇</t>
    <phoneticPr fontId="3" type="noConversion"/>
  </si>
  <si>
    <t>115.03.13</t>
    <phoneticPr fontId="3" type="noConversion"/>
  </si>
  <si>
    <t>建築線測量部分未施作，金額改為1萬未稅
發票品名拿掉建築線測量
發票寄：台中市豐原區三和路354巷97弄1號 彭小姐</t>
    <phoneticPr fontId="3" type="noConversion"/>
  </si>
  <si>
    <t>展暘精密股份有限公司</t>
    <phoneticPr fontId="3" type="noConversion"/>
  </si>
  <si>
    <t>草屯手工藝園區 F6坵塊現況及建築線測量</t>
    <phoneticPr fontId="3" type="noConversion"/>
  </si>
  <si>
    <t>16535727</t>
    <phoneticPr fontId="3" type="noConversion"/>
  </si>
  <si>
    <t>發票抬頭：社團法人新北市結構工程技師公會  統編：10695182  寄：新北市板橋區四川路二段241號11樓</t>
    <phoneticPr fontId="3" type="noConversion"/>
  </si>
  <si>
    <t>北屯區陳平段2971地號建築線測量</t>
    <phoneticPr fontId="3" type="noConversion"/>
  </si>
  <si>
    <t>發票抬頭：樂昱建設有限公司  統編：92602248</t>
    <phoneticPr fontId="3" type="noConversion"/>
  </si>
  <si>
    <t>洪得雄建築師事務所</t>
    <phoneticPr fontId="3" type="noConversion"/>
  </si>
  <si>
    <t>豐原區豐勢路二段217號透地雷達掃描</t>
    <phoneticPr fontId="3" type="noConversion"/>
  </si>
  <si>
    <t>張啓良建築師事務所</t>
    <phoneticPr fontId="3" type="noConversion"/>
  </si>
  <si>
    <t>秋森萬工程顧問有限公司</t>
    <phoneticPr fontId="3" type="noConversion"/>
  </si>
  <si>
    <t>洪得雄建築師事務所</t>
    <phoneticPr fontId="3" type="noConversion"/>
  </si>
  <si>
    <t>桃園龍昌先期規劃測量作業</t>
    <phoneticPr fontId="3" type="noConversion"/>
  </si>
  <si>
    <t>王盟貴建築師事務所</t>
    <phoneticPr fontId="3" type="noConversion"/>
  </si>
  <si>
    <t>梧棲區民權段1643等16筆地號建築線測釘</t>
    <phoneticPr fontId="3" type="noConversion"/>
  </si>
  <si>
    <t>精摯工程顧問股份有限公司</t>
    <phoneticPr fontId="3" type="noConversion"/>
  </si>
  <si>
    <t>桃園楓樹國小現況測量</t>
    <phoneticPr fontId="3" type="noConversion"/>
  </si>
  <si>
    <t>臺中草屯區新富仁段567-26、567-27等2筆地號</t>
    <phoneticPr fontId="3" type="noConversion"/>
  </si>
  <si>
    <t>B114-C074-1</t>
    <phoneticPr fontId="3" type="noConversion"/>
  </si>
  <si>
    <t>114.11.18</t>
    <phoneticPr fontId="3" type="noConversion"/>
  </si>
  <si>
    <t>永宏地產有限公司</t>
    <phoneticPr fontId="3" type="noConversion"/>
  </si>
  <si>
    <t>北區中德段16-1地號</t>
    <phoneticPr fontId="3" type="noConversion"/>
  </si>
  <si>
    <t>v</t>
    <phoneticPr fontId="3" type="noConversion"/>
  </si>
  <si>
    <t>紀孟辰 小姐</t>
    <phoneticPr fontId="3" type="noConversion"/>
  </si>
  <si>
    <t>04-22362658</t>
    <phoneticPr fontId="3" type="noConversion"/>
  </si>
  <si>
    <t>24915428</t>
    <phoneticPr fontId="3" type="noConversion"/>
  </si>
  <si>
    <t>115.03.16</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</si>
</sst>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quot;$&quot;* #,##0.00_-;_-&quot;$&quot;* &quot;-&quot;??_-;_-@_-"/>
    <numFmt numFmtId="43" formatCode="_-* #,##0.00_-;\-* #,##0.00_-;_-* &quot;-&quot;??_-;_-@_-"/>
    <numFmt numFmtId="176" formatCode="_-&quot;$&quot;* #,##0_-;\-&quot;$&quot;* #,##0_-;_-&quot;$&quot;* &quot;-&quot;??_-;_-@_-"/>
    <numFmt numFmtId="177" formatCode="_-* #,##0_-;\-* #,##0_-;_-* &quot;-&quot;??_-;_-@_-"/>
  </numFmts>
  <fonts count="19" x14ac:knownFonts="1">
    <font>
      <sz val="12"/>
      <color theme="1"/>
      <name val="新細明體"/>
      <family val="2"/>
      <charset val="136"/>
      <scheme val="minor"/>
    </font>
    <font>
      <sz val="12"/>
      <color theme="1"/>
      <name val="新細明體"/>
      <family val="2"/>
      <charset val="136"/>
      <scheme val="minor"/>
    </font>
    <font>
      <sz val="14"/>
      <color theme="1"/>
      <name val="標楷體"/>
      <family val="4"/>
      <charset val="136"/>
    </font>
    <font>
      <sz val="9"/>
      <name val="新細明體"/>
      <family val="2"/>
      <charset val="136"/>
      <scheme val="minor"/>
    </font>
    <font>
      <b/>
      <sz val="14"/>
      <color theme="1"/>
      <name val="標楷體"/>
      <family val="4"/>
      <charset val="136"/>
    </font>
    <font>
      <b/>
      <sz val="14"/>
      <color rgb="FFFF0000"/>
      <name val="標楷體"/>
      <family val="4"/>
      <charset val="136"/>
    </font>
    <font>
      <b/>
      <sz val="14"/>
      <color theme="8"/>
      <name val="標楷體"/>
      <family val="4"/>
      <charset val="136"/>
    </font>
    <font>
      <b/>
      <sz val="16"/>
      <color theme="1"/>
      <name val="標楷體"/>
      <family val="4"/>
      <charset val="136"/>
    </font>
    <font>
      <sz val="12"/>
      <color theme="1"/>
      <name val="Tahoma"/>
      <family val="2"/>
    </font>
    <font>
      <sz val="12"/>
      <color theme="1"/>
      <name val="標楷體"/>
      <family val="4"/>
      <charset val="136"/>
    </font>
    <font>
      <sz val="12"/>
      <name val="Tahoma"/>
      <family val="2"/>
    </font>
    <font>
      <u/>
      <sz val="12"/>
      <color theme="10"/>
      <name val="新細明體"/>
      <family val="2"/>
      <charset val="136"/>
      <scheme val="minor"/>
    </font>
    <font>
      <u/>
      <sz val="12"/>
      <color theme="10"/>
      <name val="Tahoma"/>
      <family val="2"/>
    </font>
    <font>
      <sz val="12"/>
      <color rgb="FFFF0000"/>
      <name val="Tahoma"/>
      <family val="2"/>
    </font>
    <font>
      <sz val="12"/>
      <name val="標楷體"/>
      <family val="4"/>
      <charset val="136"/>
    </font>
    <font>
      <u/>
      <sz val="12"/>
      <name val="新細明體"/>
      <family val="2"/>
      <charset val="136"/>
      <scheme val="minor"/>
    </font>
    <font>
      <sz val="12"/>
      <name val="新細明體"/>
      <family val="2"/>
      <charset val="136"/>
      <scheme val="minor"/>
    </font>
    <font>
      <sz val="12"/>
      <color theme="1"/>
      <name val="細明體"/>
      <family val="3"/>
      <charset val="136"/>
    </font>
    <font>
      <sz val="12"/>
      <color rgb="FFFF0000"/>
      <name val="標楷體"/>
      <family val="4"/>
      <charset val="136"/>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s>
  <cellStyleXfs count="4">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0" fontId="11" fillId="0" borderId="0" applyNumberFormat="0" applyFill="0" applyBorder="0" applyAlignment="0" applyProtection="0">
      <alignment vertical="center"/>
    </xf>
  </cellStyleXfs>
  <cellXfs count="75">
    <xf numFmtId="0" fontId="0" fillId="0" borderId="0" xfId="0">
      <alignment vertical="center"/>
    </xf>
    <xf numFmtId="0" fontId="2"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4" fillId="0" borderId="1" xfId="0" applyFont="1" applyFill="1" applyBorder="1" applyAlignment="1">
      <alignment horizontal="center" vertical="center"/>
    </xf>
    <xf numFmtId="0" fontId="8" fillId="0" borderId="1" xfId="0" applyFont="1" applyFill="1" applyBorder="1" applyAlignment="1">
      <alignment horizontal="center" vertical="center"/>
    </xf>
    <xf numFmtId="0" fontId="8" fillId="0" borderId="1" xfId="0" applyFont="1" applyFill="1" applyBorder="1" applyAlignment="1">
      <alignment horizontal="left" vertical="center"/>
    </xf>
    <xf numFmtId="176" fontId="8" fillId="0" borderId="1" xfId="2" applyNumberFormat="1" applyFont="1" applyBorder="1" applyAlignment="1">
      <alignment horizontal="center" vertical="center"/>
    </xf>
    <xf numFmtId="0" fontId="8" fillId="0" borderId="1" xfId="0" applyFont="1" applyBorder="1">
      <alignment vertical="center"/>
    </xf>
    <xf numFmtId="0" fontId="9" fillId="0" borderId="1" xfId="0" applyFont="1" applyBorder="1">
      <alignment vertical="center"/>
    </xf>
    <xf numFmtId="0" fontId="0" fillId="0" borderId="1" xfId="0" applyFill="1" applyBorder="1">
      <alignment vertical="center"/>
    </xf>
    <xf numFmtId="0" fontId="0" fillId="0" borderId="0" xfId="0" applyFill="1">
      <alignment vertical="center"/>
    </xf>
    <xf numFmtId="0" fontId="8" fillId="0" borderId="1" xfId="0" applyFont="1" applyBorder="1" applyAlignment="1">
      <alignment horizontal="center" vertical="center"/>
    </xf>
    <xf numFmtId="0" fontId="9" fillId="0" borderId="1" xfId="0" applyFont="1" applyBorder="1" applyAlignment="1">
      <alignment vertical="center" wrapText="1"/>
    </xf>
    <xf numFmtId="177" fontId="8" fillId="0" borderId="1" xfId="1" applyNumberFormat="1" applyFont="1" applyBorder="1">
      <alignment vertical="center"/>
    </xf>
    <xf numFmtId="0" fontId="0" fillId="0" borderId="1" xfId="0" applyBorder="1">
      <alignment vertical="center"/>
    </xf>
    <xf numFmtId="0" fontId="9" fillId="0" borderId="1" xfId="0" applyFont="1" applyFill="1" applyBorder="1">
      <alignment vertical="center"/>
    </xf>
    <xf numFmtId="0" fontId="9" fillId="0" borderId="1" xfId="0" applyFont="1" applyFill="1" applyBorder="1" applyAlignment="1">
      <alignment vertical="center" wrapText="1"/>
    </xf>
    <xf numFmtId="177" fontId="10" fillId="0" borderId="1" xfId="1" applyNumberFormat="1" applyFont="1" applyFill="1" applyBorder="1">
      <alignment vertical="center"/>
    </xf>
    <xf numFmtId="176" fontId="8" fillId="0" borderId="1" xfId="2" applyNumberFormat="1" applyFont="1" applyFill="1" applyBorder="1" applyAlignment="1">
      <alignment horizontal="center" vertical="center"/>
    </xf>
    <xf numFmtId="177" fontId="8" fillId="0" borderId="1" xfId="1" applyNumberFormat="1" applyFont="1" applyFill="1" applyBorder="1">
      <alignment vertical="center"/>
    </xf>
    <xf numFmtId="0" fontId="8" fillId="0" borderId="1" xfId="0" applyFont="1" applyBorder="1" applyAlignment="1">
      <alignment horizontal="left" vertical="center"/>
    </xf>
    <xf numFmtId="49" fontId="8" fillId="0" borderId="1" xfId="0" applyNumberFormat="1" applyFont="1" applyBorder="1" applyAlignment="1">
      <alignment horizontal="center" vertical="center"/>
    </xf>
    <xf numFmtId="0" fontId="0" fillId="0" borderId="0" xfId="0" applyAlignment="1">
      <alignment vertical="center" wrapText="1"/>
    </xf>
    <xf numFmtId="0" fontId="6" fillId="0" borderId="1" xfId="0" applyFont="1" applyBorder="1" applyAlignment="1">
      <alignment horizontal="center" vertical="center"/>
    </xf>
    <xf numFmtId="0" fontId="9" fillId="0" borderId="1" xfId="0" applyFont="1" applyFill="1" applyBorder="1" applyAlignment="1">
      <alignment horizontal="left" vertical="center"/>
    </xf>
    <xf numFmtId="0" fontId="11" fillId="0" borderId="1" xfId="3" applyBorder="1" applyAlignment="1">
      <alignment horizontal="left" vertical="center"/>
    </xf>
    <xf numFmtId="0" fontId="9" fillId="0" borderId="1" xfId="0" applyFont="1" applyBorder="1" applyAlignment="1">
      <alignment horizontal="left" vertical="center"/>
    </xf>
    <xf numFmtId="0" fontId="12" fillId="0" borderId="1" xfId="3" applyFont="1" applyBorder="1" applyAlignment="1">
      <alignment horizontal="left" vertical="center"/>
    </xf>
    <xf numFmtId="0" fontId="7" fillId="0" borderId="1" xfId="0" applyFont="1" applyBorder="1" applyAlignment="1">
      <alignment horizontal="center" vertical="center" wrapText="1"/>
    </xf>
    <xf numFmtId="0" fontId="0" fillId="0" borderId="1" xfId="0" applyBorder="1" applyAlignment="1">
      <alignment vertical="center" wrapText="1"/>
    </xf>
    <xf numFmtId="0" fontId="0" fillId="0" borderId="0" xfId="0" applyFill="1" applyAlignment="1">
      <alignment horizontal="center" vertical="center"/>
    </xf>
    <xf numFmtId="0" fontId="0" fillId="0" borderId="0" xfId="0" applyAlignment="1">
      <alignment horizontal="center" vertical="center"/>
    </xf>
    <xf numFmtId="0" fontId="4" fillId="0" borderId="2" xfId="0" applyFont="1" applyFill="1" applyBorder="1" applyAlignment="1">
      <alignment horizontal="center" vertical="center"/>
    </xf>
    <xf numFmtId="177" fontId="10" fillId="0" borderId="1" xfId="1" applyNumberFormat="1" applyFont="1" applyBorder="1">
      <alignment vertical="center"/>
    </xf>
    <xf numFmtId="0" fontId="9" fillId="0" borderId="1" xfId="0" applyFont="1" applyBorder="1" applyAlignment="1">
      <alignment vertical="center"/>
    </xf>
    <xf numFmtId="177" fontId="8" fillId="0" borderId="1" xfId="1" applyNumberFormat="1" applyFont="1" applyBorder="1" applyAlignment="1">
      <alignment vertical="center"/>
    </xf>
    <xf numFmtId="177" fontId="8" fillId="0" borderId="1" xfId="1" applyNumberFormat="1" applyFont="1" applyFill="1" applyBorder="1" applyAlignment="1">
      <alignment vertical="center"/>
    </xf>
    <xf numFmtId="0" fontId="8" fillId="0" borderId="1" xfId="0" applyFont="1" applyBorder="1" applyAlignment="1">
      <alignment vertical="center"/>
    </xf>
    <xf numFmtId="0" fontId="0" fillId="0" borderId="1" xfId="0" applyBorder="1" applyAlignment="1">
      <alignment vertical="center"/>
    </xf>
    <xf numFmtId="0" fontId="0" fillId="0" borderId="0" xfId="0" applyAlignment="1">
      <alignment vertical="center"/>
    </xf>
    <xf numFmtId="176" fontId="13" fillId="2" borderId="1" xfId="2" applyNumberFormat="1" applyFont="1" applyFill="1" applyBorder="1" applyAlignment="1">
      <alignment horizontal="center" vertical="center"/>
    </xf>
    <xf numFmtId="177" fontId="13" fillId="2" borderId="1" xfId="1" applyNumberFormat="1" applyFont="1" applyFill="1" applyBorder="1">
      <alignment vertical="center"/>
    </xf>
    <xf numFmtId="0" fontId="10" fillId="2" borderId="1" xfId="0" applyFont="1" applyFill="1" applyBorder="1" applyAlignment="1">
      <alignment horizontal="left" vertical="center"/>
    </xf>
    <xf numFmtId="176" fontId="10" fillId="2" borderId="1" xfId="2" applyNumberFormat="1" applyFont="1" applyFill="1" applyBorder="1" applyAlignment="1">
      <alignment horizontal="center" vertical="center"/>
    </xf>
    <xf numFmtId="0" fontId="10" fillId="2" borderId="1" xfId="0" applyFont="1" applyFill="1" applyBorder="1" applyAlignment="1">
      <alignment horizontal="center" vertical="center"/>
    </xf>
    <xf numFmtId="0" fontId="14" fillId="2" borderId="1" xfId="0" applyFont="1" applyFill="1" applyBorder="1" applyAlignment="1">
      <alignment vertical="center" wrapText="1"/>
    </xf>
    <xf numFmtId="177" fontId="10" fillId="2" borderId="1" xfId="1" applyNumberFormat="1" applyFont="1" applyFill="1" applyBorder="1">
      <alignment vertical="center"/>
    </xf>
    <xf numFmtId="0" fontId="14" fillId="2" borderId="1" xfId="0" applyFont="1" applyFill="1" applyBorder="1" applyAlignment="1">
      <alignment horizontal="left" vertical="center"/>
    </xf>
    <xf numFmtId="0" fontId="14" fillId="2" borderId="1" xfId="0" applyFont="1" applyFill="1" applyBorder="1">
      <alignment vertical="center"/>
    </xf>
    <xf numFmtId="0" fontId="10" fillId="2" borderId="1" xfId="0" applyFont="1" applyFill="1" applyBorder="1">
      <alignment vertical="center"/>
    </xf>
    <xf numFmtId="49" fontId="10" fillId="2" borderId="1" xfId="0" applyNumberFormat="1" applyFont="1" applyFill="1" applyBorder="1" applyAlignment="1">
      <alignment horizontal="center" vertical="center"/>
    </xf>
    <xf numFmtId="0" fontId="15" fillId="2" borderId="1" xfId="3" applyFont="1" applyFill="1" applyBorder="1" applyAlignment="1">
      <alignment horizontal="left" vertical="center"/>
    </xf>
    <xf numFmtId="0" fontId="16" fillId="2" borderId="1" xfId="0" applyFont="1" applyFill="1" applyBorder="1">
      <alignment vertical="center"/>
    </xf>
    <xf numFmtId="0" fontId="8" fillId="2" borderId="1" xfId="0" applyFont="1" applyFill="1" applyBorder="1" applyAlignment="1">
      <alignment horizontal="left" vertical="center"/>
    </xf>
    <xf numFmtId="176" fontId="8" fillId="2" borderId="1" xfId="2" applyNumberFormat="1" applyFont="1" applyFill="1" applyBorder="1" applyAlignment="1">
      <alignment horizontal="center" vertical="center"/>
    </xf>
    <xf numFmtId="0" fontId="8" fillId="2" borderId="1" xfId="0" applyFont="1" applyFill="1" applyBorder="1" applyAlignment="1">
      <alignment horizontal="center" vertical="center"/>
    </xf>
    <xf numFmtId="0" fontId="9" fillId="2" borderId="1" xfId="0" applyFont="1" applyFill="1" applyBorder="1" applyAlignment="1">
      <alignment vertical="center" wrapText="1"/>
    </xf>
    <xf numFmtId="177" fontId="8" fillId="2" borderId="1" xfId="1" applyNumberFormat="1" applyFont="1" applyFill="1" applyBorder="1">
      <alignment vertical="center"/>
    </xf>
    <xf numFmtId="0" fontId="9" fillId="2" borderId="1" xfId="0" applyFont="1" applyFill="1" applyBorder="1" applyAlignment="1">
      <alignment horizontal="left" vertical="center"/>
    </xf>
    <xf numFmtId="0" fontId="9" fillId="2" borderId="1" xfId="0" applyFont="1" applyFill="1" applyBorder="1">
      <alignment vertical="center"/>
    </xf>
    <xf numFmtId="0" fontId="8" fillId="2" borderId="1" xfId="0" applyFont="1" applyFill="1" applyBorder="1">
      <alignment vertical="center"/>
    </xf>
    <xf numFmtId="49" fontId="8" fillId="2" borderId="1" xfId="0" applyNumberFormat="1" applyFont="1" applyFill="1" applyBorder="1" applyAlignment="1">
      <alignment horizontal="center" vertical="center"/>
    </xf>
    <xf numFmtId="0" fontId="11" fillId="2" borderId="1" xfId="3" applyFill="1" applyBorder="1" applyAlignment="1">
      <alignment horizontal="left" vertical="center"/>
    </xf>
    <xf numFmtId="0" fontId="0" fillId="2" borderId="1" xfId="0" applyFill="1" applyBorder="1">
      <alignment vertical="center"/>
    </xf>
    <xf numFmtId="0" fontId="17" fillId="0" borderId="1" xfId="0" applyFont="1" applyBorder="1" applyAlignment="1">
      <alignment horizontal="left" vertical="center"/>
    </xf>
    <xf numFmtId="0" fontId="17" fillId="0" borderId="1" xfId="0" applyFont="1" applyBorder="1" applyAlignment="1">
      <alignment horizontal="center" vertical="center"/>
    </xf>
    <xf numFmtId="0" fontId="8" fillId="0" borderId="1" xfId="0" applyFont="1" applyFill="1" applyBorder="1">
      <alignment vertical="center"/>
    </xf>
    <xf numFmtId="49" fontId="8" fillId="0" borderId="1" xfId="0" applyNumberFormat="1" applyFont="1" applyFill="1" applyBorder="1" applyAlignment="1">
      <alignment horizontal="center" vertical="center"/>
    </xf>
    <xf numFmtId="0" fontId="11" fillId="0" borderId="1" xfId="3" applyFill="1" applyBorder="1" applyAlignment="1">
      <alignment horizontal="left" vertical="center"/>
    </xf>
    <xf numFmtId="176" fontId="10" fillId="0" borderId="1" xfId="2" applyNumberFormat="1" applyFont="1" applyFill="1" applyBorder="1" applyAlignment="1">
      <alignment horizontal="center" vertical="center"/>
    </xf>
    <xf numFmtId="0" fontId="18" fillId="2" borderId="1" xfId="0" applyFont="1" applyFill="1" applyBorder="1" applyAlignment="1">
      <alignment vertical="center" wrapText="1"/>
    </xf>
    <xf numFmtId="0" fontId="14" fillId="0" borderId="1" xfId="0" applyFont="1" applyBorder="1" applyAlignment="1">
      <alignment vertical="center" wrapText="1"/>
    </xf>
    <xf numFmtId="177" fontId="0" fillId="0" borderId="0" xfId="1" applyNumberFormat="1" applyFont="1">
      <alignment vertical="center"/>
    </xf>
  </cellXfs>
  <cellStyles count="4">
    <cellStyle name="一般" xfId="0" builtinId="0"/>
    <cellStyle name="千分位" xfId="1" builtinId="3"/>
    <cellStyle name="貨幣" xfId="2" builtinId="4"/>
    <cellStyle name="超連結" xfId="3"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hth85998906@gmail.com" TargetMode="External"/><Relationship Id="rId2" Type="http://schemas.openxmlformats.org/officeDocument/2006/relationships/hyperlink" Target="mailto:hth85998906@gmail.com" TargetMode="External"/><Relationship Id="rId1" Type="http://schemas.openxmlformats.org/officeDocument/2006/relationships/hyperlink" Target="mailto:cllo0718910@gmail.com" TargetMode="External"/><Relationship Id="rId6" Type="http://schemas.openxmlformats.org/officeDocument/2006/relationships/printerSettings" Target="../printerSettings/printerSettings1.bin"/><Relationship Id="rId5" Type="http://schemas.openxmlformats.org/officeDocument/2006/relationships/hyperlink" Target="mailto:ricky@siecg.com" TargetMode="External"/><Relationship Id="rId4" Type="http://schemas.openxmlformats.org/officeDocument/2006/relationships/hyperlink" Target="mailto:runglin.atelier@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hth85998906@gmail.com" TargetMode="External"/><Relationship Id="rId2" Type="http://schemas.openxmlformats.org/officeDocument/2006/relationships/hyperlink" Target="mailto:hth85998906@gmail.com" TargetMode="External"/><Relationship Id="rId1" Type="http://schemas.openxmlformats.org/officeDocument/2006/relationships/hyperlink" Target="mailto:cllo0718910@gmail.com" TargetMode="External"/><Relationship Id="rId6" Type="http://schemas.openxmlformats.org/officeDocument/2006/relationships/printerSettings" Target="../printerSettings/printerSettings3.bin"/><Relationship Id="rId5" Type="http://schemas.openxmlformats.org/officeDocument/2006/relationships/hyperlink" Target="mailto:ricky@siecg.com" TargetMode="External"/><Relationship Id="rId4" Type="http://schemas.openxmlformats.org/officeDocument/2006/relationships/hyperlink" Target="mailto:runglin.atelier@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127"/>
  <sheetViews>
    <sheetView tabSelected="1" zoomScale="91" zoomScaleNormal="91" workbookViewId="0">
      <pane xSplit="6" ySplit="1" topLeftCell="V2" activePane="bottomRight" state="frozen"/>
      <selection pane="topRight" activeCell="G1" sqref="G1"/>
      <selection pane="bottomLeft" activeCell="A2" sqref="A2"/>
      <selection pane="bottomRight" activeCell="Z13" sqref="Z13"/>
    </sheetView>
  </sheetViews>
  <sheetFormatPr defaultRowHeight="16.5" x14ac:dyDescent="0.25"/>
  <cols>
    <col min="1" max="1" width="6.75" bestFit="1" customWidth="1"/>
    <col min="2" max="2" width="15.375" bestFit="1" customWidth="1"/>
    <col min="3" max="4" width="12.5" bestFit="1" customWidth="1"/>
    <col min="5" max="5" width="29" style="24" customWidth="1"/>
    <col min="6" max="6" width="51.625" style="24" customWidth="1"/>
    <col min="7" max="7" width="38.25" style="24" customWidth="1"/>
    <col min="8" max="8" width="14" customWidth="1"/>
    <col min="9" max="9" width="9.625" customWidth="1"/>
    <col min="10" max="10" width="10.625" customWidth="1"/>
    <col min="11" max="11" width="12.625" customWidth="1"/>
    <col min="12" max="13" width="12.5" customWidth="1"/>
    <col min="14" max="14" width="19.375" customWidth="1"/>
    <col min="15" max="15" width="12.5" customWidth="1"/>
    <col min="16" max="16" width="16.125" customWidth="1"/>
    <col min="17" max="17" width="24.25" customWidth="1"/>
    <col min="18" max="18" width="14.125" customWidth="1"/>
    <col min="19" max="19" width="15.375" customWidth="1"/>
    <col min="20" max="20" width="12.5" customWidth="1"/>
    <col min="21" max="21" width="32.875" customWidth="1"/>
    <col min="22" max="22" width="39.375" customWidth="1"/>
    <col min="23" max="23" width="55.25" style="24" customWidth="1"/>
    <col min="24" max="24" width="17.5" customWidth="1"/>
    <col min="25" max="25" width="7" style="33" bestFit="1" customWidth="1"/>
    <col min="26" max="26" width="43.5" customWidth="1"/>
  </cols>
  <sheetData>
    <row r="1" spans="1:25" ht="21" x14ac:dyDescent="0.25">
      <c r="A1" s="1" t="s">
        <v>0</v>
      </c>
      <c r="B1" s="2" t="s">
        <v>1</v>
      </c>
      <c r="C1" s="2" t="s">
        <v>2</v>
      </c>
      <c r="D1" s="2" t="s">
        <v>3</v>
      </c>
      <c r="E1" s="3" t="s">
        <v>4</v>
      </c>
      <c r="F1" s="3" t="s">
        <v>5</v>
      </c>
      <c r="G1" s="3" t="s">
        <v>6</v>
      </c>
      <c r="H1" s="2" t="s">
        <v>7</v>
      </c>
      <c r="I1" s="2" t="s">
        <v>8</v>
      </c>
      <c r="J1" s="2" t="s">
        <v>9</v>
      </c>
      <c r="K1" s="2" t="s">
        <v>10</v>
      </c>
      <c r="L1" s="4" t="s">
        <v>11</v>
      </c>
      <c r="M1" s="2" t="s">
        <v>12</v>
      </c>
      <c r="N1" s="25" t="s">
        <v>13</v>
      </c>
      <c r="O1" s="25" t="s">
        <v>14</v>
      </c>
      <c r="P1" s="2" t="s">
        <v>15</v>
      </c>
      <c r="Q1" s="2" t="s">
        <v>16</v>
      </c>
      <c r="R1" s="2" t="s">
        <v>17</v>
      </c>
      <c r="S1" s="2" t="s">
        <v>18</v>
      </c>
      <c r="T1" s="2" t="s">
        <v>19</v>
      </c>
      <c r="U1" s="2" t="s">
        <v>20</v>
      </c>
      <c r="V1" s="2" t="s">
        <v>21</v>
      </c>
      <c r="W1" s="30" t="s">
        <v>22</v>
      </c>
      <c r="X1" s="5" t="s">
        <v>23</v>
      </c>
      <c r="Y1" s="34" t="s">
        <v>24</v>
      </c>
    </row>
    <row r="2" spans="1:25" s="12" customFormat="1" x14ac:dyDescent="0.25">
      <c r="A2" s="57">
        <v>1</v>
      </c>
      <c r="B2" s="55" t="s">
        <v>198</v>
      </c>
      <c r="C2" s="56" t="s">
        <v>40</v>
      </c>
      <c r="D2" s="57" t="s">
        <v>199</v>
      </c>
      <c r="E2" s="58" t="s">
        <v>876</v>
      </c>
      <c r="F2" s="58" t="s">
        <v>877</v>
      </c>
      <c r="G2" s="58" t="s">
        <v>201</v>
      </c>
      <c r="H2" s="43">
        <v>45000</v>
      </c>
      <c r="I2" s="42" t="s">
        <v>40</v>
      </c>
      <c r="J2" s="43">
        <f t="shared" ref="J2:J3" si="0">IF(I2="",ROUND(H2*0.05,0),ROUND(H2/1.05*0.05,0))</f>
        <v>2143</v>
      </c>
      <c r="K2" s="43">
        <f t="shared" ref="K2:K3" si="1">IF(I2="",H2+J2,H2)</f>
        <v>45000</v>
      </c>
      <c r="L2" s="59"/>
      <c r="M2" s="57"/>
      <c r="N2" s="60"/>
      <c r="O2" s="59"/>
      <c r="P2" s="61" t="s">
        <v>202</v>
      </c>
      <c r="Q2" s="62" t="s">
        <v>203</v>
      </c>
      <c r="R2" s="62"/>
      <c r="S2" s="62"/>
      <c r="T2" s="63" t="s">
        <v>204</v>
      </c>
      <c r="U2" s="64" t="s">
        <v>214</v>
      </c>
      <c r="V2" s="61" t="s">
        <v>216</v>
      </c>
      <c r="W2" s="58" t="s">
        <v>878</v>
      </c>
      <c r="X2" s="65" t="s">
        <v>879</v>
      </c>
      <c r="Y2" s="32" t="s">
        <v>295</v>
      </c>
    </row>
    <row r="3" spans="1:25" s="12" customFormat="1" x14ac:dyDescent="0.25">
      <c r="A3" s="57">
        <v>2</v>
      </c>
      <c r="B3" s="55" t="s">
        <v>233</v>
      </c>
      <c r="C3" s="56" t="s">
        <v>40</v>
      </c>
      <c r="D3" s="57" t="s">
        <v>234</v>
      </c>
      <c r="E3" s="58" t="s">
        <v>236</v>
      </c>
      <c r="F3" s="58" t="s">
        <v>237</v>
      </c>
      <c r="G3" s="58" t="s">
        <v>238</v>
      </c>
      <c r="H3" s="43">
        <v>40000</v>
      </c>
      <c r="I3" s="42" t="s">
        <v>40</v>
      </c>
      <c r="J3" s="43">
        <f t="shared" si="0"/>
        <v>1905</v>
      </c>
      <c r="K3" s="43">
        <f t="shared" si="1"/>
        <v>40000</v>
      </c>
      <c r="L3" s="59"/>
      <c r="M3" s="57"/>
      <c r="N3" s="60"/>
      <c r="O3" s="59"/>
      <c r="P3" s="61" t="s">
        <v>242</v>
      </c>
      <c r="Q3" s="62" t="s">
        <v>243</v>
      </c>
      <c r="R3" s="62"/>
      <c r="S3" s="62"/>
      <c r="T3" s="63" t="s">
        <v>244</v>
      </c>
      <c r="U3" s="64"/>
      <c r="V3" s="61" t="s">
        <v>245</v>
      </c>
      <c r="W3" s="58" t="s">
        <v>240</v>
      </c>
      <c r="X3" s="65" t="s">
        <v>241</v>
      </c>
      <c r="Y3" s="32" t="s">
        <v>40</v>
      </c>
    </row>
    <row r="4" spans="1:25" s="12" customFormat="1" ht="33" x14ac:dyDescent="0.25">
      <c r="A4" s="6">
        <v>3</v>
      </c>
      <c r="B4" s="7" t="s">
        <v>646</v>
      </c>
      <c r="C4" s="8" t="s">
        <v>40</v>
      </c>
      <c r="D4" s="6" t="s">
        <v>647</v>
      </c>
      <c r="E4" s="18" t="s">
        <v>648</v>
      </c>
      <c r="F4" s="18" t="s">
        <v>649</v>
      </c>
      <c r="G4" s="18" t="s">
        <v>650</v>
      </c>
      <c r="H4" s="19">
        <v>450000</v>
      </c>
      <c r="I4" s="71" t="s">
        <v>651</v>
      </c>
      <c r="J4" s="19">
        <f t="shared" ref="J4" si="2">IF(I4="",ROUND(H4*0.05,0),ROUND(H4/1.05*0.05,0))</f>
        <v>21429</v>
      </c>
      <c r="K4" s="19">
        <f t="shared" ref="K4" si="3">IF(I4="",H4+J4,H4)</f>
        <v>450000</v>
      </c>
      <c r="L4" s="21"/>
      <c r="M4" s="6"/>
      <c r="N4" s="26"/>
      <c r="O4" s="21"/>
      <c r="P4" s="17" t="s">
        <v>652</v>
      </c>
      <c r="Q4" s="68" t="s">
        <v>653</v>
      </c>
      <c r="R4" s="68"/>
      <c r="S4" s="68" t="s">
        <v>654</v>
      </c>
      <c r="T4" s="69" t="s">
        <v>655</v>
      </c>
      <c r="U4" s="70"/>
      <c r="V4" s="17"/>
      <c r="W4" s="18"/>
      <c r="X4" s="11"/>
      <c r="Y4" s="32"/>
    </row>
    <row r="5" spans="1:25" s="12" customFormat="1" ht="33" x14ac:dyDescent="0.25">
      <c r="A5" s="6">
        <v>4</v>
      </c>
      <c r="B5" s="7" t="s">
        <v>57</v>
      </c>
      <c r="C5" s="8" t="s">
        <v>40</v>
      </c>
      <c r="D5" s="6" t="s">
        <v>58</v>
      </c>
      <c r="E5" s="18" t="s">
        <v>880</v>
      </c>
      <c r="F5" s="18" t="s">
        <v>881</v>
      </c>
      <c r="G5" s="18" t="s">
        <v>61</v>
      </c>
      <c r="H5" s="19">
        <v>95000</v>
      </c>
      <c r="I5" s="20"/>
      <c r="J5" s="21">
        <f t="shared" ref="J5" si="4">IF(I5="",ROUND(H5*0.05,0),ROUND(H5/1.05*0.05,0))</f>
        <v>4750</v>
      </c>
      <c r="K5" s="21">
        <f t="shared" ref="K5" si="5">IF(I5="",H5+J5,H5)</f>
        <v>99750</v>
      </c>
      <c r="L5" s="21"/>
      <c r="M5" s="6"/>
      <c r="N5" s="26"/>
      <c r="O5" s="21"/>
      <c r="P5" s="17" t="s">
        <v>93</v>
      </c>
      <c r="Q5" s="9" t="s">
        <v>62</v>
      </c>
      <c r="R5" s="9"/>
      <c r="S5" s="9"/>
      <c r="T5" s="23" t="s">
        <v>63</v>
      </c>
      <c r="U5" s="27"/>
      <c r="V5" s="10"/>
      <c r="W5" s="14"/>
      <c r="X5" s="11"/>
      <c r="Y5" s="32" t="s">
        <v>294</v>
      </c>
    </row>
    <row r="6" spans="1:25" s="12" customFormat="1" x14ac:dyDescent="0.25">
      <c r="A6" s="6">
        <v>5</v>
      </c>
      <c r="B6" s="7" t="s">
        <v>26</v>
      </c>
      <c r="C6" s="8" t="s">
        <v>40</v>
      </c>
      <c r="D6" s="6" t="s">
        <v>27</v>
      </c>
      <c r="E6" s="18" t="s">
        <v>28</v>
      </c>
      <c r="F6" s="18" t="s">
        <v>29</v>
      </c>
      <c r="G6" s="18"/>
      <c r="H6" s="19">
        <v>35000</v>
      </c>
      <c r="I6" s="20"/>
      <c r="J6" s="21">
        <f t="shared" ref="J6:J7" si="6">IF(I6="",ROUND(H6*0.05,0),ROUND(H6/1.05*0.05,0))</f>
        <v>1750</v>
      </c>
      <c r="K6" s="21">
        <f t="shared" ref="K6:K7" si="7">IF(I6="",H6+J6,H6)</f>
        <v>36750</v>
      </c>
      <c r="L6" s="21"/>
      <c r="M6" s="6"/>
      <c r="N6" s="26"/>
      <c r="O6" s="21"/>
      <c r="P6" s="17" t="s">
        <v>30</v>
      </c>
      <c r="Q6" s="9"/>
      <c r="R6" s="9" t="s">
        <v>31</v>
      </c>
      <c r="S6" s="9"/>
      <c r="T6" s="23" t="s">
        <v>32</v>
      </c>
      <c r="U6" s="27"/>
      <c r="V6" s="10" t="s">
        <v>33</v>
      </c>
      <c r="W6" s="14"/>
      <c r="X6" s="11" t="s">
        <v>232</v>
      </c>
      <c r="Y6" s="32" t="s">
        <v>296</v>
      </c>
    </row>
    <row r="7" spans="1:25" s="12" customFormat="1" ht="33" x14ac:dyDescent="0.25">
      <c r="A7" s="57">
        <v>6</v>
      </c>
      <c r="B7" s="44" t="s">
        <v>64</v>
      </c>
      <c r="C7" s="45" t="s">
        <v>40</v>
      </c>
      <c r="D7" s="46" t="s">
        <v>65</v>
      </c>
      <c r="E7" s="47" t="s">
        <v>235</v>
      </c>
      <c r="F7" s="47" t="s">
        <v>66</v>
      </c>
      <c r="G7" s="47" t="s">
        <v>67</v>
      </c>
      <c r="H7" s="43">
        <v>140000</v>
      </c>
      <c r="I7" s="42" t="s">
        <v>40</v>
      </c>
      <c r="J7" s="43">
        <f t="shared" si="6"/>
        <v>6667</v>
      </c>
      <c r="K7" s="43">
        <f t="shared" si="7"/>
        <v>140000</v>
      </c>
      <c r="L7" s="48"/>
      <c r="M7" s="46"/>
      <c r="N7" s="49"/>
      <c r="O7" s="48"/>
      <c r="P7" s="50" t="s">
        <v>92</v>
      </c>
      <c r="Q7" s="51" t="s">
        <v>68</v>
      </c>
      <c r="R7" s="51"/>
      <c r="S7" s="51"/>
      <c r="T7" s="52" t="s">
        <v>69</v>
      </c>
      <c r="U7" s="53"/>
      <c r="V7" s="50" t="s">
        <v>70</v>
      </c>
      <c r="W7" s="47" t="s">
        <v>239</v>
      </c>
      <c r="X7" s="54" t="s">
        <v>71</v>
      </c>
      <c r="Y7" s="32" t="s">
        <v>297</v>
      </c>
    </row>
    <row r="8" spans="1:25" x14ac:dyDescent="0.25">
      <c r="A8" s="6">
        <v>7</v>
      </c>
      <c r="B8" s="7" t="s">
        <v>282</v>
      </c>
      <c r="C8" s="8" t="s">
        <v>41</v>
      </c>
      <c r="D8" s="13" t="s">
        <v>42</v>
      </c>
      <c r="E8" s="14" t="s">
        <v>43</v>
      </c>
      <c r="F8" s="14" t="s">
        <v>44</v>
      </c>
      <c r="G8" s="14" t="s">
        <v>45</v>
      </c>
      <c r="H8" s="35">
        <v>17000</v>
      </c>
      <c r="I8" s="8"/>
      <c r="J8" s="21">
        <f t="shared" ref="J8:J127" si="8">IF(I8="",ROUND(H8*0.05,0),ROUND(H8/1.05*0.05,0))</f>
        <v>850</v>
      </c>
      <c r="K8" s="21">
        <f t="shared" ref="K8:K127" si="9">IF(I8="",H8+J8,H8)</f>
        <v>17850</v>
      </c>
      <c r="L8" s="15"/>
      <c r="M8" s="13"/>
      <c r="N8" s="10"/>
      <c r="O8" s="15"/>
      <c r="P8" s="10" t="s">
        <v>43</v>
      </c>
      <c r="Q8" s="9" t="s">
        <v>293</v>
      </c>
      <c r="R8" s="9"/>
      <c r="S8" s="9"/>
      <c r="T8" s="23"/>
      <c r="U8" s="27"/>
      <c r="V8" s="28" t="s">
        <v>46</v>
      </c>
      <c r="W8" s="14"/>
      <c r="X8" s="16"/>
      <c r="Y8" s="32" t="s">
        <v>294</v>
      </c>
    </row>
    <row r="9" spans="1:25" x14ac:dyDescent="0.25">
      <c r="A9" s="6">
        <v>8</v>
      </c>
      <c r="B9" s="7" t="s">
        <v>72</v>
      </c>
      <c r="C9" s="8" t="s">
        <v>41</v>
      </c>
      <c r="D9" s="13" t="s">
        <v>73</v>
      </c>
      <c r="E9" s="14" t="s">
        <v>74</v>
      </c>
      <c r="F9" s="14" t="s">
        <v>75</v>
      </c>
      <c r="G9" s="14" t="s">
        <v>76</v>
      </c>
      <c r="H9" s="15">
        <v>45000</v>
      </c>
      <c r="I9" s="8"/>
      <c r="J9" s="21">
        <f t="shared" si="8"/>
        <v>2250</v>
      </c>
      <c r="K9" s="21">
        <f t="shared" si="9"/>
        <v>47250</v>
      </c>
      <c r="L9" s="15"/>
      <c r="M9" s="13"/>
      <c r="N9" s="10"/>
      <c r="O9" s="15"/>
      <c r="P9" s="10"/>
      <c r="Q9" s="9"/>
      <c r="R9" s="9"/>
      <c r="S9" s="9"/>
      <c r="T9" s="23"/>
      <c r="U9" s="27"/>
      <c r="V9" s="28"/>
      <c r="W9" s="14" t="s">
        <v>882</v>
      </c>
      <c r="X9" s="16" t="s">
        <v>883</v>
      </c>
      <c r="Y9" s="32" t="s">
        <v>294</v>
      </c>
    </row>
    <row r="10" spans="1:25" ht="33" x14ac:dyDescent="0.25">
      <c r="A10" s="6">
        <v>9</v>
      </c>
      <c r="B10" s="7" t="s">
        <v>285</v>
      </c>
      <c r="C10" s="8" t="s">
        <v>40</v>
      </c>
      <c r="D10" s="13" t="s">
        <v>283</v>
      </c>
      <c r="E10" s="14" t="s">
        <v>43</v>
      </c>
      <c r="F10" s="14" t="s">
        <v>284</v>
      </c>
      <c r="G10" s="14" t="s">
        <v>292</v>
      </c>
      <c r="H10" s="15">
        <v>17000</v>
      </c>
      <c r="I10" s="8"/>
      <c r="J10" s="21">
        <f t="shared" si="8"/>
        <v>850</v>
      </c>
      <c r="K10" s="21">
        <f t="shared" si="9"/>
        <v>17850</v>
      </c>
      <c r="L10" s="15"/>
      <c r="M10" s="13"/>
      <c r="N10" s="10"/>
      <c r="O10" s="15"/>
      <c r="P10" s="10" t="s">
        <v>43</v>
      </c>
      <c r="Q10" s="9" t="s">
        <v>293</v>
      </c>
      <c r="R10" s="9"/>
      <c r="S10" s="9"/>
      <c r="T10" s="23"/>
      <c r="U10" s="27"/>
      <c r="V10" s="28"/>
      <c r="W10" s="14"/>
      <c r="X10" s="16"/>
      <c r="Y10" s="32" t="s">
        <v>40</v>
      </c>
    </row>
    <row r="11" spans="1:25" s="12" customFormat="1" x14ac:dyDescent="0.25">
      <c r="A11" s="6">
        <v>10</v>
      </c>
      <c r="B11" s="7" t="s">
        <v>77</v>
      </c>
      <c r="C11" s="8" t="s">
        <v>41</v>
      </c>
      <c r="D11" s="6" t="s">
        <v>78</v>
      </c>
      <c r="E11" s="18" t="s">
        <v>79</v>
      </c>
      <c r="F11" s="18" t="s">
        <v>831</v>
      </c>
      <c r="G11" s="18" t="s">
        <v>81</v>
      </c>
      <c r="H11" s="19">
        <v>35000</v>
      </c>
      <c r="I11" s="20"/>
      <c r="J11" s="21">
        <f t="shared" si="8"/>
        <v>1750</v>
      </c>
      <c r="K11" s="21">
        <f t="shared" si="9"/>
        <v>36750</v>
      </c>
      <c r="L11" s="21"/>
      <c r="M11" s="6"/>
      <c r="N11" s="26"/>
      <c r="O11" s="21"/>
      <c r="P11" s="17" t="s">
        <v>82</v>
      </c>
      <c r="Q11" s="9" t="s">
        <v>83</v>
      </c>
      <c r="R11" s="9"/>
      <c r="S11" s="9" t="s">
        <v>84</v>
      </c>
      <c r="T11" s="23" t="s">
        <v>85</v>
      </c>
      <c r="U11" s="27"/>
      <c r="V11" s="10" t="s">
        <v>86</v>
      </c>
      <c r="W11" s="14"/>
      <c r="X11" s="11" t="s">
        <v>832</v>
      </c>
      <c r="Y11" s="32" t="s">
        <v>294</v>
      </c>
    </row>
    <row r="12" spans="1:25" s="12" customFormat="1" ht="33" x14ac:dyDescent="0.25">
      <c r="A12" s="6">
        <v>11</v>
      </c>
      <c r="B12" s="7" t="s">
        <v>246</v>
      </c>
      <c r="C12" s="8" t="s">
        <v>41</v>
      </c>
      <c r="D12" s="6" t="s">
        <v>247</v>
      </c>
      <c r="E12" s="18"/>
      <c r="F12" s="18" t="s">
        <v>248</v>
      </c>
      <c r="G12" s="18" t="s">
        <v>249</v>
      </c>
      <c r="H12" s="19">
        <v>40000</v>
      </c>
      <c r="I12" s="20"/>
      <c r="J12" s="21">
        <f t="shared" si="8"/>
        <v>2000</v>
      </c>
      <c r="K12" s="21">
        <f t="shared" si="9"/>
        <v>42000</v>
      </c>
      <c r="L12" s="21"/>
      <c r="M12" s="6"/>
      <c r="N12" s="26"/>
      <c r="O12" s="21"/>
      <c r="P12" s="17" t="s">
        <v>250</v>
      </c>
      <c r="Q12" s="9"/>
      <c r="R12" s="9"/>
      <c r="S12" s="9"/>
      <c r="T12" s="23"/>
      <c r="U12" s="27"/>
      <c r="V12" s="10"/>
      <c r="W12" s="14" t="s">
        <v>888</v>
      </c>
      <c r="X12" s="11" t="s">
        <v>785</v>
      </c>
      <c r="Y12" s="32" t="s">
        <v>40</v>
      </c>
    </row>
    <row r="13" spans="1:25" s="12" customFormat="1" ht="49.5" x14ac:dyDescent="0.25">
      <c r="A13" s="57">
        <v>12</v>
      </c>
      <c r="B13" s="55" t="s">
        <v>833</v>
      </c>
      <c r="C13" s="56" t="s">
        <v>40</v>
      </c>
      <c r="D13" s="57" t="s">
        <v>835</v>
      </c>
      <c r="E13" s="58" t="s">
        <v>885</v>
      </c>
      <c r="F13" s="58" t="s">
        <v>838</v>
      </c>
      <c r="G13" s="61" t="s">
        <v>839</v>
      </c>
      <c r="H13" s="43">
        <v>10000</v>
      </c>
      <c r="I13" s="42"/>
      <c r="J13" s="43">
        <f t="shared" si="8"/>
        <v>500</v>
      </c>
      <c r="K13" s="43">
        <f t="shared" si="9"/>
        <v>10500</v>
      </c>
      <c r="L13" s="59"/>
      <c r="M13" s="57"/>
      <c r="N13" s="60"/>
      <c r="O13" s="59"/>
      <c r="P13" s="61" t="s">
        <v>841</v>
      </c>
      <c r="Q13" s="62" t="s">
        <v>842</v>
      </c>
      <c r="R13" s="62"/>
      <c r="S13" s="62"/>
      <c r="T13" s="63" t="s">
        <v>843</v>
      </c>
      <c r="U13" s="64"/>
      <c r="V13" s="61" t="s">
        <v>839</v>
      </c>
      <c r="W13" s="58" t="s">
        <v>884</v>
      </c>
      <c r="X13" s="65" t="s">
        <v>845</v>
      </c>
      <c r="Y13" s="32"/>
    </row>
    <row r="14" spans="1:25" s="12" customFormat="1" ht="49.5" x14ac:dyDescent="0.25">
      <c r="A14" s="57">
        <v>13</v>
      </c>
      <c r="B14" s="55" t="s">
        <v>834</v>
      </c>
      <c r="C14" s="56" t="s">
        <v>40</v>
      </c>
      <c r="D14" s="57" t="s">
        <v>836</v>
      </c>
      <c r="E14" s="58" t="s">
        <v>837</v>
      </c>
      <c r="F14" s="58" t="s">
        <v>886</v>
      </c>
      <c r="G14" s="61" t="s">
        <v>840</v>
      </c>
      <c r="H14" s="43">
        <v>10000</v>
      </c>
      <c r="I14" s="42"/>
      <c r="J14" s="43">
        <f t="shared" si="8"/>
        <v>500</v>
      </c>
      <c r="K14" s="43">
        <f t="shared" si="9"/>
        <v>10500</v>
      </c>
      <c r="L14" s="59"/>
      <c r="M14" s="57"/>
      <c r="N14" s="60"/>
      <c r="O14" s="59"/>
      <c r="P14" s="61" t="s">
        <v>841</v>
      </c>
      <c r="Q14" s="62" t="s">
        <v>842</v>
      </c>
      <c r="R14" s="62"/>
      <c r="S14" s="62"/>
      <c r="T14" s="63" t="s">
        <v>887</v>
      </c>
      <c r="U14" s="64"/>
      <c r="V14" s="61" t="s">
        <v>840</v>
      </c>
      <c r="W14" s="58" t="s">
        <v>884</v>
      </c>
      <c r="X14" s="65" t="s">
        <v>845</v>
      </c>
      <c r="Y14" s="32"/>
    </row>
    <row r="15" spans="1:25" s="12" customFormat="1" x14ac:dyDescent="0.25">
      <c r="A15" s="6">
        <v>14</v>
      </c>
      <c r="B15" s="22" t="s">
        <v>772</v>
      </c>
      <c r="C15" s="8" t="s">
        <v>40</v>
      </c>
      <c r="D15" s="6" t="s">
        <v>773</v>
      </c>
      <c r="E15" s="18" t="s">
        <v>774</v>
      </c>
      <c r="F15" s="18" t="s">
        <v>775</v>
      </c>
      <c r="G15" s="18" t="s">
        <v>776</v>
      </c>
      <c r="H15" s="19">
        <v>434000</v>
      </c>
      <c r="I15" s="20" t="s">
        <v>777</v>
      </c>
      <c r="J15" s="21">
        <f t="shared" si="8"/>
        <v>20667</v>
      </c>
      <c r="K15" s="21">
        <f t="shared" si="9"/>
        <v>434000</v>
      </c>
      <c r="L15" s="21"/>
      <c r="M15" s="6"/>
      <c r="N15" s="26"/>
      <c r="O15" s="21"/>
      <c r="P15" s="17" t="s">
        <v>778</v>
      </c>
      <c r="Q15" s="9" t="s">
        <v>779</v>
      </c>
      <c r="R15" s="9"/>
      <c r="S15" s="9" t="s">
        <v>780</v>
      </c>
      <c r="T15" s="23" t="s">
        <v>781</v>
      </c>
      <c r="U15" s="27" t="s">
        <v>782</v>
      </c>
      <c r="V15" s="10" t="s">
        <v>783</v>
      </c>
      <c r="W15" s="14"/>
      <c r="X15" s="11" t="s">
        <v>784</v>
      </c>
      <c r="Y15" s="32"/>
    </row>
    <row r="16" spans="1:25" s="12" customFormat="1" x14ac:dyDescent="0.25">
      <c r="A16" s="6">
        <v>15</v>
      </c>
      <c r="B16" s="22" t="s">
        <v>176</v>
      </c>
      <c r="C16" s="8" t="s">
        <v>40</v>
      </c>
      <c r="D16" s="6" t="s">
        <v>178</v>
      </c>
      <c r="E16" s="18" t="s">
        <v>218</v>
      </c>
      <c r="F16" s="18" t="s">
        <v>180</v>
      </c>
      <c r="G16" s="18" t="s">
        <v>181</v>
      </c>
      <c r="H16" s="19">
        <v>93000</v>
      </c>
      <c r="I16" s="20"/>
      <c r="J16" s="21">
        <f t="shared" si="8"/>
        <v>4650</v>
      </c>
      <c r="K16" s="21">
        <f t="shared" si="9"/>
        <v>97650</v>
      </c>
      <c r="L16" s="21"/>
      <c r="M16" s="6"/>
      <c r="N16" s="26"/>
      <c r="O16" s="21"/>
      <c r="P16" s="17" t="s">
        <v>182</v>
      </c>
      <c r="Q16" s="9" t="s">
        <v>183</v>
      </c>
      <c r="R16" s="9" t="s">
        <v>184</v>
      </c>
      <c r="S16" s="9" t="s">
        <v>185</v>
      </c>
      <c r="T16" s="23" t="s">
        <v>186</v>
      </c>
      <c r="U16" s="27"/>
      <c r="V16" s="10" t="s">
        <v>187</v>
      </c>
      <c r="W16" s="14" t="s">
        <v>251</v>
      </c>
      <c r="X16" s="11" t="s">
        <v>786</v>
      </c>
      <c r="Y16" s="32" t="s">
        <v>294</v>
      </c>
    </row>
    <row r="17" spans="1:25" x14ac:dyDescent="0.25">
      <c r="A17" s="6">
        <v>16</v>
      </c>
      <c r="B17" s="22" t="s">
        <v>170</v>
      </c>
      <c r="C17" s="8" t="s">
        <v>40</v>
      </c>
      <c r="D17" s="13" t="s">
        <v>171</v>
      </c>
      <c r="E17" s="14" t="s">
        <v>172</v>
      </c>
      <c r="F17" s="14" t="s">
        <v>889</v>
      </c>
      <c r="G17" s="14" t="s">
        <v>291</v>
      </c>
      <c r="H17" s="15">
        <v>17000</v>
      </c>
      <c r="I17" s="8"/>
      <c r="J17" s="21">
        <f t="shared" si="8"/>
        <v>850</v>
      </c>
      <c r="K17" s="21">
        <f t="shared" si="9"/>
        <v>17850</v>
      </c>
      <c r="L17" s="15"/>
      <c r="M17" s="13"/>
      <c r="N17" s="10"/>
      <c r="O17" s="15"/>
      <c r="P17" s="10" t="s">
        <v>173</v>
      </c>
      <c r="Q17" s="9" t="s">
        <v>174</v>
      </c>
      <c r="R17" s="9"/>
      <c r="S17" s="9"/>
      <c r="T17" s="23" t="s">
        <v>175</v>
      </c>
      <c r="U17" s="27"/>
      <c r="V17" s="28" t="s">
        <v>46</v>
      </c>
      <c r="W17" s="14" t="s">
        <v>890</v>
      </c>
      <c r="X17" s="16" t="s">
        <v>845</v>
      </c>
      <c r="Y17" s="32" t="s">
        <v>294</v>
      </c>
    </row>
    <row r="18" spans="1:25" ht="33" x14ac:dyDescent="0.25">
      <c r="A18" s="6">
        <v>17</v>
      </c>
      <c r="B18" s="22" t="s">
        <v>177</v>
      </c>
      <c r="C18" s="8" t="s">
        <v>40</v>
      </c>
      <c r="D18" s="13" t="s">
        <v>179</v>
      </c>
      <c r="E18" s="14" t="s">
        <v>189</v>
      </c>
      <c r="F18" s="14" t="s">
        <v>190</v>
      </c>
      <c r="G18" s="14" t="s">
        <v>191</v>
      </c>
      <c r="H18" s="15">
        <v>15000</v>
      </c>
      <c r="I18" s="8"/>
      <c r="J18" s="21">
        <f t="shared" si="8"/>
        <v>750</v>
      </c>
      <c r="K18" s="21">
        <f t="shared" si="9"/>
        <v>15750</v>
      </c>
      <c r="L18" s="15"/>
      <c r="M18" s="13"/>
      <c r="N18" s="10"/>
      <c r="O18" s="15"/>
      <c r="P18" s="10" t="s">
        <v>192</v>
      </c>
      <c r="Q18" s="9" t="s">
        <v>193</v>
      </c>
      <c r="R18" s="9" t="s">
        <v>195</v>
      </c>
      <c r="S18" s="9" t="s">
        <v>194</v>
      </c>
      <c r="T18" s="23" t="s">
        <v>196</v>
      </c>
      <c r="U18" s="27" t="s">
        <v>197</v>
      </c>
      <c r="V18" s="28" t="s">
        <v>188</v>
      </c>
      <c r="W18" s="14"/>
      <c r="X18" s="16" t="s">
        <v>241</v>
      </c>
      <c r="Y18" s="32" t="s">
        <v>294</v>
      </c>
    </row>
    <row r="19" spans="1:25" x14ac:dyDescent="0.25">
      <c r="A19" s="6">
        <v>18</v>
      </c>
      <c r="B19" s="22" t="s">
        <v>205</v>
      </c>
      <c r="C19" s="8" t="s">
        <v>40</v>
      </c>
      <c r="D19" s="13" t="s">
        <v>206</v>
      </c>
      <c r="E19" s="14" t="s">
        <v>891</v>
      </c>
      <c r="F19" s="14" t="s">
        <v>209</v>
      </c>
      <c r="G19" s="14" t="s">
        <v>210</v>
      </c>
      <c r="H19" s="15">
        <v>14000</v>
      </c>
      <c r="I19" s="8" t="s">
        <v>25</v>
      </c>
      <c r="J19" s="21">
        <f t="shared" si="8"/>
        <v>667</v>
      </c>
      <c r="K19" s="21">
        <f t="shared" si="9"/>
        <v>14000</v>
      </c>
      <c r="L19" s="15"/>
      <c r="M19" s="13"/>
      <c r="N19" s="10"/>
      <c r="O19" s="15"/>
      <c r="P19" s="10" t="s">
        <v>211</v>
      </c>
      <c r="Q19" s="9" t="s">
        <v>212</v>
      </c>
      <c r="R19" s="9"/>
      <c r="S19" s="9"/>
      <c r="T19" s="23" t="s">
        <v>213</v>
      </c>
      <c r="U19" s="27" t="s">
        <v>215</v>
      </c>
      <c r="V19" s="28" t="s">
        <v>217</v>
      </c>
      <c r="W19" s="14"/>
      <c r="X19" s="16" t="s">
        <v>845</v>
      </c>
      <c r="Y19" s="32" t="s">
        <v>40</v>
      </c>
    </row>
    <row r="20" spans="1:25" x14ac:dyDescent="0.25">
      <c r="A20" s="57">
        <v>19</v>
      </c>
      <c r="B20" s="55" t="s">
        <v>222</v>
      </c>
      <c r="C20" s="56" t="s">
        <v>40</v>
      </c>
      <c r="D20" s="57" t="s">
        <v>223</v>
      </c>
      <c r="E20" s="58" t="s">
        <v>224</v>
      </c>
      <c r="F20" s="58" t="s">
        <v>225</v>
      </c>
      <c r="G20" s="58" t="s">
        <v>226</v>
      </c>
      <c r="H20" s="43">
        <v>120000</v>
      </c>
      <c r="I20" s="42" t="s">
        <v>25</v>
      </c>
      <c r="J20" s="43">
        <f t="shared" ref="J20" si="10">IF(I20="",ROUND(H20*0.05,0),ROUND(H20/1.05*0.05,0))</f>
        <v>5714</v>
      </c>
      <c r="K20" s="43">
        <f t="shared" ref="K20" si="11">IF(I20="",H20+J20,H20)</f>
        <v>120000</v>
      </c>
      <c r="L20" s="59"/>
      <c r="M20" s="57"/>
      <c r="N20" s="61"/>
      <c r="O20" s="59"/>
      <c r="P20" s="61" t="s">
        <v>227</v>
      </c>
      <c r="Q20" s="62" t="s">
        <v>228</v>
      </c>
      <c r="R20" s="62" t="s">
        <v>229</v>
      </c>
      <c r="S20" s="62" t="s">
        <v>230</v>
      </c>
      <c r="T20" s="63" t="s">
        <v>231</v>
      </c>
      <c r="U20" s="64"/>
      <c r="V20" s="61" t="s">
        <v>187</v>
      </c>
      <c r="W20" s="58" t="s">
        <v>252</v>
      </c>
      <c r="X20" s="65" t="s">
        <v>813</v>
      </c>
      <c r="Y20" s="32" t="s">
        <v>294</v>
      </c>
    </row>
    <row r="21" spans="1:25" x14ac:dyDescent="0.25">
      <c r="A21" s="57">
        <v>20</v>
      </c>
      <c r="B21" s="55" t="s">
        <v>253</v>
      </c>
      <c r="C21" s="56" t="s">
        <v>254</v>
      </c>
      <c r="D21" s="57" t="s">
        <v>255</v>
      </c>
      <c r="E21" s="58" t="s">
        <v>258</v>
      </c>
      <c r="F21" s="58" t="s">
        <v>259</v>
      </c>
      <c r="G21" s="58" t="s">
        <v>269</v>
      </c>
      <c r="H21" s="43">
        <v>30000</v>
      </c>
      <c r="I21" s="42" t="s">
        <v>263</v>
      </c>
      <c r="J21" s="43">
        <f t="shared" ref="J21:J29" si="12">IF(I21="",ROUND(H21*0.05,0),ROUND(H21/1.05*0.05,0))</f>
        <v>1429</v>
      </c>
      <c r="K21" s="43">
        <f t="shared" ref="K21:K29" si="13">IF(I21="",H21+J21,H21)</f>
        <v>30000</v>
      </c>
      <c r="L21" s="59"/>
      <c r="M21" s="57"/>
      <c r="N21" s="61"/>
      <c r="O21" s="59"/>
      <c r="P21" s="61" t="s">
        <v>266</v>
      </c>
      <c r="Q21" s="62" t="s">
        <v>267</v>
      </c>
      <c r="R21" s="62"/>
      <c r="S21" s="62"/>
      <c r="T21" s="63" t="s">
        <v>274</v>
      </c>
      <c r="U21" s="64" t="s">
        <v>268</v>
      </c>
      <c r="V21" s="60" t="s">
        <v>265</v>
      </c>
      <c r="W21" s="58" t="s">
        <v>264</v>
      </c>
      <c r="X21" s="65"/>
      <c r="Y21" s="32" t="s">
        <v>40</v>
      </c>
    </row>
    <row r="22" spans="1:25" x14ac:dyDescent="0.25">
      <c r="A22" s="6">
        <v>21</v>
      </c>
      <c r="B22" s="7" t="s">
        <v>256</v>
      </c>
      <c r="C22" s="8" t="s">
        <v>254</v>
      </c>
      <c r="D22" s="13" t="s">
        <v>257</v>
      </c>
      <c r="E22" s="14" t="s">
        <v>260</v>
      </c>
      <c r="F22" s="14" t="s">
        <v>261</v>
      </c>
      <c r="G22" s="14" t="s">
        <v>262</v>
      </c>
      <c r="H22" s="15">
        <v>114600</v>
      </c>
      <c r="I22" s="8"/>
      <c r="J22" s="19">
        <f t="shared" si="12"/>
        <v>5730</v>
      </c>
      <c r="K22" s="19">
        <f t="shared" si="13"/>
        <v>120330</v>
      </c>
      <c r="L22" s="15"/>
      <c r="M22" s="13"/>
      <c r="N22" s="10"/>
      <c r="O22" s="15"/>
      <c r="P22" s="10" t="s">
        <v>270</v>
      </c>
      <c r="Q22" s="9" t="s">
        <v>271</v>
      </c>
      <c r="R22" s="9"/>
      <c r="S22" s="9" t="s">
        <v>272</v>
      </c>
      <c r="T22" s="23" t="s">
        <v>273</v>
      </c>
      <c r="U22" s="27"/>
      <c r="V22" s="28" t="s">
        <v>275</v>
      </c>
      <c r="W22" s="14"/>
      <c r="X22" s="16" t="s">
        <v>814</v>
      </c>
      <c r="Y22" s="32" t="s">
        <v>40</v>
      </c>
    </row>
    <row r="23" spans="1:25" x14ac:dyDescent="0.25">
      <c r="A23" s="6">
        <v>22</v>
      </c>
      <c r="B23" s="7" t="s">
        <v>366</v>
      </c>
      <c r="C23" s="8" t="s">
        <v>254</v>
      </c>
      <c r="D23" s="13" t="s">
        <v>367</v>
      </c>
      <c r="E23" s="14" t="s">
        <v>893</v>
      </c>
      <c r="F23" s="14" t="s">
        <v>892</v>
      </c>
      <c r="G23" s="14" t="s">
        <v>370</v>
      </c>
      <c r="H23" s="15">
        <v>60000</v>
      </c>
      <c r="I23" s="8" t="s">
        <v>25</v>
      </c>
      <c r="J23" s="19">
        <f t="shared" ref="J23" si="14">IF(I23="",ROUND(H23*0.05,0),ROUND(H23/1.05*0.05,0))</f>
        <v>2857</v>
      </c>
      <c r="K23" s="19">
        <f t="shared" ref="K23" si="15">IF(I23="",H23+J23,H23)</f>
        <v>60000</v>
      </c>
      <c r="L23" s="15"/>
      <c r="M23" s="13"/>
      <c r="N23" s="10"/>
      <c r="O23" s="15"/>
      <c r="P23" s="10"/>
      <c r="Q23" s="9"/>
      <c r="R23" s="9"/>
      <c r="S23" s="9"/>
      <c r="T23" s="23"/>
      <c r="U23" s="27"/>
      <c r="V23" s="28"/>
      <c r="W23" s="14"/>
      <c r="X23" s="16" t="s">
        <v>845</v>
      </c>
      <c r="Y23" s="32" t="s">
        <v>40</v>
      </c>
    </row>
    <row r="24" spans="1:25" ht="33" x14ac:dyDescent="0.25">
      <c r="A24" s="6">
        <v>23</v>
      </c>
      <c r="B24" s="7" t="s">
        <v>357</v>
      </c>
      <c r="C24" s="8" t="s">
        <v>254</v>
      </c>
      <c r="D24" s="13" t="s">
        <v>358</v>
      </c>
      <c r="E24" s="14" t="s">
        <v>359</v>
      </c>
      <c r="F24" s="14" t="s">
        <v>360</v>
      </c>
      <c r="G24" s="14" t="s">
        <v>361</v>
      </c>
      <c r="H24" s="15">
        <v>60000</v>
      </c>
      <c r="I24" s="8" t="s">
        <v>25</v>
      </c>
      <c r="J24" s="19">
        <f t="shared" ref="J24" si="16">IF(I24="",ROUND(H24*0.05,0),ROUND(H24/1.05*0.05,0))</f>
        <v>2857</v>
      </c>
      <c r="K24" s="19">
        <f t="shared" ref="K24" si="17">IF(I24="",H24+J24,H24)</f>
        <v>60000</v>
      </c>
      <c r="L24" s="15"/>
      <c r="M24" s="13"/>
      <c r="N24" s="10"/>
      <c r="O24" s="15"/>
      <c r="P24" s="10" t="s">
        <v>92</v>
      </c>
      <c r="Q24" s="9" t="s">
        <v>362</v>
      </c>
      <c r="R24" s="9" t="s">
        <v>363</v>
      </c>
      <c r="S24" s="9"/>
      <c r="T24" s="23" t="s">
        <v>364</v>
      </c>
      <c r="U24" s="27"/>
      <c r="V24" s="28" t="s">
        <v>365</v>
      </c>
      <c r="W24" s="14"/>
      <c r="X24" s="16"/>
      <c r="Y24" s="32" t="s">
        <v>40</v>
      </c>
    </row>
    <row r="25" spans="1:25" ht="33" x14ac:dyDescent="0.25">
      <c r="A25" s="6">
        <v>24</v>
      </c>
      <c r="B25" s="7" t="s">
        <v>346</v>
      </c>
      <c r="C25" s="8" t="s">
        <v>254</v>
      </c>
      <c r="D25" s="13" t="s">
        <v>347</v>
      </c>
      <c r="E25" s="14" t="s">
        <v>348</v>
      </c>
      <c r="F25" s="14" t="s">
        <v>349</v>
      </c>
      <c r="G25" s="14" t="s">
        <v>350</v>
      </c>
      <c r="H25" s="15">
        <v>10000</v>
      </c>
      <c r="I25" s="8" t="s">
        <v>25</v>
      </c>
      <c r="J25" s="19">
        <f t="shared" ref="J25:J26" si="18">IF(I25="",ROUND(H25*0.05,0),ROUND(H25/1.05*0.05,0))</f>
        <v>476</v>
      </c>
      <c r="K25" s="19">
        <f t="shared" ref="K25:K26" si="19">IF(I25="",H25+J25,H25)</f>
        <v>10000</v>
      </c>
      <c r="L25" s="15"/>
      <c r="M25" s="13"/>
      <c r="N25" s="10"/>
      <c r="O25" s="15"/>
      <c r="P25" s="10" t="s">
        <v>351</v>
      </c>
      <c r="Q25" s="9" t="s">
        <v>352</v>
      </c>
      <c r="R25" s="9" t="s">
        <v>353</v>
      </c>
      <c r="S25" s="9" t="s">
        <v>354</v>
      </c>
      <c r="T25" s="23"/>
      <c r="U25" s="27"/>
      <c r="V25" s="28" t="s">
        <v>355</v>
      </c>
      <c r="W25" s="14"/>
      <c r="X25" s="16" t="s">
        <v>356</v>
      </c>
      <c r="Y25" s="32" t="s">
        <v>40</v>
      </c>
    </row>
    <row r="26" spans="1:25" x14ac:dyDescent="0.25">
      <c r="A26" s="6">
        <v>25</v>
      </c>
      <c r="B26" s="7" t="s">
        <v>846</v>
      </c>
      <c r="C26" s="8" t="s">
        <v>254</v>
      </c>
      <c r="D26" s="13" t="s">
        <v>847</v>
      </c>
      <c r="E26" s="14" t="s">
        <v>894</v>
      </c>
      <c r="F26" s="14" t="s">
        <v>848</v>
      </c>
      <c r="G26" s="14" t="s">
        <v>849</v>
      </c>
      <c r="H26" s="15">
        <v>12000</v>
      </c>
      <c r="I26" s="8"/>
      <c r="J26" s="19">
        <f t="shared" si="18"/>
        <v>600</v>
      </c>
      <c r="K26" s="19">
        <f t="shared" si="19"/>
        <v>12600</v>
      </c>
      <c r="L26" s="15"/>
      <c r="M26" s="13"/>
      <c r="N26" s="10"/>
      <c r="O26" s="15"/>
      <c r="P26" s="10" t="s">
        <v>850</v>
      </c>
      <c r="Q26" s="9" t="s">
        <v>851</v>
      </c>
      <c r="R26" s="9"/>
      <c r="S26" s="9"/>
      <c r="T26" s="23" t="s">
        <v>852</v>
      </c>
      <c r="U26" s="27"/>
      <c r="V26" s="28" t="s">
        <v>853</v>
      </c>
      <c r="W26" s="14"/>
      <c r="X26" s="16" t="s">
        <v>854</v>
      </c>
      <c r="Y26" s="32"/>
    </row>
    <row r="27" spans="1:25" x14ac:dyDescent="0.25">
      <c r="A27" s="6">
        <v>26</v>
      </c>
      <c r="B27" s="7" t="s">
        <v>497</v>
      </c>
      <c r="C27" s="8" t="s">
        <v>40</v>
      </c>
      <c r="D27" s="13" t="s">
        <v>498</v>
      </c>
      <c r="E27" s="14" t="s">
        <v>499</v>
      </c>
      <c r="F27" s="14" t="s">
        <v>500</v>
      </c>
      <c r="G27" s="14"/>
      <c r="H27" s="15">
        <v>100000</v>
      </c>
      <c r="I27" s="8"/>
      <c r="J27" s="19">
        <f t="shared" ref="J27:J28" si="20">IF(I27="",ROUND(H27*0.05,0),ROUND(H27/1.05*0.05,0))</f>
        <v>5000</v>
      </c>
      <c r="K27" s="19">
        <f t="shared" ref="K27:K28" si="21">IF(I27="",H27+J27,H27)</f>
        <v>105000</v>
      </c>
      <c r="L27" s="15"/>
      <c r="M27" s="13"/>
      <c r="N27" s="10"/>
      <c r="O27" s="15"/>
      <c r="P27" s="10"/>
      <c r="Q27" s="9" t="s">
        <v>501</v>
      </c>
      <c r="R27" s="9"/>
      <c r="S27" s="9"/>
      <c r="T27" s="23"/>
      <c r="U27" s="27"/>
      <c r="V27" s="28"/>
      <c r="W27" s="14" t="s">
        <v>524</v>
      </c>
      <c r="X27" s="16" t="s">
        <v>525</v>
      </c>
      <c r="Y27" s="32"/>
    </row>
    <row r="28" spans="1:25" x14ac:dyDescent="0.25">
      <c r="A28" s="6">
        <v>27</v>
      </c>
      <c r="B28" s="7" t="s">
        <v>787</v>
      </c>
      <c r="C28" s="8" t="s">
        <v>40</v>
      </c>
      <c r="D28" s="13" t="s">
        <v>788</v>
      </c>
      <c r="E28" s="14" t="s">
        <v>789</v>
      </c>
      <c r="F28" s="14" t="s">
        <v>790</v>
      </c>
      <c r="G28" s="14" t="s">
        <v>791</v>
      </c>
      <c r="H28" s="15">
        <v>40000</v>
      </c>
      <c r="I28" s="8"/>
      <c r="J28" s="19">
        <f t="shared" si="20"/>
        <v>2000</v>
      </c>
      <c r="K28" s="19">
        <f t="shared" si="21"/>
        <v>42000</v>
      </c>
      <c r="L28" s="15"/>
      <c r="M28" s="13"/>
      <c r="N28" s="10"/>
      <c r="O28" s="15"/>
      <c r="P28" s="10" t="s">
        <v>792</v>
      </c>
      <c r="Q28" s="9" t="s">
        <v>793</v>
      </c>
      <c r="R28" s="9" t="s">
        <v>794</v>
      </c>
      <c r="S28" s="9"/>
      <c r="T28" s="23" t="s">
        <v>795</v>
      </c>
      <c r="U28" s="27"/>
      <c r="V28" s="28"/>
      <c r="W28" s="14"/>
      <c r="X28" s="16" t="s">
        <v>796</v>
      </c>
      <c r="Y28" s="32"/>
    </row>
    <row r="29" spans="1:25" x14ac:dyDescent="0.25">
      <c r="A29" s="6">
        <v>28</v>
      </c>
      <c r="B29" s="7" t="s">
        <v>286</v>
      </c>
      <c r="C29" s="8" t="s">
        <v>40</v>
      </c>
      <c r="D29" s="13" t="s">
        <v>287</v>
      </c>
      <c r="E29" s="14" t="s">
        <v>820</v>
      </c>
      <c r="F29" s="14" t="s">
        <v>289</v>
      </c>
      <c r="G29" s="14" t="s">
        <v>290</v>
      </c>
      <c r="H29" s="15">
        <v>17000</v>
      </c>
      <c r="I29" s="8"/>
      <c r="J29" s="19">
        <f t="shared" si="12"/>
        <v>850</v>
      </c>
      <c r="K29" s="19">
        <f t="shared" si="13"/>
        <v>17850</v>
      </c>
      <c r="L29" s="15"/>
      <c r="M29" s="13"/>
      <c r="N29" s="10"/>
      <c r="O29" s="15"/>
      <c r="P29" s="10" t="s">
        <v>288</v>
      </c>
      <c r="Q29" s="9" t="s">
        <v>293</v>
      </c>
      <c r="R29" s="9"/>
      <c r="S29" s="9"/>
      <c r="T29" s="23" t="s">
        <v>421</v>
      </c>
      <c r="U29" s="27"/>
      <c r="V29" s="28"/>
      <c r="W29" s="14"/>
      <c r="X29" s="16" t="s">
        <v>866</v>
      </c>
      <c r="Y29" s="32" t="s">
        <v>40</v>
      </c>
    </row>
    <row r="30" spans="1:25" x14ac:dyDescent="0.25">
      <c r="A30" s="6">
        <v>29</v>
      </c>
      <c r="B30" s="7" t="s">
        <v>302</v>
      </c>
      <c r="C30" s="8" t="s">
        <v>40</v>
      </c>
      <c r="D30" s="13" t="s">
        <v>303</v>
      </c>
      <c r="E30" s="14" t="s">
        <v>304</v>
      </c>
      <c r="F30" s="14" t="s">
        <v>305</v>
      </c>
      <c r="G30" s="14"/>
      <c r="H30" s="15">
        <v>20000</v>
      </c>
      <c r="I30" s="8"/>
      <c r="J30" s="19">
        <f t="shared" ref="J30:J44" si="22">IF(I30="",ROUND(H30*0.05,0),ROUND(H30/1.05*0.05,0))</f>
        <v>1000</v>
      </c>
      <c r="K30" s="19">
        <f t="shared" ref="K30:K44" si="23">IF(I30="",H30+J30,H30)</f>
        <v>21000</v>
      </c>
      <c r="L30" s="15"/>
      <c r="M30" s="13"/>
      <c r="N30" s="10"/>
      <c r="O30" s="15"/>
      <c r="P30" s="10" t="s">
        <v>30</v>
      </c>
      <c r="Q30" s="9"/>
      <c r="R30" s="9" t="s">
        <v>306</v>
      </c>
      <c r="S30" s="9"/>
      <c r="T30" s="23" t="s">
        <v>307</v>
      </c>
      <c r="U30" s="27"/>
      <c r="V30" s="28" t="s">
        <v>308</v>
      </c>
      <c r="W30" s="14"/>
      <c r="X30" s="16" t="s">
        <v>522</v>
      </c>
      <c r="Y30" s="32" t="s">
        <v>40</v>
      </c>
    </row>
    <row r="31" spans="1:25" x14ac:dyDescent="0.25">
      <c r="A31" s="6">
        <v>30</v>
      </c>
      <c r="B31" s="7" t="s">
        <v>830</v>
      </c>
      <c r="C31" s="8" t="s">
        <v>40</v>
      </c>
      <c r="D31" s="13" t="s">
        <v>819</v>
      </c>
      <c r="E31" s="14" t="s">
        <v>821</v>
      </c>
      <c r="F31" s="14" t="s">
        <v>822</v>
      </c>
      <c r="G31" s="14" t="s">
        <v>823</v>
      </c>
      <c r="H31" s="15">
        <v>10000</v>
      </c>
      <c r="I31" s="8"/>
      <c r="J31" s="19">
        <f t="shared" si="22"/>
        <v>500</v>
      </c>
      <c r="K31" s="19">
        <f t="shared" si="23"/>
        <v>10500</v>
      </c>
      <c r="L31" s="15"/>
      <c r="M31" s="13"/>
      <c r="N31" s="10"/>
      <c r="O31" s="15"/>
      <c r="P31" s="10" t="s">
        <v>43</v>
      </c>
      <c r="Q31" s="9" t="s">
        <v>174</v>
      </c>
      <c r="R31" s="9"/>
      <c r="S31" s="9"/>
      <c r="T31" s="23" t="s">
        <v>421</v>
      </c>
      <c r="U31" s="27"/>
      <c r="V31" s="28"/>
      <c r="W31" s="14"/>
      <c r="X31" s="16" t="s">
        <v>866</v>
      </c>
      <c r="Y31" s="32"/>
    </row>
    <row r="32" spans="1:25" x14ac:dyDescent="0.25">
      <c r="A32" s="6">
        <v>31</v>
      </c>
      <c r="B32" s="7" t="s">
        <v>855</v>
      </c>
      <c r="C32" s="8" t="s">
        <v>40</v>
      </c>
      <c r="D32" s="13" t="s">
        <v>856</v>
      </c>
      <c r="E32" s="14" t="s">
        <v>857</v>
      </c>
      <c r="F32" s="14" t="s">
        <v>858</v>
      </c>
      <c r="G32" s="14" t="s">
        <v>859</v>
      </c>
      <c r="H32" s="15">
        <v>945000</v>
      </c>
      <c r="I32" s="8"/>
      <c r="J32" s="19">
        <f t="shared" si="22"/>
        <v>47250</v>
      </c>
      <c r="K32" s="19">
        <f t="shared" si="23"/>
        <v>992250</v>
      </c>
      <c r="L32" s="15"/>
      <c r="M32" s="13"/>
      <c r="N32" s="10"/>
      <c r="O32" s="15"/>
      <c r="P32" s="10" t="s">
        <v>860</v>
      </c>
      <c r="Q32" s="9" t="s">
        <v>861</v>
      </c>
      <c r="R32" s="9" t="s">
        <v>862</v>
      </c>
      <c r="S32" s="9" t="s">
        <v>863</v>
      </c>
      <c r="T32" s="23" t="s">
        <v>864</v>
      </c>
      <c r="U32" s="27"/>
      <c r="V32" s="28" t="s">
        <v>865</v>
      </c>
      <c r="W32" s="14"/>
      <c r="X32" s="16" t="s">
        <v>866</v>
      </c>
      <c r="Y32" s="32"/>
    </row>
    <row r="33" spans="1:25" x14ac:dyDescent="0.25">
      <c r="A33" s="6">
        <v>32</v>
      </c>
      <c r="B33" s="7" t="s">
        <v>771</v>
      </c>
      <c r="C33" s="8" t="s">
        <v>40</v>
      </c>
      <c r="D33" s="13" t="s">
        <v>418</v>
      </c>
      <c r="E33" s="14" t="s">
        <v>43</v>
      </c>
      <c r="F33" s="14" t="s">
        <v>420</v>
      </c>
      <c r="G33" s="14" t="s">
        <v>419</v>
      </c>
      <c r="H33" s="15">
        <v>17000</v>
      </c>
      <c r="I33" s="8"/>
      <c r="J33" s="19">
        <f t="shared" si="22"/>
        <v>850</v>
      </c>
      <c r="K33" s="19">
        <f t="shared" si="23"/>
        <v>17850</v>
      </c>
      <c r="L33" s="15"/>
      <c r="M33" s="13"/>
      <c r="N33" s="10"/>
      <c r="O33" s="15"/>
      <c r="P33" s="10" t="s">
        <v>43</v>
      </c>
      <c r="Q33" s="9" t="s">
        <v>174</v>
      </c>
      <c r="R33" s="9"/>
      <c r="S33" s="9"/>
      <c r="T33" s="23" t="s">
        <v>421</v>
      </c>
      <c r="U33" s="27"/>
      <c r="V33" s="28"/>
      <c r="W33" s="14"/>
      <c r="X33" s="16" t="s">
        <v>866</v>
      </c>
      <c r="Y33" s="32"/>
    </row>
    <row r="34" spans="1:25" x14ac:dyDescent="0.25">
      <c r="A34" s="57">
        <v>33</v>
      </c>
      <c r="B34" s="55" t="s">
        <v>797</v>
      </c>
      <c r="C34" s="56" t="s">
        <v>40</v>
      </c>
      <c r="D34" s="57" t="s">
        <v>798</v>
      </c>
      <c r="E34" s="58" t="s">
        <v>799</v>
      </c>
      <c r="F34" s="58" t="s">
        <v>800</v>
      </c>
      <c r="G34" s="58" t="s">
        <v>801</v>
      </c>
      <c r="H34" s="59">
        <v>323200</v>
      </c>
      <c r="I34" s="56" t="s">
        <v>744</v>
      </c>
      <c r="J34" s="48">
        <f t="shared" si="22"/>
        <v>15390</v>
      </c>
      <c r="K34" s="48">
        <f t="shared" si="23"/>
        <v>323200</v>
      </c>
      <c r="L34" s="59"/>
      <c r="M34" s="57"/>
      <c r="N34" s="61"/>
      <c r="O34" s="59"/>
      <c r="P34" s="61"/>
      <c r="Q34" s="62"/>
      <c r="R34" s="62"/>
      <c r="S34" s="62"/>
      <c r="T34" s="63"/>
      <c r="U34" s="64"/>
      <c r="V34" s="60"/>
      <c r="W34" s="58" t="s">
        <v>802</v>
      </c>
      <c r="X34" s="65" t="s">
        <v>784</v>
      </c>
      <c r="Y34" s="32"/>
    </row>
    <row r="35" spans="1:25" s="12" customFormat="1" x14ac:dyDescent="0.25">
      <c r="A35" s="6">
        <v>34</v>
      </c>
      <c r="B35" s="7" t="s">
        <v>870</v>
      </c>
      <c r="C35" s="8" t="s">
        <v>40</v>
      </c>
      <c r="D35" s="6" t="s">
        <v>871</v>
      </c>
      <c r="E35" s="18" t="s">
        <v>895</v>
      </c>
      <c r="F35" s="18" t="s">
        <v>896</v>
      </c>
      <c r="G35" s="18" t="s">
        <v>872</v>
      </c>
      <c r="H35" s="21">
        <v>220000</v>
      </c>
      <c r="I35" s="8" t="s">
        <v>40</v>
      </c>
      <c r="J35" s="19">
        <f t="shared" ref="J35" si="24">IF(I35="",ROUND(H35*0.05,0),ROUND(H35/1.05*0.05,0))</f>
        <v>10476</v>
      </c>
      <c r="K35" s="19">
        <f t="shared" ref="K35" si="25">IF(I35="",H35+J35,H35)</f>
        <v>220000</v>
      </c>
      <c r="L35" s="21"/>
      <c r="M35" s="6"/>
      <c r="N35" s="17"/>
      <c r="O35" s="21"/>
      <c r="P35" s="17" t="s">
        <v>873</v>
      </c>
      <c r="Q35" s="68" t="s">
        <v>874</v>
      </c>
      <c r="R35" s="68"/>
      <c r="S35" s="68"/>
      <c r="T35" s="69" t="s">
        <v>875</v>
      </c>
      <c r="U35" s="70"/>
      <c r="V35" s="26"/>
      <c r="W35" s="18"/>
      <c r="X35" s="11" t="s">
        <v>845</v>
      </c>
      <c r="Y35" s="32"/>
    </row>
    <row r="36" spans="1:25" ht="63" customHeight="1" x14ac:dyDescent="0.25">
      <c r="A36" s="6">
        <v>35</v>
      </c>
      <c r="B36" s="7" t="s">
        <v>741</v>
      </c>
      <c r="C36" s="8"/>
      <c r="D36" s="13"/>
      <c r="E36" s="14" t="s">
        <v>742</v>
      </c>
      <c r="F36" s="14" t="s">
        <v>743</v>
      </c>
      <c r="G36" s="14" t="s">
        <v>810</v>
      </c>
      <c r="H36" s="15">
        <v>2300000</v>
      </c>
      <c r="I36" s="8" t="s">
        <v>744</v>
      </c>
      <c r="J36" s="19">
        <f t="shared" si="22"/>
        <v>109524</v>
      </c>
      <c r="K36" s="19">
        <f t="shared" si="23"/>
        <v>2300000</v>
      </c>
      <c r="L36" s="15"/>
      <c r="M36" s="13"/>
      <c r="N36" s="10"/>
      <c r="O36" s="15"/>
      <c r="P36" s="10"/>
      <c r="Q36" s="9" t="s">
        <v>745</v>
      </c>
      <c r="R36" s="9"/>
      <c r="S36" s="9"/>
      <c r="T36" s="23"/>
      <c r="U36" s="27"/>
      <c r="V36" s="28"/>
      <c r="W36" s="14"/>
      <c r="X36" s="16"/>
      <c r="Y36" s="32"/>
    </row>
    <row r="37" spans="1:25" x14ac:dyDescent="0.25">
      <c r="A37" s="6">
        <v>36</v>
      </c>
      <c r="B37" s="7" t="s">
        <v>724</v>
      </c>
      <c r="C37" s="8" t="s">
        <v>40</v>
      </c>
      <c r="D37" s="13" t="s">
        <v>725</v>
      </c>
      <c r="E37" s="14" t="s">
        <v>726</v>
      </c>
      <c r="F37" s="14" t="s">
        <v>727</v>
      </c>
      <c r="G37" s="14" t="s">
        <v>728</v>
      </c>
      <c r="H37" s="15">
        <v>120000</v>
      </c>
      <c r="I37" s="8"/>
      <c r="J37" s="19">
        <f t="shared" si="22"/>
        <v>6000</v>
      </c>
      <c r="K37" s="19">
        <f t="shared" si="23"/>
        <v>126000</v>
      </c>
      <c r="L37" s="15"/>
      <c r="M37" s="13"/>
      <c r="N37" s="10"/>
      <c r="O37" s="15"/>
      <c r="P37" s="10" t="s">
        <v>729</v>
      </c>
      <c r="Q37" s="9" t="s">
        <v>730</v>
      </c>
      <c r="R37" s="9"/>
      <c r="S37" s="9"/>
      <c r="T37" s="23"/>
      <c r="U37" s="27"/>
      <c r="V37" s="28" t="s">
        <v>731</v>
      </c>
      <c r="W37" s="14"/>
      <c r="X37" s="16" t="s">
        <v>732</v>
      </c>
      <c r="Y37" s="32"/>
    </row>
    <row r="38" spans="1:25" x14ac:dyDescent="0.25">
      <c r="A38" s="6">
        <v>37</v>
      </c>
      <c r="B38" s="7" t="s">
        <v>803</v>
      </c>
      <c r="C38" s="8" t="s">
        <v>40</v>
      </c>
      <c r="D38" s="13" t="s">
        <v>804</v>
      </c>
      <c r="E38" s="14" t="s">
        <v>79</v>
      </c>
      <c r="F38" s="14" t="s">
        <v>805</v>
      </c>
      <c r="G38" s="14" t="s">
        <v>806</v>
      </c>
      <c r="H38" s="15">
        <v>50000</v>
      </c>
      <c r="I38" s="8"/>
      <c r="J38" s="19">
        <f t="shared" si="22"/>
        <v>2500</v>
      </c>
      <c r="K38" s="19">
        <f t="shared" si="23"/>
        <v>52500</v>
      </c>
      <c r="L38" s="15"/>
      <c r="M38" s="13"/>
      <c r="N38" s="10"/>
      <c r="O38" s="15"/>
      <c r="P38" s="10" t="s">
        <v>807</v>
      </c>
      <c r="Q38" s="9" t="s">
        <v>808</v>
      </c>
      <c r="R38" s="9"/>
      <c r="S38" s="9" t="s">
        <v>809</v>
      </c>
      <c r="T38" s="23"/>
      <c r="U38" s="27"/>
      <c r="V38" s="28"/>
      <c r="W38" s="14"/>
      <c r="X38" s="16"/>
      <c r="Y38" s="32"/>
    </row>
    <row r="39" spans="1:25" x14ac:dyDescent="0.25">
      <c r="A39" s="6">
        <v>38</v>
      </c>
      <c r="B39" s="7" t="s">
        <v>824</v>
      </c>
      <c r="C39" s="8" t="s">
        <v>40</v>
      </c>
      <c r="D39" s="13" t="s">
        <v>825</v>
      </c>
      <c r="E39" s="14" t="s">
        <v>897</v>
      </c>
      <c r="F39" s="14" t="s">
        <v>898</v>
      </c>
      <c r="G39" s="14" t="s">
        <v>826</v>
      </c>
      <c r="H39" s="15">
        <v>16000</v>
      </c>
      <c r="I39" s="8"/>
      <c r="J39" s="19">
        <f t="shared" si="22"/>
        <v>800</v>
      </c>
      <c r="K39" s="19">
        <f t="shared" si="23"/>
        <v>16800</v>
      </c>
      <c r="L39" s="15"/>
      <c r="M39" s="13"/>
      <c r="N39" s="10"/>
      <c r="O39" s="15"/>
      <c r="P39" s="10" t="s">
        <v>827</v>
      </c>
      <c r="Q39" s="9"/>
      <c r="R39" s="9" t="s">
        <v>828</v>
      </c>
      <c r="S39" s="9"/>
      <c r="T39" s="23"/>
      <c r="U39" s="27"/>
      <c r="V39" s="28" t="s">
        <v>829</v>
      </c>
      <c r="W39" s="14"/>
      <c r="X39" s="16" t="s">
        <v>845</v>
      </c>
      <c r="Y39" s="32"/>
    </row>
    <row r="40" spans="1:25" x14ac:dyDescent="0.25">
      <c r="A40" s="6">
        <v>39</v>
      </c>
      <c r="B40" s="7" t="s">
        <v>867</v>
      </c>
      <c r="C40" s="8" t="s">
        <v>40</v>
      </c>
      <c r="D40" s="13" t="s">
        <v>868</v>
      </c>
      <c r="E40" s="14"/>
      <c r="F40" s="14" t="s">
        <v>75</v>
      </c>
      <c r="G40" s="14" t="s">
        <v>76</v>
      </c>
      <c r="H40" s="15">
        <v>76200</v>
      </c>
      <c r="I40" s="8"/>
      <c r="J40" s="19">
        <f t="shared" si="22"/>
        <v>3810</v>
      </c>
      <c r="K40" s="19">
        <f t="shared" si="23"/>
        <v>80010</v>
      </c>
      <c r="L40" s="15"/>
      <c r="M40" s="13"/>
      <c r="N40" s="10"/>
      <c r="O40" s="15"/>
      <c r="P40" s="10" t="s">
        <v>869</v>
      </c>
      <c r="Q40" s="9"/>
      <c r="R40" s="9"/>
      <c r="S40" s="9"/>
      <c r="T40" s="23"/>
      <c r="U40" s="27"/>
      <c r="V40" s="28"/>
      <c r="W40" s="14"/>
      <c r="X40" s="16"/>
      <c r="Y40" s="32"/>
    </row>
    <row r="41" spans="1:25" ht="31.5" customHeight="1" x14ac:dyDescent="0.25">
      <c r="A41" s="6">
        <v>40</v>
      </c>
      <c r="B41" s="22" t="s">
        <v>623</v>
      </c>
      <c r="C41" s="8" t="s">
        <v>40</v>
      </c>
      <c r="D41" s="13" t="s">
        <v>611</v>
      </c>
      <c r="E41" s="14" t="s">
        <v>899</v>
      </c>
      <c r="F41" s="14" t="s">
        <v>900</v>
      </c>
      <c r="G41" s="14" t="s">
        <v>614</v>
      </c>
      <c r="H41" s="15">
        <v>15000</v>
      </c>
      <c r="I41" s="8"/>
      <c r="J41" s="19">
        <f t="shared" si="22"/>
        <v>750</v>
      </c>
      <c r="K41" s="19">
        <f t="shared" si="23"/>
        <v>15750</v>
      </c>
      <c r="L41" s="15"/>
      <c r="M41" s="13"/>
      <c r="N41" s="10"/>
      <c r="O41" s="15"/>
      <c r="P41" s="10" t="s">
        <v>624</v>
      </c>
      <c r="Q41" s="9"/>
      <c r="R41" s="9" t="s">
        <v>625</v>
      </c>
      <c r="S41" s="9"/>
      <c r="T41" s="23"/>
      <c r="U41" s="27"/>
      <c r="V41" s="28"/>
      <c r="W41" s="14"/>
      <c r="X41" s="16" t="s">
        <v>845</v>
      </c>
      <c r="Y41" s="32"/>
    </row>
    <row r="42" spans="1:25" ht="31.5" customHeight="1" x14ac:dyDescent="0.25">
      <c r="A42" s="6">
        <v>41</v>
      </c>
      <c r="B42" s="22" t="s">
        <v>733</v>
      </c>
      <c r="C42" s="8" t="s">
        <v>40</v>
      </c>
      <c r="D42" s="13" t="s">
        <v>734</v>
      </c>
      <c r="E42" s="14" t="s">
        <v>735</v>
      </c>
      <c r="F42" s="73" t="s">
        <v>901</v>
      </c>
      <c r="G42" s="14" t="s">
        <v>737</v>
      </c>
      <c r="H42" s="15">
        <v>15000</v>
      </c>
      <c r="I42" s="8"/>
      <c r="J42" s="19">
        <f t="shared" si="22"/>
        <v>750</v>
      </c>
      <c r="K42" s="19">
        <f t="shared" si="23"/>
        <v>15750</v>
      </c>
      <c r="L42" s="15"/>
      <c r="M42" s="13"/>
      <c r="N42" s="10"/>
      <c r="O42" s="15"/>
      <c r="P42" s="10" t="s">
        <v>738</v>
      </c>
      <c r="Q42" s="9" t="s">
        <v>739</v>
      </c>
      <c r="R42" s="9"/>
      <c r="S42" s="9"/>
      <c r="T42" s="23"/>
      <c r="U42" s="27"/>
      <c r="V42" s="28" t="s">
        <v>740</v>
      </c>
      <c r="W42" s="14"/>
      <c r="X42" s="16" t="s">
        <v>844</v>
      </c>
      <c r="Y42" s="32"/>
    </row>
    <row r="43" spans="1:25" ht="31.5" customHeight="1" x14ac:dyDescent="0.25">
      <c r="A43" s="6">
        <v>42</v>
      </c>
      <c r="B43" s="22" t="s">
        <v>667</v>
      </c>
      <c r="C43" s="8" t="s">
        <v>40</v>
      </c>
      <c r="D43" s="13" t="s">
        <v>668</v>
      </c>
      <c r="E43" s="14" t="s">
        <v>28</v>
      </c>
      <c r="F43" s="14" t="s">
        <v>29</v>
      </c>
      <c r="G43" s="14"/>
      <c r="H43" s="15">
        <v>35000</v>
      </c>
      <c r="I43" s="8"/>
      <c r="J43" s="19">
        <f t="shared" si="22"/>
        <v>1750</v>
      </c>
      <c r="K43" s="19">
        <f t="shared" si="23"/>
        <v>36750</v>
      </c>
      <c r="L43" s="15"/>
      <c r="M43" s="13"/>
      <c r="N43" s="10"/>
      <c r="O43" s="15"/>
      <c r="P43" s="10" t="s">
        <v>30</v>
      </c>
      <c r="Q43" s="9"/>
      <c r="R43" s="9" t="s">
        <v>669</v>
      </c>
      <c r="S43" s="9"/>
      <c r="T43" s="23" t="s">
        <v>670</v>
      </c>
      <c r="U43" s="27"/>
      <c r="V43" s="28" t="s">
        <v>308</v>
      </c>
      <c r="W43" s="14"/>
      <c r="X43" s="16" t="s">
        <v>668</v>
      </c>
      <c r="Y43" s="32"/>
    </row>
    <row r="44" spans="1:25" ht="33" x14ac:dyDescent="0.25">
      <c r="A44" s="6">
        <v>43</v>
      </c>
      <c r="B44" s="22" t="s">
        <v>656</v>
      </c>
      <c r="C44" s="8" t="s">
        <v>40</v>
      </c>
      <c r="D44" s="13" t="s">
        <v>657</v>
      </c>
      <c r="E44" s="14" t="s">
        <v>658</v>
      </c>
      <c r="F44" s="14" t="s">
        <v>659</v>
      </c>
      <c r="G44" s="14" t="s">
        <v>660</v>
      </c>
      <c r="H44" s="15">
        <v>15000</v>
      </c>
      <c r="I44" s="8"/>
      <c r="J44" s="21">
        <f t="shared" si="22"/>
        <v>750</v>
      </c>
      <c r="K44" s="21">
        <f t="shared" si="23"/>
        <v>15750</v>
      </c>
      <c r="L44" s="15"/>
      <c r="M44" s="13"/>
      <c r="N44" s="10"/>
      <c r="O44" s="15"/>
      <c r="P44" s="10" t="s">
        <v>661</v>
      </c>
      <c r="Q44" s="9" t="s">
        <v>662</v>
      </c>
      <c r="R44" s="9" t="s">
        <v>663</v>
      </c>
      <c r="S44" s="9" t="s">
        <v>664</v>
      </c>
      <c r="T44" s="23" t="s">
        <v>665</v>
      </c>
      <c r="U44" s="27"/>
      <c r="V44" s="28"/>
      <c r="W44" s="14"/>
      <c r="X44" s="16" t="s">
        <v>844</v>
      </c>
      <c r="Y44" s="32"/>
    </row>
    <row r="45" spans="1:25" x14ac:dyDescent="0.25">
      <c r="A45" s="6"/>
      <c r="B45" s="22"/>
      <c r="C45" s="8"/>
      <c r="D45" s="13"/>
      <c r="E45" s="14"/>
      <c r="F45" s="14"/>
      <c r="G45" s="14"/>
      <c r="H45" s="15"/>
      <c r="I45" s="8"/>
      <c r="J45" s="21"/>
      <c r="K45" s="21"/>
      <c r="L45" s="15"/>
      <c r="M45" s="13"/>
      <c r="N45" s="10"/>
      <c r="O45" s="15"/>
      <c r="P45" s="10"/>
      <c r="Q45" s="9"/>
      <c r="R45" s="9"/>
      <c r="S45" s="9"/>
      <c r="T45" s="23"/>
      <c r="U45" s="27"/>
      <c r="V45" s="28"/>
      <c r="W45" s="14"/>
      <c r="X45" s="16"/>
      <c r="Y45" s="32"/>
    </row>
    <row r="46" spans="1:25" x14ac:dyDescent="0.25">
      <c r="A46" s="6"/>
      <c r="B46" s="22"/>
      <c r="C46" s="8"/>
      <c r="D46" s="13"/>
      <c r="E46" s="14"/>
      <c r="F46" s="14"/>
      <c r="G46" s="14"/>
      <c r="H46" s="15"/>
      <c r="I46" s="8"/>
      <c r="J46" s="21"/>
      <c r="K46" s="21"/>
      <c r="L46" s="15"/>
      <c r="M46" s="13"/>
      <c r="N46" s="10"/>
      <c r="O46" s="15"/>
      <c r="P46" s="10"/>
      <c r="Q46" s="9"/>
      <c r="R46" s="9"/>
      <c r="S46" s="9"/>
      <c r="T46" s="23"/>
      <c r="U46" s="27"/>
      <c r="V46" s="28"/>
      <c r="W46" s="14"/>
      <c r="X46" s="16"/>
      <c r="Y46" s="32"/>
    </row>
    <row r="47" spans="1:25" x14ac:dyDescent="0.25">
      <c r="A47" s="6"/>
      <c r="B47" s="22"/>
      <c r="C47" s="8"/>
      <c r="D47" s="13"/>
      <c r="E47" s="14"/>
      <c r="F47" s="14"/>
      <c r="G47" s="14"/>
      <c r="H47" s="15"/>
      <c r="I47" s="8"/>
      <c r="J47" s="21"/>
      <c r="K47" s="21"/>
      <c r="L47" s="15"/>
      <c r="M47" s="13"/>
      <c r="N47" s="10"/>
      <c r="O47" s="15"/>
      <c r="P47" s="10"/>
      <c r="Q47" s="9"/>
      <c r="R47" s="9"/>
      <c r="S47" s="9"/>
      <c r="T47" s="23"/>
      <c r="U47" s="27"/>
      <c r="V47" s="28"/>
      <c r="W47" s="14"/>
      <c r="X47" s="16"/>
      <c r="Y47" s="32"/>
    </row>
    <row r="48" spans="1:25" x14ac:dyDescent="0.25">
      <c r="A48" s="6"/>
      <c r="B48" s="22"/>
      <c r="C48" s="8"/>
      <c r="D48" s="13"/>
      <c r="E48" s="14"/>
      <c r="F48" s="14"/>
      <c r="G48" s="14"/>
      <c r="H48" s="15"/>
      <c r="I48" s="8"/>
      <c r="J48" s="21"/>
      <c r="K48" s="21"/>
      <c r="L48" s="15"/>
      <c r="M48" s="13"/>
      <c r="N48" s="10"/>
      <c r="O48" s="15"/>
      <c r="P48" s="10"/>
      <c r="Q48" s="9"/>
      <c r="R48" s="9"/>
      <c r="S48" s="9"/>
      <c r="T48" s="23"/>
      <c r="U48" s="27"/>
      <c r="V48" s="28"/>
      <c r="W48" s="14"/>
      <c r="X48" s="16"/>
      <c r="Y48" s="32"/>
    </row>
    <row r="49" spans="1:25" x14ac:dyDescent="0.25">
      <c r="A49" s="6"/>
      <c r="B49" s="22"/>
      <c r="C49" s="8"/>
      <c r="D49" s="13"/>
      <c r="E49" s="14"/>
      <c r="F49" s="14"/>
      <c r="G49" s="14"/>
      <c r="H49" s="15"/>
      <c r="I49" s="8"/>
      <c r="J49" s="21"/>
      <c r="K49" s="21"/>
      <c r="L49" s="15"/>
      <c r="M49" s="13"/>
      <c r="N49" s="10"/>
      <c r="O49" s="15"/>
      <c r="P49" s="10"/>
      <c r="Q49" s="9"/>
      <c r="R49" s="9"/>
      <c r="S49" s="9"/>
      <c r="T49" s="23"/>
      <c r="U49" s="27"/>
      <c r="V49" s="28"/>
      <c r="W49" s="14"/>
      <c r="X49" s="16"/>
      <c r="Y49" s="32"/>
    </row>
    <row r="50" spans="1:25" x14ac:dyDescent="0.25">
      <c r="A50" s="6"/>
      <c r="B50" s="22"/>
      <c r="C50" s="8"/>
      <c r="D50" s="13"/>
      <c r="E50" s="14"/>
      <c r="F50" s="14"/>
      <c r="G50" s="14"/>
      <c r="H50" s="15"/>
      <c r="I50" s="8"/>
      <c r="J50" s="21"/>
      <c r="K50" s="21"/>
      <c r="L50" s="15"/>
      <c r="M50" s="13"/>
      <c r="N50" s="10"/>
      <c r="O50" s="15"/>
      <c r="P50" s="10"/>
      <c r="Q50" s="9"/>
      <c r="R50" s="9"/>
      <c r="S50" s="9"/>
      <c r="T50" s="23"/>
      <c r="U50" s="27"/>
      <c r="V50" s="28"/>
      <c r="W50" s="14"/>
      <c r="X50" s="16"/>
      <c r="Y50" s="32"/>
    </row>
    <row r="51" spans="1:25" x14ac:dyDescent="0.25">
      <c r="A51" s="6"/>
      <c r="B51" s="22"/>
      <c r="C51" s="8"/>
      <c r="D51" s="13"/>
      <c r="E51" s="14"/>
      <c r="F51" s="14"/>
      <c r="G51" s="14"/>
      <c r="H51" s="15"/>
      <c r="I51" s="8"/>
      <c r="J51" s="21"/>
      <c r="K51" s="21"/>
      <c r="L51" s="15"/>
      <c r="M51" s="13"/>
      <c r="N51" s="10"/>
      <c r="O51" s="15"/>
      <c r="P51" s="10"/>
      <c r="Q51" s="9"/>
      <c r="R51" s="9"/>
      <c r="S51" s="9"/>
      <c r="T51" s="23"/>
      <c r="U51" s="27"/>
      <c r="V51" s="28"/>
      <c r="W51" s="14"/>
      <c r="X51" s="16"/>
      <c r="Y51" s="32"/>
    </row>
    <row r="52" spans="1:25" ht="33" x14ac:dyDescent="0.25">
      <c r="A52" s="6">
        <v>1</v>
      </c>
      <c r="B52" s="7" t="s">
        <v>87</v>
      </c>
      <c r="C52" s="8" t="s">
        <v>25</v>
      </c>
      <c r="D52" s="13" t="s">
        <v>88</v>
      </c>
      <c r="E52" s="14" t="s">
        <v>89</v>
      </c>
      <c r="F52" s="14" t="s">
        <v>220</v>
      </c>
      <c r="G52" s="14" t="s">
        <v>811</v>
      </c>
      <c r="H52" s="15">
        <v>15000</v>
      </c>
      <c r="I52" s="8"/>
      <c r="J52" s="21">
        <f t="shared" ref="J52" si="26">IF(I52="",ROUND(H52*0.05,0),ROUND(H52/1.05*0.05,0))</f>
        <v>750</v>
      </c>
      <c r="K52" s="21">
        <f t="shared" ref="K52" si="27">IF(I52="",H52+J52,H52)</f>
        <v>15750</v>
      </c>
      <c r="L52" s="15"/>
      <c r="M52" s="13"/>
      <c r="N52" s="10"/>
      <c r="O52" s="15"/>
      <c r="P52" s="10" t="s">
        <v>91</v>
      </c>
      <c r="Q52" s="9" t="s">
        <v>94</v>
      </c>
      <c r="R52" s="9"/>
      <c r="S52" s="9" t="s">
        <v>95</v>
      </c>
      <c r="T52" s="23" t="s">
        <v>96</v>
      </c>
      <c r="U52" s="27"/>
      <c r="V52" s="28" t="s">
        <v>97</v>
      </c>
      <c r="W52" s="14" t="s">
        <v>377</v>
      </c>
      <c r="X52" s="16" t="s">
        <v>221</v>
      </c>
      <c r="Y52" s="32" t="s">
        <v>294</v>
      </c>
    </row>
    <row r="53" spans="1:25" x14ac:dyDescent="0.25">
      <c r="A53" s="6">
        <v>2</v>
      </c>
      <c r="B53" s="7" t="s">
        <v>816</v>
      </c>
      <c r="C53" s="8" t="s">
        <v>25</v>
      </c>
      <c r="D53" s="13" t="s">
        <v>431</v>
      </c>
      <c r="E53" s="14" t="s">
        <v>432</v>
      </c>
      <c r="F53" s="14" t="s">
        <v>433</v>
      </c>
      <c r="G53" s="14" t="s">
        <v>434</v>
      </c>
      <c r="H53" s="15">
        <v>12000</v>
      </c>
      <c r="I53" s="8"/>
      <c r="J53" s="21">
        <f t="shared" ref="J53" si="28">IF(I53="",ROUND(H53*0.05,0),ROUND(H53/1.05*0.05,0))</f>
        <v>600</v>
      </c>
      <c r="K53" s="21">
        <f t="shared" ref="K53" si="29">IF(I53="",H53+J53,H53)</f>
        <v>12600</v>
      </c>
      <c r="L53" s="15"/>
      <c r="M53" s="13"/>
      <c r="N53" s="10"/>
      <c r="O53" s="15"/>
      <c r="P53" s="10" t="s">
        <v>435</v>
      </c>
      <c r="Q53" s="9" t="s">
        <v>436</v>
      </c>
      <c r="R53" s="9" t="s">
        <v>437</v>
      </c>
      <c r="S53" s="9"/>
      <c r="T53" s="23"/>
      <c r="U53" s="27"/>
      <c r="V53" s="28" t="s">
        <v>438</v>
      </c>
      <c r="W53" s="14"/>
      <c r="X53" s="16"/>
      <c r="Y53" s="32"/>
    </row>
    <row r="54" spans="1:25" x14ac:dyDescent="0.25">
      <c r="A54" s="6">
        <v>3</v>
      </c>
      <c r="B54" s="7" t="s">
        <v>817</v>
      </c>
      <c r="C54" s="8" t="s">
        <v>25</v>
      </c>
      <c r="D54" s="13" t="s">
        <v>452</v>
      </c>
      <c r="E54" s="14" t="s">
        <v>454</v>
      </c>
      <c r="F54" s="14" t="s">
        <v>455</v>
      </c>
      <c r="G54" s="14" t="s">
        <v>456</v>
      </c>
      <c r="H54" s="15">
        <v>12000</v>
      </c>
      <c r="I54" s="8"/>
      <c r="J54" s="21">
        <f t="shared" ref="J54:J57" si="30">IF(I54="",ROUND(H54*0.05,0),ROUND(H54/1.05*0.05,0))</f>
        <v>600</v>
      </c>
      <c r="K54" s="21">
        <f t="shared" ref="K54:K57" si="31">IF(I54="",H54+J54,H54)</f>
        <v>12600</v>
      </c>
      <c r="L54" s="15"/>
      <c r="M54" s="13"/>
      <c r="N54" s="10"/>
      <c r="O54" s="15"/>
      <c r="P54" s="10" t="s">
        <v>454</v>
      </c>
      <c r="Q54" s="9"/>
      <c r="R54" s="9"/>
      <c r="S54" s="9"/>
      <c r="T54" s="23"/>
      <c r="U54" s="27"/>
      <c r="V54" s="28"/>
      <c r="W54" s="14"/>
      <c r="X54" s="16"/>
      <c r="Y54" s="32"/>
    </row>
    <row r="55" spans="1:25" x14ac:dyDescent="0.25">
      <c r="A55" s="6">
        <v>4</v>
      </c>
      <c r="B55" s="7" t="s">
        <v>818</v>
      </c>
      <c r="C55" s="8" t="s">
        <v>25</v>
      </c>
      <c r="D55" s="13" t="s">
        <v>453</v>
      </c>
      <c r="E55" s="14" t="s">
        <v>454</v>
      </c>
      <c r="F55" s="14" t="s">
        <v>455</v>
      </c>
      <c r="G55" s="14" t="s">
        <v>456</v>
      </c>
      <c r="H55" s="15">
        <v>15000</v>
      </c>
      <c r="I55" s="8"/>
      <c r="J55" s="21">
        <f t="shared" ref="J55:J56" si="32">IF(I55="",ROUND(H55*0.05,0),ROUND(H55/1.05*0.05,0))</f>
        <v>750</v>
      </c>
      <c r="K55" s="21">
        <f t="shared" ref="K55:K56" si="33">IF(I55="",H55+J55,H55)</f>
        <v>15750</v>
      </c>
      <c r="L55" s="15"/>
      <c r="M55" s="13"/>
      <c r="N55" s="10"/>
      <c r="O55" s="15"/>
      <c r="P55" s="10" t="s">
        <v>454</v>
      </c>
      <c r="Q55" s="9"/>
      <c r="R55" s="9"/>
      <c r="S55" s="9"/>
      <c r="T55" s="23"/>
      <c r="U55" s="27"/>
      <c r="V55" s="28"/>
      <c r="W55" s="14"/>
      <c r="X55" s="16"/>
      <c r="Y55" s="32"/>
    </row>
    <row r="56" spans="1:25" x14ac:dyDescent="0.25">
      <c r="A56" s="6">
        <v>5</v>
      </c>
      <c r="B56" s="7" t="s">
        <v>610</v>
      </c>
      <c r="C56" s="8" t="s">
        <v>25</v>
      </c>
      <c r="D56" s="13" t="s">
        <v>605</v>
      </c>
      <c r="E56" s="14" t="s">
        <v>606</v>
      </c>
      <c r="F56" s="14" t="s">
        <v>607</v>
      </c>
      <c r="G56" s="14" t="s">
        <v>608</v>
      </c>
      <c r="H56" s="15">
        <v>39000</v>
      </c>
      <c r="I56" s="8"/>
      <c r="J56" s="21">
        <f t="shared" si="32"/>
        <v>1950</v>
      </c>
      <c r="K56" s="21">
        <f t="shared" si="33"/>
        <v>40950</v>
      </c>
      <c r="L56" s="15"/>
      <c r="M56" s="13"/>
      <c r="N56" s="10"/>
      <c r="O56" s="15"/>
      <c r="P56" s="10" t="s">
        <v>609</v>
      </c>
      <c r="Q56" s="9"/>
      <c r="R56" s="9"/>
      <c r="S56" s="9"/>
      <c r="T56" s="23"/>
      <c r="U56" s="27"/>
      <c r="V56" s="28"/>
      <c r="W56" s="14" t="s">
        <v>629</v>
      </c>
      <c r="X56" s="16" t="s">
        <v>628</v>
      </c>
      <c r="Y56" s="32"/>
    </row>
    <row r="57" spans="1:25" ht="33" x14ac:dyDescent="0.25">
      <c r="A57" s="6">
        <v>6</v>
      </c>
      <c r="B57" s="55" t="s">
        <v>439</v>
      </c>
      <c r="C57" s="8" t="s">
        <v>25</v>
      </c>
      <c r="D57" s="13" t="s">
        <v>440</v>
      </c>
      <c r="E57" s="58" t="s">
        <v>441</v>
      </c>
      <c r="F57" s="14" t="s">
        <v>442</v>
      </c>
      <c r="G57" s="14" t="s">
        <v>443</v>
      </c>
      <c r="H57" s="15">
        <v>13000</v>
      </c>
      <c r="I57" s="8"/>
      <c r="J57" s="21">
        <f t="shared" si="30"/>
        <v>650</v>
      </c>
      <c r="K57" s="21">
        <f t="shared" si="31"/>
        <v>13650</v>
      </c>
      <c r="L57" s="15"/>
      <c r="M57" s="13"/>
      <c r="N57" s="10"/>
      <c r="O57" s="15"/>
      <c r="P57" s="10" t="s">
        <v>444</v>
      </c>
      <c r="Q57" s="9" t="s">
        <v>445</v>
      </c>
      <c r="R57" s="9" t="s">
        <v>446</v>
      </c>
      <c r="S57" s="9" t="s">
        <v>447</v>
      </c>
      <c r="T57" s="23" t="s">
        <v>448</v>
      </c>
      <c r="U57" s="27"/>
      <c r="V57" s="28" t="s">
        <v>449</v>
      </c>
      <c r="W57" s="14"/>
      <c r="X57" s="16"/>
      <c r="Y57" s="32"/>
    </row>
    <row r="58" spans="1:25" x14ac:dyDescent="0.25">
      <c r="A58" s="6"/>
      <c r="B58" s="22"/>
      <c r="C58" s="13"/>
      <c r="D58" s="13"/>
      <c r="E58" s="14"/>
      <c r="F58" s="14"/>
      <c r="G58" s="14"/>
      <c r="H58" s="15"/>
      <c r="I58" s="8"/>
      <c r="J58" s="21">
        <f t="shared" si="8"/>
        <v>0</v>
      </c>
      <c r="K58" s="21">
        <f t="shared" si="9"/>
        <v>0</v>
      </c>
      <c r="L58" s="15"/>
      <c r="M58" s="13"/>
      <c r="N58" s="13"/>
      <c r="O58" s="15"/>
      <c r="P58" s="10"/>
      <c r="Q58" s="9"/>
      <c r="R58" s="9"/>
      <c r="S58" s="9"/>
      <c r="T58" s="23"/>
      <c r="U58" s="29"/>
      <c r="V58" s="28"/>
      <c r="W58" s="14"/>
      <c r="X58" s="16"/>
    </row>
    <row r="59" spans="1:25" x14ac:dyDescent="0.25">
      <c r="A59" s="6">
        <v>1</v>
      </c>
      <c r="B59" s="22" t="s">
        <v>98</v>
      </c>
      <c r="C59" s="13" t="s">
        <v>40</v>
      </c>
      <c r="D59" s="13" t="s">
        <v>99</v>
      </c>
      <c r="E59" s="14" t="s">
        <v>100</v>
      </c>
      <c r="F59" s="14" t="s">
        <v>101</v>
      </c>
      <c r="G59" s="14" t="s">
        <v>102</v>
      </c>
      <c r="H59" s="15">
        <v>18000</v>
      </c>
      <c r="I59" s="8" t="s">
        <v>25</v>
      </c>
      <c r="J59" s="21">
        <f t="shared" si="8"/>
        <v>857</v>
      </c>
      <c r="K59" s="21">
        <f t="shared" si="9"/>
        <v>18000</v>
      </c>
      <c r="L59" s="15"/>
      <c r="M59" s="13"/>
      <c r="N59" s="13"/>
      <c r="O59" s="15"/>
      <c r="P59" s="10" t="s">
        <v>103</v>
      </c>
      <c r="Q59" s="9"/>
      <c r="R59" s="9" t="s">
        <v>104</v>
      </c>
      <c r="S59" s="9"/>
      <c r="T59" s="23"/>
      <c r="U59" s="29"/>
      <c r="V59" s="28"/>
      <c r="W59" s="14"/>
      <c r="X59" s="16" t="s">
        <v>105</v>
      </c>
      <c r="Y59" s="32" t="s">
        <v>298</v>
      </c>
    </row>
    <row r="60" spans="1:25" x14ac:dyDescent="0.25">
      <c r="A60" s="6">
        <v>2</v>
      </c>
      <c r="B60" s="22" t="s">
        <v>47</v>
      </c>
      <c r="C60" s="13" t="s">
        <v>40</v>
      </c>
      <c r="D60" s="13" t="s">
        <v>48</v>
      </c>
      <c r="E60" s="14" t="s">
        <v>49</v>
      </c>
      <c r="F60" s="14" t="s">
        <v>50</v>
      </c>
      <c r="G60" s="14" t="s">
        <v>51</v>
      </c>
      <c r="H60" s="15">
        <v>252940</v>
      </c>
      <c r="I60" s="8"/>
      <c r="J60" s="21">
        <f t="shared" si="8"/>
        <v>12647</v>
      </c>
      <c r="K60" s="21">
        <f t="shared" si="9"/>
        <v>265587</v>
      </c>
      <c r="L60" s="15"/>
      <c r="M60" s="13"/>
      <c r="N60" s="13"/>
      <c r="O60" s="15"/>
      <c r="P60" s="10" t="s">
        <v>52</v>
      </c>
      <c r="Q60" s="9"/>
      <c r="R60" s="9" t="s">
        <v>53</v>
      </c>
      <c r="S60" s="9"/>
      <c r="T60" s="23" t="s">
        <v>54</v>
      </c>
      <c r="U60" s="27"/>
      <c r="V60" s="28" t="s">
        <v>55</v>
      </c>
      <c r="W60" s="14"/>
      <c r="X60" s="16" t="s">
        <v>56</v>
      </c>
      <c r="Y60" s="32" t="s">
        <v>294</v>
      </c>
    </row>
    <row r="61" spans="1:25" x14ac:dyDescent="0.25">
      <c r="A61" s="6">
        <v>3</v>
      </c>
      <c r="B61" s="22" t="s">
        <v>106</v>
      </c>
      <c r="C61" s="13" t="s">
        <v>40</v>
      </c>
      <c r="D61" s="13" t="s">
        <v>107</v>
      </c>
      <c r="E61" s="14" t="s">
        <v>108</v>
      </c>
      <c r="F61" s="14" t="s">
        <v>109</v>
      </c>
      <c r="G61" s="14" t="s">
        <v>110</v>
      </c>
      <c r="H61" s="15">
        <v>1905</v>
      </c>
      <c r="I61" s="8"/>
      <c r="J61" s="21">
        <f t="shared" si="8"/>
        <v>95</v>
      </c>
      <c r="K61" s="21">
        <f t="shared" si="9"/>
        <v>2000</v>
      </c>
      <c r="L61" s="15"/>
      <c r="M61" s="13"/>
      <c r="N61" s="13"/>
      <c r="O61" s="15"/>
      <c r="P61" s="10" t="s">
        <v>111</v>
      </c>
      <c r="Q61" s="9" t="s">
        <v>112</v>
      </c>
      <c r="R61" s="9"/>
      <c r="S61" s="9" t="s">
        <v>113</v>
      </c>
      <c r="T61" s="23"/>
      <c r="U61" s="27"/>
      <c r="V61" s="28" t="s">
        <v>114</v>
      </c>
      <c r="W61" s="14" t="s">
        <v>523</v>
      </c>
      <c r="X61" s="16" t="s">
        <v>115</v>
      </c>
      <c r="Y61" s="33" t="s">
        <v>294</v>
      </c>
    </row>
    <row r="62" spans="1:25" x14ac:dyDescent="0.25">
      <c r="A62" s="6">
        <v>4</v>
      </c>
      <c r="B62" s="22" t="s">
        <v>116</v>
      </c>
      <c r="C62" s="13" t="s">
        <v>40</v>
      </c>
      <c r="D62" s="13" t="s">
        <v>118</v>
      </c>
      <c r="E62" s="14" t="s">
        <v>125</v>
      </c>
      <c r="F62" s="14" t="s">
        <v>126</v>
      </c>
      <c r="G62" s="14" t="s">
        <v>127</v>
      </c>
      <c r="H62" s="15">
        <v>13500</v>
      </c>
      <c r="I62" s="8"/>
      <c r="J62" s="21">
        <f t="shared" si="8"/>
        <v>675</v>
      </c>
      <c r="K62" s="21">
        <f t="shared" si="9"/>
        <v>14175</v>
      </c>
      <c r="L62" s="15"/>
      <c r="M62" s="13"/>
      <c r="N62" s="13"/>
      <c r="O62" s="15"/>
      <c r="P62" s="10" t="s">
        <v>128</v>
      </c>
      <c r="Q62" s="9"/>
      <c r="R62" s="9" t="s">
        <v>129</v>
      </c>
      <c r="S62" s="9"/>
      <c r="T62" s="23" t="s">
        <v>130</v>
      </c>
      <c r="U62" s="27"/>
      <c r="V62" s="28" t="s">
        <v>131</v>
      </c>
      <c r="W62" s="14"/>
      <c r="X62" s="16" t="s">
        <v>132</v>
      </c>
      <c r="Y62" s="33" t="s">
        <v>299</v>
      </c>
    </row>
    <row r="63" spans="1:25" x14ac:dyDescent="0.25">
      <c r="A63" s="6">
        <v>5</v>
      </c>
      <c r="B63" s="22" t="s">
        <v>117</v>
      </c>
      <c r="C63" s="13" t="s">
        <v>40</v>
      </c>
      <c r="D63" s="13" t="s">
        <v>118</v>
      </c>
      <c r="E63" s="14" t="s">
        <v>133</v>
      </c>
      <c r="F63" s="14" t="s">
        <v>126</v>
      </c>
      <c r="G63" s="14" t="s">
        <v>134</v>
      </c>
      <c r="H63" s="15">
        <v>18500</v>
      </c>
      <c r="I63" s="8"/>
      <c r="J63" s="21">
        <f t="shared" si="8"/>
        <v>925</v>
      </c>
      <c r="K63" s="21">
        <f t="shared" si="9"/>
        <v>19425</v>
      </c>
      <c r="L63" s="15"/>
      <c r="M63" s="13"/>
      <c r="N63" s="13"/>
      <c r="O63" s="15"/>
      <c r="P63" s="10" t="s">
        <v>135</v>
      </c>
      <c r="Q63" s="9" t="s">
        <v>147</v>
      </c>
      <c r="R63" s="9"/>
      <c r="S63" s="9"/>
      <c r="T63" s="23" t="s">
        <v>136</v>
      </c>
      <c r="U63" s="27"/>
      <c r="V63" s="28" t="s">
        <v>137</v>
      </c>
      <c r="W63" s="14"/>
      <c r="X63" s="16" t="s">
        <v>138</v>
      </c>
      <c r="Y63" s="33" t="s">
        <v>294</v>
      </c>
    </row>
    <row r="64" spans="1:25" x14ac:dyDescent="0.25">
      <c r="A64" s="6">
        <v>6</v>
      </c>
      <c r="B64" s="22" t="s">
        <v>121</v>
      </c>
      <c r="C64" s="13" t="s">
        <v>40</v>
      </c>
      <c r="D64" s="13" t="s">
        <v>123</v>
      </c>
      <c r="E64" s="14" t="s">
        <v>139</v>
      </c>
      <c r="F64" s="14" t="s">
        <v>140</v>
      </c>
      <c r="G64" s="14" t="s">
        <v>141</v>
      </c>
      <c r="H64" s="15">
        <v>99000</v>
      </c>
      <c r="I64" s="8"/>
      <c r="J64" s="21">
        <f t="shared" si="8"/>
        <v>4950</v>
      </c>
      <c r="K64" s="21">
        <f t="shared" si="9"/>
        <v>103950</v>
      </c>
      <c r="L64" s="15"/>
      <c r="M64" s="13"/>
      <c r="N64" s="13"/>
      <c r="O64" s="15"/>
      <c r="P64" s="10" t="s">
        <v>142</v>
      </c>
      <c r="Q64" s="9"/>
      <c r="R64" s="9" t="s">
        <v>143</v>
      </c>
      <c r="S64" s="9"/>
      <c r="T64" s="23"/>
      <c r="U64" s="27"/>
      <c r="V64" s="28"/>
      <c r="W64" s="14"/>
      <c r="X64" s="16" t="s">
        <v>169</v>
      </c>
      <c r="Y64" s="33" t="s">
        <v>294</v>
      </c>
    </row>
    <row r="65" spans="1:25" x14ac:dyDescent="0.25">
      <c r="A65" s="6">
        <v>7</v>
      </c>
      <c r="B65" s="22" t="s">
        <v>687</v>
      </c>
      <c r="C65" s="13" t="s">
        <v>40</v>
      </c>
      <c r="D65" s="13" t="s">
        <v>688</v>
      </c>
      <c r="E65" s="14" t="s">
        <v>689</v>
      </c>
      <c r="F65" s="14" t="s">
        <v>690</v>
      </c>
      <c r="G65" s="14" t="s">
        <v>691</v>
      </c>
      <c r="H65" s="15">
        <v>55800</v>
      </c>
      <c r="I65" s="8"/>
      <c r="J65" s="21">
        <f t="shared" si="8"/>
        <v>2790</v>
      </c>
      <c r="K65" s="21">
        <f t="shared" si="9"/>
        <v>58590</v>
      </c>
      <c r="L65" s="15"/>
      <c r="M65" s="13"/>
      <c r="N65" s="13"/>
      <c r="O65" s="15"/>
      <c r="P65" s="10" t="s">
        <v>692</v>
      </c>
      <c r="Q65" s="9"/>
      <c r="R65" s="9" t="s">
        <v>693</v>
      </c>
      <c r="S65" s="9"/>
      <c r="T65" s="23"/>
      <c r="U65" s="27"/>
      <c r="V65" s="28"/>
      <c r="W65" s="14" t="s">
        <v>696</v>
      </c>
      <c r="X65" s="16" t="s">
        <v>697</v>
      </c>
    </row>
    <row r="66" spans="1:25" x14ac:dyDescent="0.25">
      <c r="A66" s="6">
        <v>8</v>
      </c>
      <c r="B66" s="22" t="s">
        <v>553</v>
      </c>
      <c r="C66" s="13" t="s">
        <v>40</v>
      </c>
      <c r="D66" s="13" t="s">
        <v>554</v>
      </c>
      <c r="E66" s="14" t="s">
        <v>537</v>
      </c>
      <c r="F66" s="14" t="s">
        <v>50</v>
      </c>
      <c r="G66" s="14" t="s">
        <v>555</v>
      </c>
      <c r="H66" s="15">
        <v>68000</v>
      </c>
      <c r="I66" s="8"/>
      <c r="J66" s="21">
        <f t="shared" si="8"/>
        <v>3400</v>
      </c>
      <c r="K66" s="21">
        <f t="shared" si="9"/>
        <v>71400</v>
      </c>
      <c r="L66" s="15"/>
      <c r="M66" s="13"/>
      <c r="N66" s="13"/>
      <c r="O66" s="15"/>
      <c r="P66" s="10" t="s">
        <v>556</v>
      </c>
      <c r="Q66" s="9" t="s">
        <v>557</v>
      </c>
      <c r="R66" s="9"/>
      <c r="S66" s="9"/>
      <c r="T66" s="23" t="s">
        <v>558</v>
      </c>
      <c r="U66" s="27"/>
      <c r="V66" s="28"/>
      <c r="W66" s="14"/>
      <c r="X66" s="16" t="s">
        <v>559</v>
      </c>
    </row>
    <row r="67" spans="1:25" x14ac:dyDescent="0.25">
      <c r="A67" s="6">
        <v>9</v>
      </c>
      <c r="B67" s="22" t="s">
        <v>560</v>
      </c>
      <c r="C67" s="13" t="s">
        <v>40</v>
      </c>
      <c r="D67" s="13" t="s">
        <v>554</v>
      </c>
      <c r="E67" s="14" t="s">
        <v>537</v>
      </c>
      <c r="F67" s="14" t="s">
        <v>50</v>
      </c>
      <c r="G67" s="14" t="s">
        <v>555</v>
      </c>
      <c r="H67" s="15">
        <v>188090</v>
      </c>
      <c r="I67" s="8"/>
      <c r="J67" s="21">
        <f t="shared" ref="J67" si="34">IF(I67="",ROUND(H67*0.05,0),ROUND(H67/1.05*0.05,0))</f>
        <v>9405</v>
      </c>
      <c r="K67" s="21">
        <f t="shared" ref="K67" si="35">IF(I67="",H67+J67,H67)</f>
        <v>197495</v>
      </c>
      <c r="L67" s="15"/>
      <c r="M67" s="13"/>
      <c r="N67" s="13"/>
      <c r="O67" s="15"/>
      <c r="P67" s="10" t="s">
        <v>556</v>
      </c>
      <c r="Q67" s="9" t="s">
        <v>557</v>
      </c>
      <c r="R67" s="9"/>
      <c r="S67" s="9"/>
      <c r="T67" s="23" t="s">
        <v>558</v>
      </c>
      <c r="U67" s="27"/>
      <c r="V67" s="28"/>
      <c r="W67" s="14"/>
      <c r="X67" s="16" t="s">
        <v>559</v>
      </c>
    </row>
    <row r="68" spans="1:25" s="12" customFormat="1" x14ac:dyDescent="0.25">
      <c r="A68" s="6">
        <v>10</v>
      </c>
      <c r="B68" s="7" t="s">
        <v>755</v>
      </c>
      <c r="C68" s="8" t="s">
        <v>40</v>
      </c>
      <c r="D68" s="6" t="s">
        <v>746</v>
      </c>
      <c r="E68" s="18" t="s">
        <v>747</v>
      </c>
      <c r="F68" s="18" t="s">
        <v>748</v>
      </c>
      <c r="G68" s="18" t="s">
        <v>749</v>
      </c>
      <c r="H68" s="19">
        <v>14000</v>
      </c>
      <c r="I68" s="20"/>
      <c r="J68" s="21">
        <f t="shared" ref="J68:J70" si="36">IF(I68="",ROUND(H68*0.05,0),ROUND(H68/1.05*0.05,0))</f>
        <v>700</v>
      </c>
      <c r="K68" s="21">
        <f t="shared" ref="K68:K70" si="37">IF(I68="",H68+J68,H68)</f>
        <v>14700</v>
      </c>
      <c r="L68" s="21"/>
      <c r="M68" s="6"/>
      <c r="N68" s="26"/>
      <c r="O68" s="21"/>
      <c r="P68" s="17" t="s">
        <v>752</v>
      </c>
      <c r="Q68" s="9"/>
      <c r="R68" s="9" t="s">
        <v>753</v>
      </c>
      <c r="S68" s="9"/>
      <c r="T68" s="23"/>
      <c r="U68" s="27"/>
      <c r="V68" s="10"/>
      <c r="W68" s="14"/>
      <c r="X68" s="11" t="s">
        <v>754</v>
      </c>
      <c r="Y68" s="32"/>
    </row>
    <row r="69" spans="1:25" s="12" customFormat="1" x14ac:dyDescent="0.25">
      <c r="A69" s="6">
        <v>11</v>
      </c>
      <c r="B69" s="7" t="s">
        <v>756</v>
      </c>
      <c r="C69" s="8" t="s">
        <v>40</v>
      </c>
      <c r="D69" s="6" t="s">
        <v>746</v>
      </c>
      <c r="E69" s="18" t="s">
        <v>747</v>
      </c>
      <c r="F69" s="18" t="s">
        <v>748</v>
      </c>
      <c r="G69" s="18" t="s">
        <v>750</v>
      </c>
      <c r="H69" s="19">
        <v>12000</v>
      </c>
      <c r="I69" s="20"/>
      <c r="J69" s="21">
        <f t="shared" si="36"/>
        <v>600</v>
      </c>
      <c r="K69" s="21">
        <f t="shared" si="37"/>
        <v>12600</v>
      </c>
      <c r="L69" s="21"/>
      <c r="M69" s="6"/>
      <c r="N69" s="26"/>
      <c r="O69" s="21"/>
      <c r="P69" s="17" t="s">
        <v>752</v>
      </c>
      <c r="Q69" s="9"/>
      <c r="R69" s="9" t="s">
        <v>753</v>
      </c>
      <c r="S69" s="9"/>
      <c r="T69" s="23"/>
      <c r="U69" s="27"/>
      <c r="V69" s="10"/>
      <c r="W69" s="14"/>
      <c r="X69" s="11" t="s">
        <v>754</v>
      </c>
      <c r="Y69" s="32"/>
    </row>
    <row r="70" spans="1:25" s="12" customFormat="1" x14ac:dyDescent="0.25">
      <c r="A70" s="6">
        <v>12</v>
      </c>
      <c r="B70" s="7" t="s">
        <v>757</v>
      </c>
      <c r="C70" s="8" t="s">
        <v>40</v>
      </c>
      <c r="D70" s="6" t="s">
        <v>746</v>
      </c>
      <c r="E70" s="18" t="s">
        <v>747</v>
      </c>
      <c r="F70" s="18" t="s">
        <v>748</v>
      </c>
      <c r="G70" s="18" t="s">
        <v>751</v>
      </c>
      <c r="H70" s="19">
        <v>15000</v>
      </c>
      <c r="I70" s="20"/>
      <c r="J70" s="21">
        <f t="shared" si="36"/>
        <v>750</v>
      </c>
      <c r="K70" s="21">
        <f t="shared" si="37"/>
        <v>15750</v>
      </c>
      <c r="L70" s="21"/>
      <c r="M70" s="6"/>
      <c r="N70" s="26"/>
      <c r="O70" s="21"/>
      <c r="P70" s="17" t="s">
        <v>752</v>
      </c>
      <c r="Q70" s="9"/>
      <c r="R70" s="9" t="s">
        <v>753</v>
      </c>
      <c r="S70" s="9"/>
      <c r="T70" s="23"/>
      <c r="U70" s="27"/>
      <c r="V70" s="10"/>
      <c r="W70" s="14"/>
      <c r="X70" s="11" t="s">
        <v>754</v>
      </c>
      <c r="Y70" s="32"/>
    </row>
    <row r="71" spans="1:25" x14ac:dyDescent="0.25">
      <c r="A71" s="6">
        <v>13</v>
      </c>
      <c r="B71" s="22" t="s">
        <v>119</v>
      </c>
      <c r="C71" s="13" t="s">
        <v>40</v>
      </c>
      <c r="D71" s="13" t="s">
        <v>122</v>
      </c>
      <c r="E71" s="14" t="s">
        <v>144</v>
      </c>
      <c r="F71" s="14" t="s">
        <v>126</v>
      </c>
      <c r="G71" s="14" t="s">
        <v>145</v>
      </c>
      <c r="H71" s="15">
        <v>10400</v>
      </c>
      <c r="I71" s="8"/>
      <c r="J71" s="21">
        <f t="shared" si="8"/>
        <v>520</v>
      </c>
      <c r="K71" s="21">
        <f t="shared" si="9"/>
        <v>10920</v>
      </c>
      <c r="L71" s="15"/>
      <c r="M71" s="13"/>
      <c r="N71" s="13"/>
      <c r="O71" s="15"/>
      <c r="P71" s="10" t="s">
        <v>146</v>
      </c>
      <c r="Q71" s="9" t="s">
        <v>147</v>
      </c>
      <c r="R71" s="9"/>
      <c r="S71" s="9"/>
      <c r="T71" s="23"/>
      <c r="U71" s="27"/>
      <c r="V71" s="28"/>
      <c r="W71" s="14"/>
      <c r="X71" s="16" t="s">
        <v>148</v>
      </c>
      <c r="Y71" s="33" t="s">
        <v>300</v>
      </c>
    </row>
    <row r="72" spans="1:25" x14ac:dyDescent="0.25">
      <c r="A72" s="6">
        <v>14</v>
      </c>
      <c r="B72" s="22" t="s">
        <v>120</v>
      </c>
      <c r="C72" s="13" t="s">
        <v>40</v>
      </c>
      <c r="D72" s="13" t="s">
        <v>124</v>
      </c>
      <c r="E72" s="14" t="s">
        <v>149</v>
      </c>
      <c r="F72" s="14" t="s">
        <v>126</v>
      </c>
      <c r="G72" s="14" t="s">
        <v>150</v>
      </c>
      <c r="H72" s="15">
        <v>6200</v>
      </c>
      <c r="I72" s="8"/>
      <c r="J72" s="21">
        <f t="shared" si="8"/>
        <v>310</v>
      </c>
      <c r="K72" s="21">
        <f t="shared" si="9"/>
        <v>6510</v>
      </c>
      <c r="L72" s="15"/>
      <c r="M72" s="13"/>
      <c r="N72" s="13"/>
      <c r="O72" s="15"/>
      <c r="P72" s="10" t="s">
        <v>159</v>
      </c>
      <c r="Q72" s="9" t="s">
        <v>162</v>
      </c>
      <c r="R72" s="9"/>
      <c r="S72" s="9"/>
      <c r="T72" s="23"/>
      <c r="U72" s="27"/>
      <c r="V72" s="28"/>
      <c r="W72" s="14"/>
      <c r="X72" s="16" t="s">
        <v>167</v>
      </c>
      <c r="Y72" s="33" t="s">
        <v>294</v>
      </c>
    </row>
    <row r="73" spans="1:25" x14ac:dyDescent="0.25">
      <c r="A73" s="6">
        <v>15</v>
      </c>
      <c r="B73" s="22" t="s">
        <v>316</v>
      </c>
      <c r="C73" s="13" t="s">
        <v>40</v>
      </c>
      <c r="D73" s="13" t="s">
        <v>318</v>
      </c>
      <c r="E73" s="14" t="s">
        <v>320</v>
      </c>
      <c r="F73" s="14" t="s">
        <v>321</v>
      </c>
      <c r="G73" s="14" t="s">
        <v>322</v>
      </c>
      <c r="H73" s="15">
        <v>72000</v>
      </c>
      <c r="I73" s="8" t="s">
        <v>25</v>
      </c>
      <c r="J73" s="21">
        <f t="shared" si="8"/>
        <v>3429</v>
      </c>
      <c r="K73" s="21">
        <f t="shared" si="9"/>
        <v>72000</v>
      </c>
      <c r="L73" s="15"/>
      <c r="M73" s="13"/>
      <c r="N73" s="13"/>
      <c r="O73" s="15"/>
      <c r="P73" s="10" t="s">
        <v>324</v>
      </c>
      <c r="Q73" s="9"/>
      <c r="R73" s="9" t="s">
        <v>325</v>
      </c>
      <c r="S73" s="9"/>
      <c r="T73" s="23" t="s">
        <v>326</v>
      </c>
      <c r="U73" s="27"/>
      <c r="V73" s="28" t="s">
        <v>327</v>
      </c>
      <c r="W73" s="14"/>
      <c r="X73" s="16" t="s">
        <v>328</v>
      </c>
      <c r="Y73" s="33" t="s">
        <v>40</v>
      </c>
    </row>
    <row r="74" spans="1:25" x14ac:dyDescent="0.25">
      <c r="A74" s="6">
        <v>16</v>
      </c>
      <c r="B74" s="22" t="s">
        <v>317</v>
      </c>
      <c r="C74" s="13" t="s">
        <v>40</v>
      </c>
      <c r="D74" s="13" t="s">
        <v>319</v>
      </c>
      <c r="E74" s="14" t="s">
        <v>320</v>
      </c>
      <c r="F74" s="14" t="s">
        <v>140</v>
      </c>
      <c r="G74" s="14" t="s">
        <v>323</v>
      </c>
      <c r="H74" s="15">
        <v>70000</v>
      </c>
      <c r="I74" s="8" t="s">
        <v>25</v>
      </c>
      <c r="J74" s="21">
        <f t="shared" si="8"/>
        <v>3333</v>
      </c>
      <c r="K74" s="21">
        <f t="shared" si="9"/>
        <v>70000</v>
      </c>
      <c r="L74" s="15"/>
      <c r="M74" s="13"/>
      <c r="N74" s="13"/>
      <c r="O74" s="15"/>
      <c r="P74" s="10" t="s">
        <v>324</v>
      </c>
      <c r="Q74" s="9"/>
      <c r="R74" s="9" t="s">
        <v>325</v>
      </c>
      <c r="S74" s="9"/>
      <c r="T74" s="23" t="s">
        <v>326</v>
      </c>
      <c r="U74" s="27"/>
      <c r="V74" s="28" t="s">
        <v>327</v>
      </c>
      <c r="W74" s="14"/>
      <c r="X74" s="16" t="s">
        <v>329</v>
      </c>
      <c r="Y74" s="33" t="s">
        <v>40</v>
      </c>
    </row>
    <row r="75" spans="1:25" ht="42.75" customHeight="1" x14ac:dyDescent="0.25">
      <c r="A75" s="6">
        <v>17</v>
      </c>
      <c r="B75" s="22" t="s">
        <v>548</v>
      </c>
      <c r="C75" s="13" t="s">
        <v>40</v>
      </c>
      <c r="D75" s="13" t="s">
        <v>549</v>
      </c>
      <c r="E75" s="14" t="s">
        <v>550</v>
      </c>
      <c r="F75" s="14" t="s">
        <v>50</v>
      </c>
      <c r="G75" s="14" t="s">
        <v>551</v>
      </c>
      <c r="H75" s="15">
        <v>94000</v>
      </c>
      <c r="I75" s="8"/>
      <c r="J75" s="21">
        <f t="shared" ref="J75" si="38">IF(I75="",ROUND(H75*0.05,0),ROUND(H75/1.05*0.05,0))</f>
        <v>4700</v>
      </c>
      <c r="K75" s="21">
        <f t="shared" ref="K75" si="39">IF(I75="",H75+J75,H75)</f>
        <v>98700</v>
      </c>
      <c r="L75" s="15"/>
      <c r="M75" s="13"/>
      <c r="N75" s="13"/>
      <c r="O75" s="15"/>
      <c r="P75" s="10" t="s">
        <v>462</v>
      </c>
      <c r="Q75" s="9" t="s">
        <v>552</v>
      </c>
      <c r="R75" s="9"/>
      <c r="S75" s="9"/>
      <c r="T75" s="23"/>
      <c r="U75" s="27"/>
      <c r="V75" s="28"/>
      <c r="W75" s="14" t="s">
        <v>694</v>
      </c>
      <c r="X75" s="16" t="s">
        <v>695</v>
      </c>
    </row>
    <row r="76" spans="1:25" x14ac:dyDescent="0.25">
      <c r="A76" s="6">
        <v>18</v>
      </c>
      <c r="B76" s="22" t="s">
        <v>151</v>
      </c>
      <c r="C76" s="13" t="s">
        <v>40</v>
      </c>
      <c r="D76" s="13" t="s">
        <v>153</v>
      </c>
      <c r="E76" s="14" t="s">
        <v>155</v>
      </c>
      <c r="F76" s="14" t="s">
        <v>126</v>
      </c>
      <c r="G76" s="14" t="s">
        <v>157</v>
      </c>
      <c r="H76" s="15">
        <v>60200</v>
      </c>
      <c r="I76" s="8"/>
      <c r="J76" s="21">
        <f t="shared" si="8"/>
        <v>3010</v>
      </c>
      <c r="K76" s="21">
        <f t="shared" si="9"/>
        <v>63210</v>
      </c>
      <c r="L76" s="15"/>
      <c r="M76" s="13"/>
      <c r="N76" s="13"/>
      <c r="O76" s="15"/>
      <c r="P76" s="10" t="s">
        <v>160</v>
      </c>
      <c r="Q76" s="9"/>
      <c r="R76" s="9" t="s">
        <v>163</v>
      </c>
      <c r="S76" s="9"/>
      <c r="T76" s="23" t="s">
        <v>165</v>
      </c>
      <c r="U76" s="27"/>
      <c r="V76" s="28"/>
      <c r="W76" s="14"/>
      <c r="X76" s="16" t="s">
        <v>166</v>
      </c>
      <c r="Y76" s="33" t="s">
        <v>294</v>
      </c>
    </row>
    <row r="77" spans="1:25" x14ac:dyDescent="0.25">
      <c r="A77" s="6">
        <v>19</v>
      </c>
      <c r="B77" s="22" t="s">
        <v>152</v>
      </c>
      <c r="C77" s="13" t="s">
        <v>40</v>
      </c>
      <c r="D77" s="13" t="s">
        <v>154</v>
      </c>
      <c r="E77" s="14" t="s">
        <v>156</v>
      </c>
      <c r="F77" s="14" t="s">
        <v>50</v>
      </c>
      <c r="G77" s="14" t="s">
        <v>158</v>
      </c>
      <c r="H77" s="15">
        <v>1000</v>
      </c>
      <c r="I77" s="8" t="s">
        <v>25</v>
      </c>
      <c r="J77" s="21">
        <f t="shared" si="8"/>
        <v>48</v>
      </c>
      <c r="K77" s="21">
        <f t="shared" si="9"/>
        <v>1000</v>
      </c>
      <c r="L77" s="15"/>
      <c r="M77" s="13"/>
      <c r="N77" s="13"/>
      <c r="O77" s="15"/>
      <c r="P77" s="10" t="s">
        <v>161</v>
      </c>
      <c r="Q77" s="9"/>
      <c r="R77" s="9" t="s">
        <v>164</v>
      </c>
      <c r="S77" s="9"/>
      <c r="T77" s="23"/>
      <c r="U77" s="27"/>
      <c r="V77" s="28"/>
      <c r="W77" s="14"/>
      <c r="X77" s="16" t="s">
        <v>168</v>
      </c>
      <c r="Y77" s="33" t="s">
        <v>301</v>
      </c>
    </row>
    <row r="78" spans="1:25" x14ac:dyDescent="0.25">
      <c r="A78" s="6">
        <v>20</v>
      </c>
      <c r="B78" s="22" t="s">
        <v>422</v>
      </c>
      <c r="C78" s="13" t="s">
        <v>40</v>
      </c>
      <c r="D78" s="13" t="s">
        <v>423</v>
      </c>
      <c r="E78" s="14" t="s">
        <v>424</v>
      </c>
      <c r="F78" s="14" t="s">
        <v>538</v>
      </c>
      <c r="G78" s="14" t="s">
        <v>425</v>
      </c>
      <c r="H78" s="15">
        <v>86580</v>
      </c>
      <c r="I78" s="8"/>
      <c r="J78" s="21">
        <f t="shared" ref="J78:J79" si="40">IF(I78="",ROUND(H78*0.05,0),ROUND(H78/1.05*0.05,0))</f>
        <v>4329</v>
      </c>
      <c r="K78" s="21">
        <f t="shared" ref="K78:K79" si="41">IF(I78="",H78+J78,H78)</f>
        <v>90909</v>
      </c>
      <c r="L78" s="15"/>
      <c r="M78" s="13"/>
      <c r="N78" s="13"/>
      <c r="O78" s="15"/>
      <c r="P78" s="10" t="s">
        <v>426</v>
      </c>
      <c r="Q78" s="9" t="s">
        <v>427</v>
      </c>
      <c r="R78" s="9"/>
      <c r="S78" s="9"/>
      <c r="T78" s="23" t="s">
        <v>428</v>
      </c>
      <c r="U78" s="27"/>
      <c r="V78" s="28"/>
      <c r="W78" s="14"/>
      <c r="X78" s="16" t="s">
        <v>429</v>
      </c>
    </row>
    <row r="79" spans="1:25" x14ac:dyDescent="0.25">
      <c r="A79" s="6">
        <v>21</v>
      </c>
      <c r="B79" s="22" t="s">
        <v>582</v>
      </c>
      <c r="C79" s="13" t="s">
        <v>40</v>
      </c>
      <c r="D79" s="13" t="s">
        <v>561</v>
      </c>
      <c r="E79" s="14" t="s">
        <v>441</v>
      </c>
      <c r="F79" s="14" t="s">
        <v>583</v>
      </c>
      <c r="G79" s="14" t="s">
        <v>443</v>
      </c>
      <c r="H79" s="15">
        <v>18000</v>
      </c>
      <c r="I79" s="8"/>
      <c r="J79" s="21">
        <f t="shared" si="40"/>
        <v>900</v>
      </c>
      <c r="K79" s="21">
        <f t="shared" si="41"/>
        <v>18900</v>
      </c>
      <c r="L79" s="15"/>
      <c r="M79" s="13"/>
      <c r="N79" s="13"/>
      <c r="O79" s="15"/>
      <c r="P79" s="10" t="s">
        <v>562</v>
      </c>
      <c r="Q79" s="9" t="s">
        <v>563</v>
      </c>
      <c r="R79" s="9" t="s">
        <v>564</v>
      </c>
      <c r="S79" s="9" t="s">
        <v>565</v>
      </c>
      <c r="T79" s="23" t="s">
        <v>566</v>
      </c>
      <c r="U79" s="27"/>
      <c r="V79" s="28" t="s">
        <v>567</v>
      </c>
      <c r="W79" s="14"/>
      <c r="X79" s="16"/>
    </row>
    <row r="80" spans="1:25" x14ac:dyDescent="0.25">
      <c r="A80" s="6">
        <v>22</v>
      </c>
      <c r="B80" s="22" t="s">
        <v>276</v>
      </c>
      <c r="C80" s="13" t="s">
        <v>40</v>
      </c>
      <c r="D80" s="13" t="s">
        <v>277</v>
      </c>
      <c r="E80" s="14" t="s">
        <v>278</v>
      </c>
      <c r="F80" s="14" t="s">
        <v>279</v>
      </c>
      <c r="G80" s="14" t="s">
        <v>280</v>
      </c>
      <c r="H80" s="15">
        <v>18000</v>
      </c>
      <c r="I80" s="8" t="s">
        <v>25</v>
      </c>
      <c r="J80" s="21">
        <f t="shared" ref="J80:J115" si="42">IF(I80="",ROUND(H80*0.05,0),ROUND(H80/1.05*0.05,0))</f>
        <v>857</v>
      </c>
      <c r="K80" s="21">
        <f t="shared" ref="K80:K115" si="43">IF(I80="",H80+J80,H80)</f>
        <v>18000</v>
      </c>
      <c r="L80" s="15"/>
      <c r="M80" s="13" t="s">
        <v>626</v>
      </c>
      <c r="N80" s="13"/>
      <c r="O80" s="15"/>
      <c r="P80" s="10" t="s">
        <v>103</v>
      </c>
      <c r="Q80" s="9"/>
      <c r="R80" s="9" t="s">
        <v>281</v>
      </c>
      <c r="S80" s="9"/>
      <c r="T80" s="23"/>
      <c r="U80" s="27"/>
      <c r="V80" s="28"/>
      <c r="W80" s="14"/>
      <c r="X80" s="16" t="s">
        <v>168</v>
      </c>
    </row>
    <row r="81" spans="1:25" x14ac:dyDescent="0.25">
      <c r="A81" s="6">
        <v>23</v>
      </c>
      <c r="B81" s="22" t="s">
        <v>491</v>
      </c>
      <c r="C81" s="13" t="s">
        <v>40</v>
      </c>
      <c r="D81" s="13" t="s">
        <v>492</v>
      </c>
      <c r="E81" s="14" t="s">
        <v>493</v>
      </c>
      <c r="F81" s="14" t="s">
        <v>101</v>
      </c>
      <c r="G81" s="14" t="s">
        <v>494</v>
      </c>
      <c r="H81" s="15">
        <v>25500</v>
      </c>
      <c r="I81" s="8" t="s">
        <v>571</v>
      </c>
      <c r="J81" s="21">
        <f t="shared" ref="J81" si="44">IF(I81="",ROUND(H81*0.05,0),ROUND(H81/1.05*0.05,0))</f>
        <v>1214</v>
      </c>
      <c r="K81" s="21">
        <f t="shared" ref="K81" si="45">IF(I81="",H81+J81,H81)</f>
        <v>25500</v>
      </c>
      <c r="L81" s="15"/>
      <c r="M81" s="13" t="s">
        <v>627</v>
      </c>
      <c r="N81" s="13"/>
      <c r="O81" s="15"/>
      <c r="P81" s="10" t="s">
        <v>495</v>
      </c>
      <c r="Q81" s="9"/>
      <c r="R81" s="9" t="s">
        <v>496</v>
      </c>
      <c r="S81" s="9"/>
      <c r="T81" s="23"/>
      <c r="U81" s="27"/>
      <c r="V81" s="28"/>
      <c r="W81" s="14"/>
      <c r="X81" s="16" t="s">
        <v>105</v>
      </c>
    </row>
    <row r="82" spans="1:25" x14ac:dyDescent="0.25">
      <c r="A82" s="6">
        <v>24</v>
      </c>
      <c r="B82" s="22" t="s">
        <v>533</v>
      </c>
      <c r="C82" s="13" t="s">
        <v>40</v>
      </c>
      <c r="D82" s="13" t="s">
        <v>535</v>
      </c>
      <c r="E82" s="14" t="s">
        <v>537</v>
      </c>
      <c r="F82" s="14" t="s">
        <v>539</v>
      </c>
      <c r="G82" s="14" t="s">
        <v>540</v>
      </c>
      <c r="H82" s="15">
        <v>19700</v>
      </c>
      <c r="I82" s="8"/>
      <c r="J82" s="21">
        <f t="shared" ref="J82:J84" si="46">IF(I82="",ROUND(H82*0.05,0),ROUND(H82/1.05*0.05,0))</f>
        <v>985</v>
      </c>
      <c r="K82" s="21">
        <f t="shared" ref="K82:K84" si="47">IF(I82="",H82+J82,H82)</f>
        <v>20685</v>
      </c>
      <c r="L82" s="15"/>
      <c r="M82" s="13"/>
      <c r="N82" s="13"/>
      <c r="O82" s="15"/>
      <c r="P82" s="10" t="s">
        <v>542</v>
      </c>
      <c r="Q82" s="9" t="s">
        <v>543</v>
      </c>
      <c r="R82" s="9"/>
      <c r="S82" s="9"/>
      <c r="T82" s="23" t="s">
        <v>544</v>
      </c>
      <c r="U82" s="27"/>
      <c r="V82" s="28"/>
      <c r="W82" s="14"/>
      <c r="X82" s="16" t="s">
        <v>547</v>
      </c>
    </row>
    <row r="83" spans="1:25" x14ac:dyDescent="0.25">
      <c r="A83" s="6">
        <v>25</v>
      </c>
      <c r="B83" s="22" t="s">
        <v>534</v>
      </c>
      <c r="C83" s="13" t="s">
        <v>40</v>
      </c>
      <c r="D83" s="13" t="s">
        <v>536</v>
      </c>
      <c r="E83" s="14" t="s">
        <v>537</v>
      </c>
      <c r="F83" s="14" t="s">
        <v>539</v>
      </c>
      <c r="G83" s="14" t="s">
        <v>541</v>
      </c>
      <c r="H83" s="15">
        <v>126040</v>
      </c>
      <c r="I83" s="8"/>
      <c r="J83" s="21">
        <f t="shared" si="46"/>
        <v>6302</v>
      </c>
      <c r="K83" s="21">
        <f t="shared" si="47"/>
        <v>132342</v>
      </c>
      <c r="L83" s="15"/>
      <c r="M83" s="13"/>
      <c r="N83" s="13"/>
      <c r="O83" s="15"/>
      <c r="P83" s="10" t="s">
        <v>542</v>
      </c>
      <c r="Q83" s="9" t="s">
        <v>543</v>
      </c>
      <c r="R83" s="9"/>
      <c r="S83" s="9"/>
      <c r="T83" s="23" t="s">
        <v>545</v>
      </c>
      <c r="U83" s="27"/>
      <c r="V83" s="28"/>
      <c r="W83" s="14"/>
      <c r="X83" s="16" t="s">
        <v>546</v>
      </c>
    </row>
    <row r="84" spans="1:25" x14ac:dyDescent="0.25">
      <c r="A84" s="6">
        <v>26</v>
      </c>
      <c r="B84" s="22" t="s">
        <v>584</v>
      </c>
      <c r="C84" s="13" t="s">
        <v>40</v>
      </c>
      <c r="D84" s="13" t="s">
        <v>568</v>
      </c>
      <c r="E84" s="14" t="s">
        <v>569</v>
      </c>
      <c r="F84" s="14" t="s">
        <v>101</v>
      </c>
      <c r="G84" s="14" t="s">
        <v>570</v>
      </c>
      <c r="H84" s="15">
        <v>18000</v>
      </c>
      <c r="I84" s="8" t="s">
        <v>40</v>
      </c>
      <c r="J84" s="21">
        <f t="shared" si="46"/>
        <v>857</v>
      </c>
      <c r="K84" s="21">
        <f t="shared" si="47"/>
        <v>18000</v>
      </c>
      <c r="L84" s="15"/>
      <c r="M84" s="13"/>
      <c r="N84" s="13"/>
      <c r="O84" s="15"/>
      <c r="P84" s="10"/>
      <c r="Q84" s="9"/>
      <c r="R84" s="9"/>
      <c r="S84" s="9"/>
      <c r="T84" s="23"/>
      <c r="U84" s="27"/>
      <c r="V84" s="28"/>
      <c r="W84" s="14"/>
      <c r="X84" s="16"/>
    </row>
    <row r="85" spans="1:25" ht="30.75" customHeight="1" x14ac:dyDescent="0.25">
      <c r="A85" s="6">
        <v>27</v>
      </c>
      <c r="B85" s="22" t="s">
        <v>381</v>
      </c>
      <c r="C85" s="13" t="s">
        <v>40</v>
      </c>
      <c r="D85" s="13" t="s">
        <v>383</v>
      </c>
      <c r="E85" s="14" t="s">
        <v>385</v>
      </c>
      <c r="F85" s="14" t="s">
        <v>386</v>
      </c>
      <c r="G85" s="28" t="s">
        <v>387</v>
      </c>
      <c r="H85" s="15">
        <v>21000</v>
      </c>
      <c r="I85" s="8"/>
      <c r="J85" s="21">
        <f t="shared" ref="J85:J86" si="48">IF(I85="",ROUND(H85*0.05,0),ROUND(H85/1.05*0.05,0))</f>
        <v>1050</v>
      </c>
      <c r="K85" s="21">
        <f t="shared" ref="K85:K86" si="49">IF(I85="",H85+J85,H85)</f>
        <v>22050</v>
      </c>
      <c r="L85" s="15"/>
      <c r="M85" s="13" t="s">
        <v>388</v>
      </c>
      <c r="N85" s="13"/>
      <c r="O85" s="15"/>
      <c r="P85" s="10"/>
      <c r="Q85" s="9" t="s">
        <v>391</v>
      </c>
      <c r="R85" s="9"/>
      <c r="S85" s="9"/>
      <c r="T85" s="23" t="s">
        <v>393</v>
      </c>
      <c r="U85" s="27"/>
      <c r="V85" s="28" t="s">
        <v>394</v>
      </c>
      <c r="W85" s="14"/>
      <c r="X85" s="16" t="s">
        <v>395</v>
      </c>
    </row>
    <row r="86" spans="1:25" ht="34.5" customHeight="1" x14ac:dyDescent="0.25">
      <c r="A86" s="6">
        <v>28</v>
      </c>
      <c r="B86" s="22" t="s">
        <v>382</v>
      </c>
      <c r="C86" s="13" t="s">
        <v>40</v>
      </c>
      <c r="D86" s="13" t="s">
        <v>384</v>
      </c>
      <c r="E86" s="14" t="s">
        <v>405</v>
      </c>
      <c r="F86" s="14" t="s">
        <v>386</v>
      </c>
      <c r="G86" s="28" t="s">
        <v>387</v>
      </c>
      <c r="H86" s="15">
        <v>50000</v>
      </c>
      <c r="I86" s="8"/>
      <c r="J86" s="21">
        <f t="shared" si="48"/>
        <v>2500</v>
      </c>
      <c r="K86" s="21">
        <f t="shared" si="49"/>
        <v>52500</v>
      </c>
      <c r="L86" s="15"/>
      <c r="M86" s="13" t="s">
        <v>389</v>
      </c>
      <c r="N86" s="67" t="s">
        <v>390</v>
      </c>
      <c r="O86" s="15"/>
      <c r="P86" s="10"/>
      <c r="Q86" s="9" t="s">
        <v>391</v>
      </c>
      <c r="R86" s="9"/>
      <c r="S86" s="9"/>
      <c r="T86" s="23" t="s">
        <v>392</v>
      </c>
      <c r="U86" s="27"/>
      <c r="V86" s="28" t="s">
        <v>394</v>
      </c>
      <c r="W86" s="14"/>
      <c r="X86" s="16" t="s">
        <v>395</v>
      </c>
    </row>
    <row r="87" spans="1:25" x14ac:dyDescent="0.25">
      <c r="A87" s="6">
        <v>29</v>
      </c>
      <c r="B87" s="22" t="s">
        <v>371</v>
      </c>
      <c r="C87" s="13" t="s">
        <v>40</v>
      </c>
      <c r="D87" s="13" t="s">
        <v>372</v>
      </c>
      <c r="E87" s="14" t="s">
        <v>373</v>
      </c>
      <c r="F87" s="14" t="s">
        <v>374</v>
      </c>
      <c r="G87" s="14" t="s">
        <v>375</v>
      </c>
      <c r="H87" s="15">
        <v>35000</v>
      </c>
      <c r="I87" s="8" t="s">
        <v>25</v>
      </c>
      <c r="J87" s="21">
        <f t="shared" ref="J87" si="50">IF(I87="",ROUND(H87*0.05,0),ROUND(H87/1.05*0.05,0))</f>
        <v>1667</v>
      </c>
      <c r="K87" s="21">
        <f t="shared" ref="K87" si="51">IF(I87="",H87+J87,H87)</f>
        <v>35000</v>
      </c>
      <c r="L87" s="15"/>
      <c r="M87" s="13"/>
      <c r="N87" s="13"/>
      <c r="O87" s="15"/>
      <c r="P87" s="10" t="s">
        <v>161</v>
      </c>
      <c r="Q87" s="9"/>
      <c r="R87" s="9" t="s">
        <v>376</v>
      </c>
      <c r="S87" s="9"/>
      <c r="T87" s="23"/>
      <c r="U87" s="27"/>
      <c r="V87" s="28"/>
      <c r="W87" s="14"/>
      <c r="X87" s="16" t="s">
        <v>378</v>
      </c>
    </row>
    <row r="88" spans="1:25" x14ac:dyDescent="0.25">
      <c r="A88" s="6">
        <v>30</v>
      </c>
      <c r="B88" s="22" t="s">
        <v>330</v>
      </c>
      <c r="C88" s="13" t="s">
        <v>40</v>
      </c>
      <c r="D88" s="13" t="s">
        <v>331</v>
      </c>
      <c r="E88" s="14" t="s">
        <v>332</v>
      </c>
      <c r="F88" s="14" t="s">
        <v>50</v>
      </c>
      <c r="G88" s="14" t="s">
        <v>339</v>
      </c>
      <c r="H88" s="15">
        <v>88380</v>
      </c>
      <c r="I88" s="8"/>
      <c r="J88" s="21">
        <f t="shared" ref="J88" si="52">IF(I88="",ROUND(H88*0.05,0),ROUND(H88/1.05*0.05,0))</f>
        <v>4419</v>
      </c>
      <c r="K88" s="21">
        <f t="shared" ref="K88" si="53">IF(I88="",H88+J88,H88)</f>
        <v>92799</v>
      </c>
      <c r="L88" s="15"/>
      <c r="M88" s="13"/>
      <c r="N88" s="13"/>
      <c r="O88" s="15"/>
      <c r="P88" s="10" t="s">
        <v>146</v>
      </c>
      <c r="Q88" s="9" t="s">
        <v>147</v>
      </c>
      <c r="R88" s="9"/>
      <c r="S88" s="9"/>
      <c r="T88" s="23" t="s">
        <v>333</v>
      </c>
      <c r="U88" s="27"/>
      <c r="V88" s="28" t="s">
        <v>334</v>
      </c>
      <c r="W88" s="14"/>
      <c r="X88" s="16" t="s">
        <v>335</v>
      </c>
      <c r="Y88" s="33" t="s">
        <v>40</v>
      </c>
    </row>
    <row r="89" spans="1:25" x14ac:dyDescent="0.25">
      <c r="A89" s="6">
        <v>31</v>
      </c>
      <c r="B89" s="22" t="s">
        <v>309</v>
      </c>
      <c r="C89" s="13" t="s">
        <v>40</v>
      </c>
      <c r="D89" s="13" t="s">
        <v>310</v>
      </c>
      <c r="E89" s="14" t="s">
        <v>311</v>
      </c>
      <c r="F89" s="14" t="s">
        <v>312</v>
      </c>
      <c r="G89" s="14" t="s">
        <v>313</v>
      </c>
      <c r="H89" s="15">
        <v>114900</v>
      </c>
      <c r="I89" s="8"/>
      <c r="J89" s="21">
        <f t="shared" si="42"/>
        <v>5745</v>
      </c>
      <c r="K89" s="21">
        <f t="shared" si="43"/>
        <v>120645</v>
      </c>
      <c r="L89" s="15"/>
      <c r="M89" s="13"/>
      <c r="N89" s="13"/>
      <c r="O89" s="15"/>
      <c r="P89" s="10" t="s">
        <v>314</v>
      </c>
      <c r="Q89" s="9"/>
      <c r="R89" s="9" t="s">
        <v>315</v>
      </c>
      <c r="S89" s="9"/>
      <c r="T89" s="23"/>
      <c r="U89" s="27"/>
      <c r="V89" s="28"/>
      <c r="W89" s="14"/>
      <c r="X89" s="16" t="s">
        <v>490</v>
      </c>
      <c r="Y89" s="33" t="s">
        <v>40</v>
      </c>
    </row>
    <row r="90" spans="1:25" x14ac:dyDescent="0.25">
      <c r="A90" s="6">
        <v>32</v>
      </c>
      <c r="B90" s="22" t="s">
        <v>457</v>
      </c>
      <c r="C90" s="13" t="s">
        <v>40</v>
      </c>
      <c r="D90" s="13" t="s">
        <v>458</v>
      </c>
      <c r="E90" s="14" t="s">
        <v>459</v>
      </c>
      <c r="F90" s="14" t="s">
        <v>50</v>
      </c>
      <c r="G90" s="14" t="s">
        <v>460</v>
      </c>
      <c r="H90" s="15">
        <v>140820</v>
      </c>
      <c r="I90" s="8"/>
      <c r="J90" s="21">
        <f t="shared" si="42"/>
        <v>7041</v>
      </c>
      <c r="K90" s="21">
        <f t="shared" si="43"/>
        <v>147861</v>
      </c>
      <c r="L90" s="15"/>
      <c r="M90" s="13" t="s">
        <v>461</v>
      </c>
      <c r="N90" s="13"/>
      <c r="O90" s="15"/>
      <c r="P90" s="10" t="s">
        <v>462</v>
      </c>
      <c r="Q90" s="9" t="s">
        <v>463</v>
      </c>
      <c r="R90" s="9"/>
      <c r="S90" s="9"/>
      <c r="T90" s="23" t="s">
        <v>464</v>
      </c>
      <c r="U90" s="27"/>
      <c r="V90" s="28"/>
      <c r="W90" s="14"/>
      <c r="X90" s="16" t="s">
        <v>440</v>
      </c>
    </row>
    <row r="91" spans="1:25" x14ac:dyDescent="0.25">
      <c r="A91" s="6">
        <v>33</v>
      </c>
      <c r="B91" s="22" t="s">
        <v>336</v>
      </c>
      <c r="C91" s="13" t="s">
        <v>40</v>
      </c>
      <c r="D91" s="13" t="s">
        <v>337</v>
      </c>
      <c r="E91" s="14" t="s">
        <v>338</v>
      </c>
      <c r="F91" s="14" t="s">
        <v>312</v>
      </c>
      <c r="G91" s="14" t="s">
        <v>340</v>
      </c>
      <c r="H91" s="15">
        <v>28000</v>
      </c>
      <c r="I91" s="8"/>
      <c r="J91" s="21">
        <f t="shared" ref="J91:J113" si="54">IF(I91="",ROUND(H91*0.05,0),ROUND(H91/1.05*0.05,0))</f>
        <v>1400</v>
      </c>
      <c r="K91" s="21">
        <f t="shared" ref="K91:K113" si="55">IF(I91="",H91+J91,H91)</f>
        <v>29400</v>
      </c>
      <c r="L91" s="15"/>
      <c r="M91" s="13"/>
      <c r="N91" s="13"/>
      <c r="O91" s="15"/>
      <c r="P91" s="10" t="s">
        <v>411</v>
      </c>
      <c r="Q91" s="9"/>
      <c r="R91" s="9" t="s">
        <v>412</v>
      </c>
      <c r="S91" s="9"/>
      <c r="T91" s="23" t="s">
        <v>413</v>
      </c>
      <c r="U91" s="27"/>
      <c r="V91" s="28"/>
      <c r="W91" s="14"/>
      <c r="X91" s="16" t="s">
        <v>379</v>
      </c>
      <c r="Y91" s="33" t="s">
        <v>40</v>
      </c>
    </row>
    <row r="92" spans="1:25" x14ac:dyDescent="0.25">
      <c r="A92" s="6">
        <v>34</v>
      </c>
      <c r="B92" s="22" t="s">
        <v>502</v>
      </c>
      <c r="C92" s="13" t="s">
        <v>40</v>
      </c>
      <c r="D92" s="13" t="s">
        <v>503</v>
      </c>
      <c r="E92" s="14" t="s">
        <v>504</v>
      </c>
      <c r="F92" s="14" t="s">
        <v>50</v>
      </c>
      <c r="G92" s="14" t="s">
        <v>505</v>
      </c>
      <c r="H92" s="15">
        <v>6000</v>
      </c>
      <c r="I92" s="8"/>
      <c r="J92" s="21">
        <f t="shared" si="54"/>
        <v>300</v>
      </c>
      <c r="K92" s="21">
        <f t="shared" si="55"/>
        <v>6300</v>
      </c>
      <c r="L92" s="15"/>
      <c r="M92" s="13" t="s">
        <v>506</v>
      </c>
      <c r="N92" s="13"/>
      <c r="O92" s="15"/>
      <c r="P92" s="10" t="s">
        <v>507</v>
      </c>
      <c r="Q92" s="9"/>
      <c r="R92" s="9" t="s">
        <v>508</v>
      </c>
      <c r="S92" s="9"/>
      <c r="T92" s="23"/>
      <c r="U92" s="27"/>
      <c r="V92" s="28"/>
      <c r="W92" s="14"/>
      <c r="X92" s="16" t="s">
        <v>509</v>
      </c>
    </row>
    <row r="93" spans="1:25" x14ac:dyDescent="0.25">
      <c r="A93" s="6">
        <v>35</v>
      </c>
      <c r="B93" s="22" t="s">
        <v>482</v>
      </c>
      <c r="C93" s="13" t="s">
        <v>40</v>
      </c>
      <c r="D93" s="13" t="s">
        <v>483</v>
      </c>
      <c r="E93" s="14" t="s">
        <v>484</v>
      </c>
      <c r="F93" s="14" t="s">
        <v>50</v>
      </c>
      <c r="G93" s="14" t="s">
        <v>485</v>
      </c>
      <c r="H93" s="15">
        <v>52000</v>
      </c>
      <c r="I93" s="8"/>
      <c r="J93" s="21">
        <f t="shared" si="54"/>
        <v>2600</v>
      </c>
      <c r="K93" s="21">
        <f t="shared" si="55"/>
        <v>54600</v>
      </c>
      <c r="L93" s="15"/>
      <c r="M93" s="13"/>
      <c r="N93" s="13"/>
      <c r="O93" s="15"/>
      <c r="P93" s="10" t="s">
        <v>486</v>
      </c>
      <c r="Q93" s="9"/>
      <c r="R93" s="9" t="s">
        <v>487</v>
      </c>
      <c r="S93" s="9"/>
      <c r="T93" s="23" t="s">
        <v>488</v>
      </c>
      <c r="U93" s="27"/>
      <c r="V93" s="28"/>
      <c r="W93" s="14"/>
      <c r="X93" s="16" t="s">
        <v>489</v>
      </c>
    </row>
    <row r="94" spans="1:25" x14ac:dyDescent="0.25">
      <c r="A94" s="6">
        <v>36</v>
      </c>
      <c r="B94" s="22" t="s">
        <v>465</v>
      </c>
      <c r="C94" s="13" t="s">
        <v>40</v>
      </c>
      <c r="D94" s="13" t="s">
        <v>466</v>
      </c>
      <c r="E94" s="14" t="s">
        <v>467</v>
      </c>
      <c r="F94" s="14" t="s">
        <v>50</v>
      </c>
      <c r="G94" s="14" t="s">
        <v>468</v>
      </c>
      <c r="H94" s="15">
        <v>4000</v>
      </c>
      <c r="I94" s="8"/>
      <c r="J94" s="21">
        <f t="shared" si="54"/>
        <v>200</v>
      </c>
      <c r="K94" s="21">
        <f t="shared" si="55"/>
        <v>4200</v>
      </c>
      <c r="L94" s="15"/>
      <c r="M94" s="13"/>
      <c r="N94" s="13"/>
      <c r="O94" s="15"/>
      <c r="P94" s="10" t="s">
        <v>469</v>
      </c>
      <c r="Q94" s="9" t="s">
        <v>463</v>
      </c>
      <c r="R94" s="9"/>
      <c r="S94" s="9"/>
      <c r="T94" s="23" t="s">
        <v>470</v>
      </c>
      <c r="U94" s="27"/>
      <c r="V94" s="28"/>
      <c r="W94" s="14"/>
      <c r="X94" s="16" t="s">
        <v>440</v>
      </c>
    </row>
    <row r="95" spans="1:25" x14ac:dyDescent="0.25">
      <c r="A95" s="6">
        <v>37</v>
      </c>
      <c r="B95" s="22" t="s">
        <v>406</v>
      </c>
      <c r="C95" s="13" t="s">
        <v>40</v>
      </c>
      <c r="D95" s="13" t="s">
        <v>407</v>
      </c>
      <c r="E95" s="14" t="s">
        <v>408</v>
      </c>
      <c r="F95" s="14" t="s">
        <v>50</v>
      </c>
      <c r="G95" s="14" t="s">
        <v>409</v>
      </c>
      <c r="H95" s="15">
        <v>18200</v>
      </c>
      <c r="I95" s="8"/>
      <c r="J95" s="21">
        <f t="shared" si="54"/>
        <v>910</v>
      </c>
      <c r="K95" s="21">
        <f t="shared" si="55"/>
        <v>19110</v>
      </c>
      <c r="L95" s="15"/>
      <c r="M95" s="67" t="s">
        <v>410</v>
      </c>
      <c r="N95" s="13"/>
      <c r="O95" s="15"/>
      <c r="P95" s="10" t="s">
        <v>415</v>
      </c>
      <c r="Q95" s="9"/>
      <c r="R95" s="9" t="s">
        <v>416</v>
      </c>
      <c r="S95" s="9"/>
      <c r="T95" s="23" t="s">
        <v>417</v>
      </c>
      <c r="U95" s="27"/>
      <c r="V95" s="28"/>
      <c r="W95" s="14"/>
      <c r="X95" s="16" t="s">
        <v>414</v>
      </c>
    </row>
    <row r="96" spans="1:25" x14ac:dyDescent="0.25">
      <c r="A96" s="6">
        <v>38</v>
      </c>
      <c r="B96" s="22" t="s">
        <v>471</v>
      </c>
      <c r="C96" s="13" t="s">
        <v>40</v>
      </c>
      <c r="D96" s="13" t="s">
        <v>472</v>
      </c>
      <c r="E96" s="14" t="s">
        <v>473</v>
      </c>
      <c r="F96" s="14" t="s">
        <v>386</v>
      </c>
      <c r="G96" s="14" t="s">
        <v>474</v>
      </c>
      <c r="H96" s="15">
        <v>6400</v>
      </c>
      <c r="I96" s="8"/>
      <c r="J96" s="21">
        <f t="shared" si="54"/>
        <v>320</v>
      </c>
      <c r="K96" s="21">
        <f t="shared" si="55"/>
        <v>6720</v>
      </c>
      <c r="L96" s="15"/>
      <c r="M96" s="13"/>
      <c r="N96" s="13"/>
      <c r="O96" s="15"/>
      <c r="P96" s="10" t="s">
        <v>475</v>
      </c>
      <c r="Q96" s="9"/>
      <c r="R96" s="9" t="s">
        <v>476</v>
      </c>
      <c r="S96" s="9"/>
      <c r="T96" s="23" t="s">
        <v>477</v>
      </c>
      <c r="U96" s="27"/>
      <c r="V96" s="28"/>
      <c r="W96" s="14"/>
      <c r="X96" s="16" t="s">
        <v>440</v>
      </c>
    </row>
    <row r="97" spans="1:24" x14ac:dyDescent="0.25">
      <c r="A97" s="6">
        <v>39</v>
      </c>
      <c r="B97" s="22" t="s">
        <v>526</v>
      </c>
      <c r="C97" s="13" t="s">
        <v>40</v>
      </c>
      <c r="D97" s="13" t="s">
        <v>527</v>
      </c>
      <c r="E97" s="14" t="s">
        <v>528</v>
      </c>
      <c r="F97" s="14" t="s">
        <v>386</v>
      </c>
      <c r="G97" s="14" t="s">
        <v>529</v>
      </c>
      <c r="H97" s="15">
        <v>28000</v>
      </c>
      <c r="I97" s="8"/>
      <c r="J97" s="21">
        <f t="shared" si="54"/>
        <v>1400</v>
      </c>
      <c r="K97" s="21">
        <f t="shared" si="55"/>
        <v>29400</v>
      </c>
      <c r="L97" s="15"/>
      <c r="M97" s="13" t="s">
        <v>530</v>
      </c>
      <c r="N97" s="13"/>
      <c r="O97" s="15"/>
      <c r="P97" s="10" t="s">
        <v>514</v>
      </c>
      <c r="Q97" s="9" t="s">
        <v>112</v>
      </c>
      <c r="R97" s="9"/>
      <c r="S97" s="9" t="s">
        <v>113</v>
      </c>
      <c r="T97" s="23" t="s">
        <v>531</v>
      </c>
      <c r="U97" s="27"/>
      <c r="V97" s="28"/>
      <c r="W97" s="14"/>
      <c r="X97" s="16" t="s">
        <v>532</v>
      </c>
    </row>
    <row r="98" spans="1:24" x14ac:dyDescent="0.25">
      <c r="A98" s="6">
        <v>40</v>
      </c>
      <c r="B98" s="22" t="s">
        <v>478</v>
      </c>
      <c r="C98" s="13" t="s">
        <v>40</v>
      </c>
      <c r="D98" s="13" t="s">
        <v>453</v>
      </c>
      <c r="E98" s="14" t="s">
        <v>479</v>
      </c>
      <c r="F98" s="14" t="s">
        <v>50</v>
      </c>
      <c r="G98" s="14" t="s">
        <v>480</v>
      </c>
      <c r="H98" s="15">
        <v>12000</v>
      </c>
      <c r="I98" s="8"/>
      <c r="J98" s="21">
        <f t="shared" si="54"/>
        <v>600</v>
      </c>
      <c r="K98" s="21">
        <f t="shared" si="55"/>
        <v>12600</v>
      </c>
      <c r="L98" s="15"/>
      <c r="M98" s="13"/>
      <c r="N98" s="13"/>
      <c r="O98" s="15"/>
      <c r="P98" s="10" t="s">
        <v>146</v>
      </c>
      <c r="Q98" s="9" t="s">
        <v>463</v>
      </c>
      <c r="R98" s="9"/>
      <c r="S98" s="9"/>
      <c r="T98" s="23" t="s">
        <v>481</v>
      </c>
      <c r="U98" s="27"/>
      <c r="V98" s="28"/>
      <c r="W98" s="14"/>
      <c r="X98" s="16" t="s">
        <v>440</v>
      </c>
    </row>
    <row r="99" spans="1:24" x14ac:dyDescent="0.25">
      <c r="A99" s="6">
        <v>41</v>
      </c>
      <c r="B99" s="22" t="s">
        <v>518</v>
      </c>
      <c r="C99" s="13" t="s">
        <v>40</v>
      </c>
      <c r="D99" s="13" t="s">
        <v>519</v>
      </c>
      <c r="E99" s="14" t="s">
        <v>144</v>
      </c>
      <c r="F99" s="14" t="s">
        <v>50</v>
      </c>
      <c r="G99" s="14" t="s">
        <v>520</v>
      </c>
      <c r="H99" s="15">
        <v>8000</v>
      </c>
      <c r="I99" s="8"/>
      <c r="J99" s="21">
        <f t="shared" si="54"/>
        <v>400</v>
      </c>
      <c r="K99" s="21">
        <f t="shared" si="55"/>
        <v>8400</v>
      </c>
      <c r="L99" s="15"/>
      <c r="M99" s="13"/>
      <c r="N99" s="13"/>
      <c r="O99" s="15"/>
      <c r="P99" s="10" t="s">
        <v>146</v>
      </c>
      <c r="Q99" s="9" t="s">
        <v>147</v>
      </c>
      <c r="R99" s="9"/>
      <c r="S99" s="9"/>
      <c r="T99" s="23" t="s">
        <v>521</v>
      </c>
      <c r="U99" s="27"/>
      <c r="V99" s="28"/>
      <c r="W99" s="14"/>
      <c r="X99" s="16" t="s">
        <v>522</v>
      </c>
    </row>
    <row r="100" spans="1:24" x14ac:dyDescent="0.25">
      <c r="A100" s="6">
        <v>42</v>
      </c>
      <c r="B100" s="22" t="s">
        <v>510</v>
      </c>
      <c r="C100" s="13" t="s">
        <v>40</v>
      </c>
      <c r="D100" s="13" t="s">
        <v>511</v>
      </c>
      <c r="E100" s="14" t="s">
        <v>512</v>
      </c>
      <c r="F100" s="14" t="s">
        <v>386</v>
      </c>
      <c r="G100" s="14" t="s">
        <v>513</v>
      </c>
      <c r="H100" s="15">
        <v>33600</v>
      </c>
      <c r="I100" s="8"/>
      <c r="J100" s="21">
        <f t="shared" si="54"/>
        <v>1680</v>
      </c>
      <c r="K100" s="21">
        <f t="shared" si="55"/>
        <v>35280</v>
      </c>
      <c r="L100" s="15"/>
      <c r="M100" s="13"/>
      <c r="N100" s="13"/>
      <c r="O100" s="15"/>
      <c r="P100" s="10" t="s">
        <v>514</v>
      </c>
      <c r="Q100" s="9" t="s">
        <v>515</v>
      </c>
      <c r="R100" s="9"/>
      <c r="S100" s="9" t="s">
        <v>516</v>
      </c>
      <c r="T100" s="23"/>
      <c r="U100" s="27"/>
      <c r="V100" s="28"/>
      <c r="W100" s="14" t="s">
        <v>523</v>
      </c>
      <c r="X100" s="16" t="s">
        <v>517</v>
      </c>
    </row>
    <row r="101" spans="1:24" x14ac:dyDescent="0.25">
      <c r="A101" s="6">
        <v>43</v>
      </c>
      <c r="B101" s="22" t="s">
        <v>630</v>
      </c>
      <c r="C101" s="13" t="s">
        <v>40</v>
      </c>
      <c r="D101" s="13" t="s">
        <v>631</v>
      </c>
      <c r="E101" s="14" t="s">
        <v>632</v>
      </c>
      <c r="F101" s="14" t="s">
        <v>633</v>
      </c>
      <c r="G101" s="14" t="s">
        <v>634</v>
      </c>
      <c r="H101" s="15">
        <v>264400</v>
      </c>
      <c r="I101" s="8"/>
      <c r="J101" s="21">
        <f t="shared" si="54"/>
        <v>13220</v>
      </c>
      <c r="K101" s="21">
        <f t="shared" si="55"/>
        <v>277620</v>
      </c>
      <c r="L101" s="15"/>
      <c r="M101" s="13"/>
      <c r="N101" s="13"/>
      <c r="O101" s="15"/>
      <c r="P101" s="10" t="s">
        <v>635</v>
      </c>
      <c r="Q101" s="9"/>
      <c r="R101" s="9" t="s">
        <v>636</v>
      </c>
      <c r="S101" s="9"/>
      <c r="T101" s="23"/>
      <c r="U101" s="27"/>
      <c r="V101" s="28"/>
      <c r="W101" s="14"/>
      <c r="X101" s="16" t="s">
        <v>637</v>
      </c>
    </row>
    <row r="102" spans="1:24" x14ac:dyDescent="0.25">
      <c r="A102" s="6">
        <v>44</v>
      </c>
      <c r="B102" s="22" t="s">
        <v>585</v>
      </c>
      <c r="C102" s="13" t="s">
        <v>40</v>
      </c>
      <c r="D102" s="13" t="s">
        <v>586</v>
      </c>
      <c r="E102" s="14" t="s">
        <v>587</v>
      </c>
      <c r="F102" s="14" t="s">
        <v>50</v>
      </c>
      <c r="G102" s="14" t="s">
        <v>588</v>
      </c>
      <c r="H102" s="15">
        <v>39200</v>
      </c>
      <c r="I102" s="8"/>
      <c r="J102" s="21">
        <f t="shared" si="54"/>
        <v>1960</v>
      </c>
      <c r="K102" s="21">
        <f t="shared" si="55"/>
        <v>41160</v>
      </c>
      <c r="L102" s="15"/>
      <c r="M102" s="13" t="s">
        <v>589</v>
      </c>
      <c r="N102" s="13"/>
      <c r="O102" s="15"/>
      <c r="P102" s="10" t="s">
        <v>590</v>
      </c>
      <c r="Q102" s="9"/>
      <c r="R102" s="9" t="s">
        <v>591</v>
      </c>
      <c r="S102" s="9"/>
      <c r="T102" s="23" t="s">
        <v>592</v>
      </c>
      <c r="U102" s="27"/>
      <c r="V102" s="28"/>
      <c r="W102" s="14"/>
      <c r="X102" s="16" t="s">
        <v>589</v>
      </c>
    </row>
    <row r="103" spans="1:24" ht="38.25" customHeight="1" x14ac:dyDescent="0.25">
      <c r="A103" s="57">
        <v>45</v>
      </c>
      <c r="B103" s="55" t="s">
        <v>770</v>
      </c>
      <c r="C103" s="57" t="s">
        <v>40</v>
      </c>
      <c r="D103" s="57" t="s">
        <v>765</v>
      </c>
      <c r="E103" s="58" t="s">
        <v>766</v>
      </c>
      <c r="F103" s="58" t="s">
        <v>767</v>
      </c>
      <c r="G103" s="58" t="s">
        <v>768</v>
      </c>
      <c r="H103" s="59">
        <v>30000</v>
      </c>
      <c r="I103" s="56"/>
      <c r="J103" s="59">
        <f t="shared" si="54"/>
        <v>1500</v>
      </c>
      <c r="K103" s="59">
        <f t="shared" si="55"/>
        <v>31500</v>
      </c>
      <c r="L103" s="59"/>
      <c r="M103" s="57"/>
      <c r="N103" s="57"/>
      <c r="O103" s="59"/>
      <c r="P103" s="61"/>
      <c r="Q103" s="62"/>
      <c r="R103" s="62"/>
      <c r="S103" s="62"/>
      <c r="T103" s="63"/>
      <c r="U103" s="64"/>
      <c r="V103" s="60"/>
      <c r="W103" s="72" t="s">
        <v>769</v>
      </c>
      <c r="X103" s="65"/>
    </row>
    <row r="104" spans="1:24" x14ac:dyDescent="0.25">
      <c r="A104" s="6">
        <v>46</v>
      </c>
      <c r="B104" s="22" t="s">
        <v>758</v>
      </c>
      <c r="C104" s="13" t="s">
        <v>40</v>
      </c>
      <c r="D104" s="13" t="s">
        <v>759</v>
      </c>
      <c r="E104" s="14" t="s">
        <v>760</v>
      </c>
      <c r="F104" s="14" t="s">
        <v>761</v>
      </c>
      <c r="G104" s="14" t="s">
        <v>762</v>
      </c>
      <c r="H104" s="15">
        <v>17000</v>
      </c>
      <c r="I104" s="8" t="s">
        <v>763</v>
      </c>
      <c r="J104" s="21">
        <f t="shared" si="54"/>
        <v>810</v>
      </c>
      <c r="K104" s="21">
        <f t="shared" si="55"/>
        <v>17000</v>
      </c>
      <c r="L104" s="15"/>
      <c r="M104" s="13"/>
      <c r="N104" s="13"/>
      <c r="O104" s="15"/>
      <c r="P104" s="10" t="s">
        <v>760</v>
      </c>
      <c r="Q104" s="9"/>
      <c r="R104" s="9" t="s">
        <v>764</v>
      </c>
      <c r="S104" s="9"/>
      <c r="T104" s="23"/>
      <c r="U104" s="27"/>
      <c r="V104" s="28"/>
      <c r="W104" s="14"/>
      <c r="X104" s="16"/>
    </row>
    <row r="105" spans="1:24" x14ac:dyDescent="0.25">
      <c r="A105" s="6">
        <v>47</v>
      </c>
      <c r="B105" s="22" t="s">
        <v>572</v>
      </c>
      <c r="C105" s="13" t="s">
        <v>40</v>
      </c>
      <c r="D105" s="13" t="s">
        <v>573</v>
      </c>
      <c r="E105" s="14" t="s">
        <v>574</v>
      </c>
      <c r="F105" s="14" t="s">
        <v>50</v>
      </c>
      <c r="G105" s="14" t="s">
        <v>575</v>
      </c>
      <c r="H105" s="15">
        <v>64800</v>
      </c>
      <c r="I105" s="8"/>
      <c r="J105" s="21">
        <f t="shared" si="54"/>
        <v>3240</v>
      </c>
      <c r="K105" s="21">
        <f t="shared" si="55"/>
        <v>68040</v>
      </c>
      <c r="L105" s="15"/>
      <c r="M105" s="13" t="s">
        <v>576</v>
      </c>
      <c r="N105" s="13"/>
      <c r="O105" s="15"/>
      <c r="P105" s="10" t="s">
        <v>577</v>
      </c>
      <c r="Q105" s="9"/>
      <c r="R105" s="9" t="s">
        <v>578</v>
      </c>
      <c r="S105" s="9"/>
      <c r="T105" s="23" t="s">
        <v>579</v>
      </c>
      <c r="U105" s="27"/>
      <c r="V105" s="28"/>
      <c r="W105" s="14" t="s">
        <v>580</v>
      </c>
      <c r="X105" s="16" t="s">
        <v>581</v>
      </c>
    </row>
    <row r="106" spans="1:24" x14ac:dyDescent="0.25">
      <c r="A106" s="6">
        <v>48</v>
      </c>
      <c r="B106" s="22" t="s">
        <v>698</v>
      </c>
      <c r="C106" s="13" t="s">
        <v>40</v>
      </c>
      <c r="D106" s="13" t="s">
        <v>699</v>
      </c>
      <c r="E106" s="14" t="s">
        <v>700</v>
      </c>
      <c r="F106" s="14" t="s">
        <v>50</v>
      </c>
      <c r="G106" s="14" t="s">
        <v>701</v>
      </c>
      <c r="H106" s="15">
        <v>10000</v>
      </c>
      <c r="I106" s="8"/>
      <c r="J106" s="21">
        <f t="shared" si="54"/>
        <v>500</v>
      </c>
      <c r="K106" s="21">
        <f t="shared" si="55"/>
        <v>10500</v>
      </c>
      <c r="L106" s="15"/>
      <c r="M106" s="13"/>
      <c r="N106" s="13"/>
      <c r="O106" s="15"/>
      <c r="P106" s="10" t="s">
        <v>702</v>
      </c>
      <c r="Q106" s="9"/>
      <c r="R106" s="9" t="s">
        <v>703</v>
      </c>
      <c r="S106" s="9"/>
      <c r="T106" s="23"/>
      <c r="U106" s="27"/>
      <c r="V106" s="28"/>
      <c r="W106" s="14"/>
      <c r="X106" s="16" t="s">
        <v>697</v>
      </c>
    </row>
    <row r="107" spans="1:24" x14ac:dyDescent="0.25">
      <c r="A107" s="6">
        <v>49</v>
      </c>
      <c r="B107" s="22" t="s">
        <v>593</v>
      </c>
      <c r="C107" s="13" t="s">
        <v>40</v>
      </c>
      <c r="D107" s="13" t="s">
        <v>595</v>
      </c>
      <c r="E107" s="14" t="s">
        <v>596</v>
      </c>
      <c r="F107" s="14" t="s">
        <v>50</v>
      </c>
      <c r="G107" s="14" t="s">
        <v>619</v>
      </c>
      <c r="H107" s="15">
        <v>27000</v>
      </c>
      <c r="I107" s="8"/>
      <c r="J107" s="21">
        <f t="shared" si="54"/>
        <v>1350</v>
      </c>
      <c r="K107" s="21">
        <f t="shared" si="55"/>
        <v>28350</v>
      </c>
      <c r="L107" s="15"/>
      <c r="M107" s="13" t="s">
        <v>595</v>
      </c>
      <c r="N107" s="13"/>
      <c r="O107" s="15"/>
      <c r="P107" s="10" t="s">
        <v>597</v>
      </c>
      <c r="Q107" s="9" t="s">
        <v>598</v>
      </c>
      <c r="R107" s="9"/>
      <c r="S107" s="9"/>
      <c r="T107" s="23" t="s">
        <v>599</v>
      </c>
      <c r="U107" s="27"/>
      <c r="V107" s="28"/>
      <c r="W107" s="14" t="s">
        <v>580</v>
      </c>
      <c r="X107" s="16" t="s">
        <v>595</v>
      </c>
    </row>
    <row r="108" spans="1:24" x14ac:dyDescent="0.25">
      <c r="A108" s="6">
        <v>50</v>
      </c>
      <c r="B108" s="22" t="s">
        <v>902</v>
      </c>
      <c r="C108" s="13" t="s">
        <v>40</v>
      </c>
      <c r="D108" s="13" t="s">
        <v>903</v>
      </c>
      <c r="E108" s="14" t="s">
        <v>904</v>
      </c>
      <c r="F108" s="14" t="s">
        <v>50</v>
      </c>
      <c r="G108" s="14" t="s">
        <v>905</v>
      </c>
      <c r="H108" s="15">
        <v>45000</v>
      </c>
      <c r="I108" s="8" t="s">
        <v>906</v>
      </c>
      <c r="J108" s="21">
        <f t="shared" si="54"/>
        <v>2143</v>
      </c>
      <c r="K108" s="21">
        <f t="shared" si="55"/>
        <v>45000</v>
      </c>
      <c r="L108" s="15"/>
      <c r="M108" s="13"/>
      <c r="N108" s="13"/>
      <c r="O108" s="15"/>
      <c r="P108" s="10" t="s">
        <v>907</v>
      </c>
      <c r="Q108" s="9" t="s">
        <v>908</v>
      </c>
      <c r="R108" s="9"/>
      <c r="S108" s="9"/>
      <c r="T108" s="23" t="s">
        <v>909</v>
      </c>
      <c r="U108" s="27"/>
      <c r="V108" s="28"/>
      <c r="W108" s="14"/>
      <c r="X108" s="16" t="s">
        <v>910</v>
      </c>
    </row>
    <row r="109" spans="1:24" x14ac:dyDescent="0.25">
      <c r="A109" s="6">
        <v>51</v>
      </c>
      <c r="B109" s="22" t="s">
        <v>594</v>
      </c>
      <c r="C109" s="13" t="s">
        <v>40</v>
      </c>
      <c r="D109" s="13" t="s">
        <v>595</v>
      </c>
      <c r="E109" s="14" t="s">
        <v>601</v>
      </c>
      <c r="F109" s="14" t="s">
        <v>50</v>
      </c>
      <c r="G109" s="14" t="s">
        <v>602</v>
      </c>
      <c r="H109" s="15">
        <v>8500</v>
      </c>
      <c r="I109" s="8"/>
      <c r="J109" s="21">
        <f t="shared" si="54"/>
        <v>425</v>
      </c>
      <c r="K109" s="21">
        <f t="shared" si="55"/>
        <v>8925</v>
      </c>
      <c r="L109" s="15"/>
      <c r="M109" s="13" t="s">
        <v>600</v>
      </c>
      <c r="N109" s="13"/>
      <c r="O109" s="15"/>
      <c r="P109" s="10" t="s">
        <v>514</v>
      </c>
      <c r="Q109" s="9" t="s">
        <v>603</v>
      </c>
      <c r="R109" s="9"/>
      <c r="S109" s="9"/>
      <c r="T109" s="23" t="s">
        <v>604</v>
      </c>
      <c r="U109" s="27"/>
      <c r="V109" s="28"/>
      <c r="W109" s="14"/>
      <c r="X109" s="16" t="s">
        <v>600</v>
      </c>
    </row>
    <row r="110" spans="1:24" ht="36" customHeight="1" x14ac:dyDescent="0.25">
      <c r="A110" s="6">
        <v>52</v>
      </c>
      <c r="B110" s="22" t="s">
        <v>615</v>
      </c>
      <c r="C110" s="13" t="s">
        <v>40</v>
      </c>
      <c r="D110" s="13" t="s">
        <v>616</v>
      </c>
      <c r="E110" s="14" t="s">
        <v>617</v>
      </c>
      <c r="F110" s="14" t="s">
        <v>618</v>
      </c>
      <c r="G110" s="14" t="s">
        <v>620</v>
      </c>
      <c r="H110" s="15">
        <v>48000</v>
      </c>
      <c r="I110" s="8"/>
      <c r="J110" s="21">
        <f t="shared" si="54"/>
        <v>2400</v>
      </c>
      <c r="K110" s="21">
        <f t="shared" si="55"/>
        <v>50400</v>
      </c>
      <c r="L110" s="15"/>
      <c r="M110" s="13"/>
      <c r="N110" s="13"/>
      <c r="O110" s="15"/>
      <c r="P110" s="10" t="s">
        <v>621</v>
      </c>
      <c r="Q110" s="9"/>
      <c r="R110" s="9" t="s">
        <v>622</v>
      </c>
      <c r="S110" s="9"/>
      <c r="T110" s="23" t="s">
        <v>722</v>
      </c>
      <c r="U110" s="27"/>
      <c r="V110" s="28"/>
      <c r="W110" s="14"/>
      <c r="X110" s="16" t="s">
        <v>723</v>
      </c>
    </row>
    <row r="111" spans="1:24" x14ac:dyDescent="0.25">
      <c r="A111" s="6">
        <v>53</v>
      </c>
      <c r="B111" s="22" t="s">
        <v>638</v>
      </c>
      <c r="C111" s="13" t="s">
        <v>40</v>
      </c>
      <c r="D111" s="13" t="s">
        <v>639</v>
      </c>
      <c r="E111" s="14" t="s">
        <v>640</v>
      </c>
      <c r="F111" s="14" t="s">
        <v>50</v>
      </c>
      <c r="G111" s="14" t="s">
        <v>641</v>
      </c>
      <c r="H111" s="15">
        <v>4000</v>
      </c>
      <c r="I111" s="8"/>
      <c r="J111" s="21">
        <f t="shared" si="54"/>
        <v>200</v>
      </c>
      <c r="K111" s="21">
        <f t="shared" si="55"/>
        <v>4200</v>
      </c>
      <c r="L111" s="15"/>
      <c r="M111" s="13" t="s">
        <v>642</v>
      </c>
      <c r="N111" s="13"/>
      <c r="O111" s="15"/>
      <c r="P111" s="10" t="s">
        <v>643</v>
      </c>
      <c r="Q111" s="9"/>
      <c r="R111" s="9" t="s">
        <v>644</v>
      </c>
      <c r="S111" s="9"/>
      <c r="T111" s="23"/>
      <c r="U111" s="27"/>
      <c r="V111" s="28"/>
      <c r="W111" s="14" t="s">
        <v>666</v>
      </c>
      <c r="X111" s="16" t="s">
        <v>645</v>
      </c>
    </row>
    <row r="112" spans="1:24" x14ac:dyDescent="0.25">
      <c r="A112" s="6">
        <v>54</v>
      </c>
      <c r="B112" s="22" t="s">
        <v>671</v>
      </c>
      <c r="C112" s="13" t="s">
        <v>40</v>
      </c>
      <c r="D112" s="13" t="s">
        <v>672</v>
      </c>
      <c r="E112" s="14" t="s">
        <v>673</v>
      </c>
      <c r="F112" s="14" t="s">
        <v>126</v>
      </c>
      <c r="G112" s="14" t="s">
        <v>674</v>
      </c>
      <c r="H112" s="15">
        <v>8000</v>
      </c>
      <c r="I112" s="8"/>
      <c r="J112" s="21">
        <f t="shared" si="54"/>
        <v>400</v>
      </c>
      <c r="K112" s="21">
        <f t="shared" si="55"/>
        <v>8400</v>
      </c>
      <c r="L112" s="15"/>
      <c r="M112" s="13"/>
      <c r="N112" s="13"/>
      <c r="O112" s="15"/>
      <c r="P112" s="10"/>
      <c r="Q112" s="9"/>
      <c r="R112" s="9"/>
      <c r="S112" s="9"/>
      <c r="T112" s="23"/>
      <c r="U112" s="27"/>
      <c r="V112" s="28"/>
      <c r="W112" s="14"/>
      <c r="X112" s="16" t="s">
        <v>675</v>
      </c>
    </row>
    <row r="113" spans="1:25" x14ac:dyDescent="0.25">
      <c r="A113" s="6">
        <v>55</v>
      </c>
      <c r="B113" s="22" t="s">
        <v>704</v>
      </c>
      <c r="C113" s="13" t="s">
        <v>40</v>
      </c>
      <c r="D113" s="13" t="s">
        <v>705</v>
      </c>
      <c r="E113" s="14" t="s">
        <v>706</v>
      </c>
      <c r="F113" s="14" t="s">
        <v>708</v>
      </c>
      <c r="G113" s="14" t="s">
        <v>707</v>
      </c>
      <c r="H113" s="15">
        <v>1000</v>
      </c>
      <c r="I113" s="8" t="s">
        <v>709</v>
      </c>
      <c r="J113" s="21">
        <f t="shared" si="54"/>
        <v>48</v>
      </c>
      <c r="K113" s="21">
        <f t="shared" si="55"/>
        <v>1000</v>
      </c>
      <c r="L113" s="15"/>
      <c r="M113" s="13" t="s">
        <v>705</v>
      </c>
      <c r="N113" s="13"/>
      <c r="O113" s="15"/>
      <c r="P113" s="10" t="s">
        <v>710</v>
      </c>
      <c r="Q113" s="9"/>
      <c r="R113" s="9" t="s">
        <v>711</v>
      </c>
      <c r="S113" s="9"/>
      <c r="T113" s="23"/>
      <c r="U113" s="27"/>
      <c r="V113" s="28"/>
      <c r="W113" s="14" t="s">
        <v>712</v>
      </c>
      <c r="X113" s="16" t="s">
        <v>705</v>
      </c>
    </row>
    <row r="114" spans="1:25" ht="32.25" customHeight="1" x14ac:dyDescent="0.25">
      <c r="A114" s="6">
        <v>56</v>
      </c>
      <c r="B114" s="22" t="s">
        <v>713</v>
      </c>
      <c r="C114" s="13" t="s">
        <v>40</v>
      </c>
      <c r="D114" s="13" t="s">
        <v>714</v>
      </c>
      <c r="E114" s="14" t="s">
        <v>715</v>
      </c>
      <c r="F114" s="14" t="s">
        <v>716</v>
      </c>
      <c r="G114" s="14" t="s">
        <v>717</v>
      </c>
      <c r="H114" s="15">
        <v>10000</v>
      </c>
      <c r="I114" s="8"/>
      <c r="J114" s="21">
        <f t="shared" ref="J114" si="56">IF(I114="",ROUND(H114*0.05,0),ROUND(H114/1.05*0.05,0))</f>
        <v>500</v>
      </c>
      <c r="K114" s="21">
        <f t="shared" ref="K114" si="57">IF(I114="",H114+J114,H114)</f>
        <v>10500</v>
      </c>
      <c r="L114" s="15"/>
      <c r="M114" s="13"/>
      <c r="N114" s="13"/>
      <c r="O114" s="15"/>
      <c r="P114" s="10" t="s">
        <v>718</v>
      </c>
      <c r="Q114" s="9"/>
      <c r="R114" s="9" t="s">
        <v>719</v>
      </c>
      <c r="S114" s="9"/>
      <c r="T114" s="23" t="s">
        <v>720</v>
      </c>
      <c r="U114" s="27"/>
      <c r="V114" s="28"/>
      <c r="W114" s="14"/>
      <c r="X114" s="16" t="s">
        <v>721</v>
      </c>
    </row>
    <row r="115" spans="1:25" x14ac:dyDescent="0.25">
      <c r="A115" s="6"/>
      <c r="B115" s="22"/>
      <c r="C115" s="13"/>
      <c r="D115" s="13"/>
      <c r="E115" s="36"/>
      <c r="F115" s="14"/>
      <c r="G115" s="14"/>
      <c r="H115" s="15"/>
      <c r="I115" s="8"/>
      <c r="J115" s="21">
        <f t="shared" si="42"/>
        <v>0</v>
      </c>
      <c r="K115" s="21">
        <f t="shared" si="43"/>
        <v>0</v>
      </c>
      <c r="L115" s="15"/>
      <c r="M115" s="13"/>
      <c r="N115" s="13"/>
      <c r="O115" s="15"/>
      <c r="P115" s="10"/>
      <c r="Q115" s="9"/>
      <c r="R115" s="9"/>
      <c r="S115" s="9"/>
      <c r="T115" s="23"/>
      <c r="U115" s="27"/>
      <c r="V115" s="28"/>
      <c r="W115" s="14"/>
      <c r="X115" s="16"/>
    </row>
    <row r="116" spans="1:25" x14ac:dyDescent="0.25">
      <c r="A116" s="6"/>
      <c r="B116" s="22"/>
      <c r="C116" s="13"/>
      <c r="D116" s="13"/>
      <c r="E116" s="14"/>
      <c r="F116" s="14"/>
      <c r="G116" s="14"/>
      <c r="H116" s="15"/>
      <c r="I116" s="8"/>
      <c r="J116" s="21"/>
      <c r="K116" s="21"/>
      <c r="L116" s="15"/>
      <c r="M116" s="13"/>
      <c r="N116" s="13"/>
      <c r="O116" s="15"/>
      <c r="P116" s="10"/>
      <c r="Q116" s="9"/>
      <c r="R116" s="9"/>
      <c r="S116" s="9"/>
      <c r="T116" s="23"/>
      <c r="U116" s="27"/>
      <c r="V116" s="28"/>
      <c r="W116" s="14"/>
      <c r="X116" s="16"/>
    </row>
    <row r="117" spans="1:25" s="41" customFormat="1" ht="33.75" customHeight="1" x14ac:dyDescent="0.25">
      <c r="A117" s="6">
        <v>1</v>
      </c>
      <c r="B117" s="22" t="s">
        <v>34</v>
      </c>
      <c r="C117" s="13" t="s">
        <v>25</v>
      </c>
      <c r="D117" s="13" t="s">
        <v>35</v>
      </c>
      <c r="E117" s="14" t="s">
        <v>36</v>
      </c>
      <c r="F117" s="36" t="s">
        <v>37</v>
      </c>
      <c r="G117" s="36" t="s">
        <v>38</v>
      </c>
      <c r="H117" s="37">
        <v>229200</v>
      </c>
      <c r="I117" s="8"/>
      <c r="J117" s="38">
        <f t="shared" si="8"/>
        <v>11460</v>
      </c>
      <c r="K117" s="38">
        <f t="shared" si="9"/>
        <v>240660</v>
      </c>
      <c r="L117" s="37"/>
      <c r="M117" s="13"/>
      <c r="N117" s="13"/>
      <c r="O117" s="37"/>
      <c r="P117" s="36" t="s">
        <v>39</v>
      </c>
      <c r="Q117" s="39"/>
      <c r="R117" s="39"/>
      <c r="S117" s="39"/>
      <c r="T117" s="23"/>
      <c r="U117" s="27"/>
      <c r="V117" s="28"/>
      <c r="W117" s="36"/>
      <c r="X117" s="40"/>
      <c r="Y117" s="33" t="s">
        <v>40</v>
      </c>
    </row>
    <row r="118" spans="1:25" s="41" customFormat="1" ht="33.75" customHeight="1" x14ac:dyDescent="0.25">
      <c r="A118" s="6"/>
      <c r="B118" s="22" t="s">
        <v>676</v>
      </c>
      <c r="C118" s="13" t="s">
        <v>25</v>
      </c>
      <c r="D118" s="13" t="s">
        <v>672</v>
      </c>
      <c r="E118" s="14" t="s">
        <v>679</v>
      </c>
      <c r="F118" s="36" t="s">
        <v>678</v>
      </c>
      <c r="G118" s="36" t="s">
        <v>677</v>
      </c>
      <c r="H118" s="37">
        <v>49800</v>
      </c>
      <c r="I118" s="8"/>
      <c r="J118" s="38">
        <f t="shared" ref="J118" si="58">IF(I118="",ROUND(H118*0.05,0),ROUND(H118/1.05*0.05,0))</f>
        <v>2490</v>
      </c>
      <c r="K118" s="38">
        <f t="shared" ref="K118" si="59">IF(I118="",H118+J118,H118)</f>
        <v>52290</v>
      </c>
      <c r="L118" s="37"/>
      <c r="M118" s="13"/>
      <c r="N118" s="13"/>
      <c r="O118" s="37"/>
      <c r="P118" s="36" t="s">
        <v>679</v>
      </c>
      <c r="Q118" s="39"/>
      <c r="R118" s="39" t="s">
        <v>680</v>
      </c>
      <c r="S118" s="39"/>
      <c r="T118" s="23"/>
      <c r="U118" s="27"/>
      <c r="V118" s="28"/>
      <c r="W118" s="36" t="s">
        <v>681</v>
      </c>
      <c r="X118" s="40" t="s">
        <v>682</v>
      </c>
      <c r="Y118" s="33"/>
    </row>
    <row r="119" spans="1:25" x14ac:dyDescent="0.25">
      <c r="A119" s="6"/>
      <c r="B119" s="22"/>
      <c r="C119" s="13"/>
      <c r="D119" s="13"/>
      <c r="E119" s="14"/>
      <c r="F119" s="14"/>
      <c r="G119" s="14"/>
      <c r="H119" s="15"/>
      <c r="I119" s="8"/>
      <c r="J119" s="21">
        <f t="shared" si="8"/>
        <v>0</v>
      </c>
      <c r="K119" s="21">
        <f t="shared" si="9"/>
        <v>0</v>
      </c>
      <c r="L119" s="15"/>
      <c r="M119" s="13"/>
      <c r="N119" s="13"/>
      <c r="O119" s="15"/>
      <c r="P119" s="10"/>
      <c r="Q119" s="9"/>
      <c r="R119" s="9"/>
      <c r="S119" s="9"/>
      <c r="T119" s="23"/>
      <c r="U119" s="27"/>
      <c r="V119" s="28"/>
      <c r="W119" s="14"/>
      <c r="X119" s="16"/>
    </row>
    <row r="120" spans="1:25" x14ac:dyDescent="0.25">
      <c r="A120" s="6"/>
      <c r="B120" s="22"/>
      <c r="C120" s="13"/>
      <c r="D120" s="13"/>
      <c r="E120" s="14"/>
      <c r="F120" s="14"/>
      <c r="G120" s="14"/>
      <c r="H120" s="15"/>
      <c r="I120" s="8"/>
      <c r="J120" s="21">
        <f t="shared" si="8"/>
        <v>0</v>
      </c>
      <c r="K120" s="21">
        <f t="shared" si="9"/>
        <v>0</v>
      </c>
      <c r="L120" s="15"/>
      <c r="M120" s="13"/>
      <c r="N120" s="10"/>
      <c r="O120" s="15"/>
      <c r="P120" s="10"/>
      <c r="Q120" s="9"/>
      <c r="R120" s="9"/>
      <c r="S120" s="9"/>
      <c r="T120" s="23"/>
      <c r="U120" s="27"/>
      <c r="V120" s="28"/>
      <c r="W120" s="14"/>
      <c r="X120" s="31"/>
      <c r="Y120" s="32"/>
    </row>
    <row r="121" spans="1:25" x14ac:dyDescent="0.25">
      <c r="A121" s="6">
        <v>1</v>
      </c>
      <c r="B121" s="66" t="s">
        <v>342</v>
      </c>
      <c r="C121" s="13" t="s">
        <v>684</v>
      </c>
      <c r="D121" s="13" t="s">
        <v>341</v>
      </c>
      <c r="E121" s="14" t="s">
        <v>343</v>
      </c>
      <c r="F121" s="14" t="s">
        <v>344</v>
      </c>
      <c r="G121" s="14" t="s">
        <v>345</v>
      </c>
      <c r="H121" s="15">
        <v>1400000</v>
      </c>
      <c r="I121" s="8"/>
      <c r="J121" s="21">
        <f t="shared" si="8"/>
        <v>70000</v>
      </c>
      <c r="K121" s="21">
        <f t="shared" si="9"/>
        <v>1470000</v>
      </c>
      <c r="L121" s="15"/>
      <c r="M121" s="13"/>
      <c r="N121" s="10"/>
      <c r="O121" s="15"/>
      <c r="P121" s="10"/>
      <c r="Q121" s="9"/>
      <c r="R121" s="9"/>
      <c r="S121" s="9"/>
      <c r="T121" s="23"/>
      <c r="U121" s="27"/>
      <c r="V121" s="28"/>
      <c r="W121" s="14"/>
      <c r="X121" s="31"/>
      <c r="Y121" s="33" t="s">
        <v>40</v>
      </c>
    </row>
    <row r="122" spans="1:25" x14ac:dyDescent="0.25">
      <c r="A122" s="13"/>
      <c r="B122" s="22"/>
      <c r="C122" s="13"/>
      <c r="D122" s="13"/>
      <c r="E122" s="14"/>
      <c r="F122" s="14"/>
      <c r="G122" s="14"/>
      <c r="H122" s="15"/>
      <c r="I122" s="8"/>
      <c r="J122" s="21">
        <f t="shared" si="8"/>
        <v>0</v>
      </c>
      <c r="K122" s="21">
        <f t="shared" si="9"/>
        <v>0</v>
      </c>
      <c r="L122" s="15"/>
      <c r="M122" s="13"/>
      <c r="N122" s="10"/>
      <c r="O122" s="15"/>
      <c r="P122" s="10"/>
      <c r="Q122" s="9"/>
      <c r="R122" s="9"/>
      <c r="S122" s="9"/>
      <c r="T122" s="23"/>
      <c r="U122" s="27"/>
      <c r="V122" s="28"/>
      <c r="W122" s="14"/>
      <c r="X122" s="16"/>
      <c r="Y122" s="32"/>
    </row>
    <row r="123" spans="1:25" x14ac:dyDescent="0.25">
      <c r="A123" s="13"/>
      <c r="B123" s="22" t="s">
        <v>396</v>
      </c>
      <c r="C123" s="13"/>
      <c r="D123" s="13" t="s">
        <v>397</v>
      </c>
      <c r="E123" s="14" t="s">
        <v>398</v>
      </c>
      <c r="F123" s="14" t="s">
        <v>399</v>
      </c>
      <c r="G123" s="14" t="s">
        <v>400</v>
      </c>
      <c r="H123" s="15">
        <v>52000</v>
      </c>
      <c r="I123" s="8"/>
      <c r="J123" s="21">
        <f t="shared" si="8"/>
        <v>2600</v>
      </c>
      <c r="K123" s="21">
        <f t="shared" si="9"/>
        <v>54600</v>
      </c>
      <c r="L123" s="15"/>
      <c r="M123" s="13"/>
      <c r="N123" s="13"/>
      <c r="O123" s="13"/>
      <c r="P123" s="10" t="s">
        <v>401</v>
      </c>
      <c r="Q123" s="9" t="s">
        <v>402</v>
      </c>
      <c r="R123" s="9"/>
      <c r="S123" s="9"/>
      <c r="T123" s="23" t="s">
        <v>403</v>
      </c>
      <c r="U123" s="27"/>
      <c r="V123" s="28" t="s">
        <v>404</v>
      </c>
      <c r="W123" s="14"/>
      <c r="X123" s="16"/>
    </row>
    <row r="124" spans="1:25" x14ac:dyDescent="0.25">
      <c r="A124" s="13"/>
      <c r="B124" s="22"/>
      <c r="C124" s="13"/>
      <c r="D124" s="13"/>
      <c r="E124" s="14"/>
      <c r="F124" s="14"/>
      <c r="G124" s="14"/>
      <c r="H124" s="15"/>
      <c r="I124" s="8"/>
      <c r="J124" s="21"/>
      <c r="K124" s="21"/>
      <c r="L124" s="15"/>
      <c r="M124" s="13"/>
      <c r="N124" s="13"/>
      <c r="O124" s="13"/>
      <c r="P124" s="10"/>
      <c r="Q124" s="9"/>
      <c r="R124" s="9"/>
      <c r="S124" s="9"/>
      <c r="T124" s="23"/>
      <c r="U124" s="27"/>
      <c r="V124" s="28"/>
      <c r="W124" s="14"/>
      <c r="X124" s="16"/>
    </row>
    <row r="125" spans="1:25" ht="49.5" x14ac:dyDescent="0.25">
      <c r="A125" s="13"/>
      <c r="B125" s="22"/>
      <c r="C125" s="13" t="s">
        <v>25</v>
      </c>
      <c r="D125" s="13" t="s">
        <v>685</v>
      </c>
      <c r="E125" s="14" t="s">
        <v>686</v>
      </c>
      <c r="F125" s="14" t="s">
        <v>683</v>
      </c>
      <c r="G125" s="14"/>
      <c r="H125" s="15">
        <v>2186100</v>
      </c>
      <c r="I125" s="8" t="s">
        <v>684</v>
      </c>
      <c r="J125" s="21">
        <f t="shared" si="8"/>
        <v>104100</v>
      </c>
      <c r="K125" s="21">
        <f t="shared" si="9"/>
        <v>2186100</v>
      </c>
      <c r="L125" s="15"/>
      <c r="M125" s="13"/>
      <c r="N125" s="13"/>
      <c r="O125" s="13"/>
      <c r="P125" s="10"/>
      <c r="Q125" s="9"/>
      <c r="R125" s="9"/>
      <c r="S125" s="9"/>
      <c r="T125" s="23"/>
      <c r="U125" s="29"/>
      <c r="V125" s="28"/>
      <c r="W125" s="14"/>
      <c r="X125" s="16"/>
    </row>
    <row r="126" spans="1:25" x14ac:dyDescent="0.25">
      <c r="A126" s="13"/>
      <c r="B126" s="22"/>
      <c r="C126" s="13"/>
      <c r="D126" s="13"/>
      <c r="E126" s="14"/>
      <c r="F126" s="14"/>
      <c r="G126" s="14"/>
      <c r="H126" s="15"/>
      <c r="I126" s="8"/>
      <c r="J126" s="21">
        <f t="shared" si="8"/>
        <v>0</v>
      </c>
      <c r="K126" s="21">
        <f t="shared" si="9"/>
        <v>0</v>
      </c>
      <c r="L126" s="15"/>
      <c r="M126" s="13"/>
      <c r="N126" s="13"/>
      <c r="O126" s="13"/>
      <c r="P126" s="10"/>
      <c r="Q126" s="9"/>
      <c r="R126" s="9"/>
      <c r="S126" s="9"/>
      <c r="T126" s="23"/>
      <c r="U126" s="29"/>
      <c r="V126" s="28"/>
      <c r="W126" s="14"/>
      <c r="X126" s="16"/>
    </row>
    <row r="127" spans="1:25" x14ac:dyDescent="0.25">
      <c r="A127" s="13"/>
      <c r="B127" s="22"/>
      <c r="C127" s="13"/>
      <c r="D127" s="13"/>
      <c r="E127" s="14"/>
      <c r="F127" s="14"/>
      <c r="G127" s="14"/>
      <c r="H127" s="15"/>
      <c r="I127" s="8"/>
      <c r="J127" s="21">
        <f t="shared" si="8"/>
        <v>0</v>
      </c>
      <c r="K127" s="21">
        <f t="shared" si="9"/>
        <v>0</v>
      </c>
      <c r="L127" s="15"/>
      <c r="M127" s="13"/>
      <c r="N127" s="13"/>
      <c r="O127" s="13"/>
      <c r="P127" s="10"/>
      <c r="Q127" s="9"/>
      <c r="R127" s="9"/>
      <c r="S127" s="9"/>
      <c r="T127" s="23"/>
      <c r="U127" s="22"/>
      <c r="V127" s="28"/>
      <c r="W127" s="14"/>
      <c r="X127" s="16"/>
    </row>
  </sheetData>
  <autoFilter ref="A1:Y47"/>
  <phoneticPr fontId="3" type="noConversion"/>
  <hyperlinks>
    <hyperlink ref="U18" r:id="rId1"/>
    <hyperlink ref="U2" r:id="rId2"/>
    <hyperlink ref="U19" r:id="rId3"/>
    <hyperlink ref="U21" r:id="rId4"/>
    <hyperlink ref="U15" r:id="rId5"/>
  </hyperlinks>
  <pageMargins left="0.47244094488188981" right="0.47244094488188981" top="0.74803149606299213" bottom="0.74803149606299213" header="0.31496062992125984" footer="0.31496062992125984"/>
  <pageSetup paperSize="9" scale="39" orientation="landscape"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10"/>
  <sheetViews>
    <sheetView zoomScale="91" zoomScaleNormal="91" workbookViewId="0">
      <pane xSplit="6" ySplit="1" topLeftCell="G2" activePane="bottomRight" state="frozen"/>
      <selection pane="topRight" activeCell="G1" sqref="G1"/>
      <selection pane="bottomLeft" activeCell="A2" sqref="A2"/>
      <selection pane="bottomRight" activeCell="F18" sqref="F18"/>
    </sheetView>
  </sheetViews>
  <sheetFormatPr defaultRowHeight="16.5" x14ac:dyDescent="0.25"/>
  <cols>
    <col min="1" max="1" width="6.75" bestFit="1" customWidth="1"/>
    <col min="2" max="2" width="15.375" bestFit="1" customWidth="1"/>
    <col min="3" max="4" width="12.5" bestFit="1" customWidth="1"/>
    <col min="5" max="5" width="29" style="24" customWidth="1"/>
    <col min="6" max="6" width="51.625" style="24" customWidth="1"/>
    <col min="7" max="7" width="38.25" style="24" customWidth="1"/>
    <col min="8" max="8" width="14" customWidth="1"/>
    <col min="9" max="9" width="9.625" customWidth="1"/>
    <col min="10" max="10" width="10.625" customWidth="1"/>
    <col min="11" max="11" width="12.625" customWidth="1"/>
    <col min="12" max="13" width="12.5" customWidth="1"/>
    <col min="14" max="14" width="19.375" customWidth="1"/>
    <col min="15" max="15" width="12.5" customWidth="1"/>
    <col min="16" max="16" width="16.125" customWidth="1"/>
    <col min="17" max="17" width="24.25" customWidth="1"/>
    <col min="18" max="18" width="14.125" customWidth="1"/>
    <col min="19" max="19" width="15.375" customWidth="1"/>
    <col min="20" max="20" width="12.5" customWidth="1"/>
    <col min="21" max="21" width="32.875" customWidth="1"/>
    <col min="22" max="22" width="39.375" customWidth="1"/>
    <col min="23" max="23" width="55.25" style="24" customWidth="1"/>
    <col min="24" max="24" width="17.5" customWidth="1"/>
    <col min="25" max="25" width="7" style="33" bestFit="1" customWidth="1"/>
    <col min="26" max="26" width="43.5" customWidth="1"/>
  </cols>
  <sheetData>
    <row r="1" spans="1:25" ht="21" x14ac:dyDescent="0.25">
      <c r="A1" s="1" t="s">
        <v>0</v>
      </c>
      <c r="B1" s="2" t="s">
        <v>1</v>
      </c>
      <c r="C1" s="2" t="s">
        <v>2</v>
      </c>
      <c r="D1" s="2" t="s">
        <v>3</v>
      </c>
      <c r="E1" s="3" t="s">
        <v>4</v>
      </c>
      <c r="F1" s="3" t="s">
        <v>5</v>
      </c>
      <c r="G1" s="3" t="s">
        <v>6</v>
      </c>
      <c r="H1" s="2" t="s">
        <v>7</v>
      </c>
      <c r="I1" s="2" t="s">
        <v>8</v>
      </c>
      <c r="J1" s="2" t="s">
        <v>9</v>
      </c>
      <c r="K1" s="2" t="s">
        <v>10</v>
      </c>
      <c r="L1" s="4" t="s">
        <v>11</v>
      </c>
      <c r="M1" s="2" t="s">
        <v>12</v>
      </c>
      <c r="N1" s="25" t="s">
        <v>13</v>
      </c>
      <c r="O1" s="25" t="s">
        <v>14</v>
      </c>
      <c r="P1" s="2" t="s">
        <v>15</v>
      </c>
      <c r="Q1" s="2" t="s">
        <v>16</v>
      </c>
      <c r="R1" s="2" t="s">
        <v>17</v>
      </c>
      <c r="S1" s="2" t="s">
        <v>18</v>
      </c>
      <c r="T1" s="2" t="s">
        <v>19</v>
      </c>
      <c r="U1" s="2" t="s">
        <v>20</v>
      </c>
      <c r="V1" s="2" t="s">
        <v>21</v>
      </c>
      <c r="W1" s="30" t="s">
        <v>22</v>
      </c>
      <c r="X1" s="5" t="s">
        <v>23</v>
      </c>
      <c r="Y1" s="34" t="s">
        <v>24</v>
      </c>
    </row>
    <row r="2" spans="1:25" ht="33" x14ac:dyDescent="0.25">
      <c r="A2" s="6">
        <v>1</v>
      </c>
      <c r="B2" s="7" t="s">
        <v>87</v>
      </c>
      <c r="C2" s="8" t="s">
        <v>25</v>
      </c>
      <c r="D2" s="13" t="s">
        <v>88</v>
      </c>
      <c r="E2" s="14" t="s">
        <v>89</v>
      </c>
      <c r="F2" s="14" t="s">
        <v>220</v>
      </c>
      <c r="G2" s="14" t="s">
        <v>90</v>
      </c>
      <c r="H2" s="15">
        <v>15000</v>
      </c>
      <c r="I2" s="8"/>
      <c r="J2" s="21">
        <f t="shared" ref="J2:J7" si="0">IF(I2="",ROUND(H2*0.05,0),ROUND(H2/1.05*0.05,0))</f>
        <v>750</v>
      </c>
      <c r="K2" s="21">
        <f t="shared" ref="K2:K7" si="1">IF(I2="",H2+J2,H2)</f>
        <v>15750</v>
      </c>
      <c r="L2" s="15"/>
      <c r="M2" s="13"/>
      <c r="N2" s="10"/>
      <c r="O2" s="15"/>
      <c r="P2" s="10" t="s">
        <v>91</v>
      </c>
      <c r="Q2" s="9" t="s">
        <v>94</v>
      </c>
      <c r="R2" s="9"/>
      <c r="S2" s="9" t="s">
        <v>95</v>
      </c>
      <c r="T2" s="23" t="s">
        <v>96</v>
      </c>
      <c r="U2" s="27"/>
      <c r="V2" s="28" t="s">
        <v>97</v>
      </c>
      <c r="W2" s="14" t="s">
        <v>377</v>
      </c>
      <c r="X2" s="16" t="s">
        <v>221</v>
      </c>
      <c r="Y2" s="32" t="s">
        <v>40</v>
      </c>
    </row>
    <row r="3" spans="1:25" x14ac:dyDescent="0.25">
      <c r="A3" s="6">
        <v>2</v>
      </c>
      <c r="B3" s="7" t="s">
        <v>430</v>
      </c>
      <c r="C3" s="8" t="s">
        <v>25</v>
      </c>
      <c r="D3" s="13" t="s">
        <v>431</v>
      </c>
      <c r="E3" s="14" t="s">
        <v>432</v>
      </c>
      <c r="F3" s="14" t="s">
        <v>433</v>
      </c>
      <c r="G3" s="14" t="s">
        <v>434</v>
      </c>
      <c r="H3" s="15">
        <v>12000</v>
      </c>
      <c r="I3" s="8"/>
      <c r="J3" s="21">
        <f t="shared" si="0"/>
        <v>600</v>
      </c>
      <c r="K3" s="21">
        <f t="shared" si="1"/>
        <v>12600</v>
      </c>
      <c r="L3" s="15"/>
      <c r="M3" s="13"/>
      <c r="N3" s="10"/>
      <c r="O3" s="15"/>
      <c r="P3" s="10" t="s">
        <v>435</v>
      </c>
      <c r="Q3" s="9" t="s">
        <v>436</v>
      </c>
      <c r="R3" s="9" t="s">
        <v>437</v>
      </c>
      <c r="S3" s="9"/>
      <c r="T3" s="23"/>
      <c r="U3" s="27"/>
      <c r="V3" s="28" t="s">
        <v>438</v>
      </c>
      <c r="W3" s="14"/>
      <c r="X3" s="16"/>
      <c r="Y3" s="32"/>
    </row>
    <row r="4" spans="1:25" x14ac:dyDescent="0.25">
      <c r="A4" s="6">
        <v>3</v>
      </c>
      <c r="B4" s="7" t="s">
        <v>450</v>
      </c>
      <c r="C4" s="8" t="s">
        <v>25</v>
      </c>
      <c r="D4" s="13" t="s">
        <v>452</v>
      </c>
      <c r="E4" s="14" t="s">
        <v>454</v>
      </c>
      <c r="F4" s="14" t="s">
        <v>455</v>
      </c>
      <c r="G4" s="14" t="s">
        <v>456</v>
      </c>
      <c r="H4" s="15">
        <v>12000</v>
      </c>
      <c r="I4" s="8"/>
      <c r="J4" s="21">
        <f t="shared" si="0"/>
        <v>600</v>
      </c>
      <c r="K4" s="21">
        <f t="shared" si="1"/>
        <v>12600</v>
      </c>
      <c r="L4" s="15"/>
      <c r="M4" s="13"/>
      <c r="N4" s="10"/>
      <c r="O4" s="15"/>
      <c r="P4" s="10" t="s">
        <v>454</v>
      </c>
      <c r="Q4" s="9"/>
      <c r="R4" s="9"/>
      <c r="S4" s="9"/>
      <c r="T4" s="23"/>
      <c r="U4" s="27"/>
      <c r="V4" s="28"/>
      <c r="W4" s="14"/>
      <c r="X4" s="16"/>
      <c r="Y4" s="32"/>
    </row>
    <row r="5" spans="1:25" x14ac:dyDescent="0.25">
      <c r="A5" s="6">
        <v>4</v>
      </c>
      <c r="B5" s="7" t="s">
        <v>451</v>
      </c>
      <c r="C5" s="8" t="s">
        <v>25</v>
      </c>
      <c r="D5" s="13" t="s">
        <v>453</v>
      </c>
      <c r="E5" s="14" t="s">
        <v>454</v>
      </c>
      <c r="F5" s="14" t="s">
        <v>455</v>
      </c>
      <c r="G5" s="14" t="s">
        <v>456</v>
      </c>
      <c r="H5" s="15">
        <v>15000</v>
      </c>
      <c r="I5" s="8"/>
      <c r="J5" s="21">
        <f t="shared" si="0"/>
        <v>750</v>
      </c>
      <c r="K5" s="21">
        <f t="shared" si="1"/>
        <v>15750</v>
      </c>
      <c r="L5" s="15"/>
      <c r="M5" s="13"/>
      <c r="N5" s="10"/>
      <c r="O5" s="15"/>
      <c r="P5" s="10" t="s">
        <v>454</v>
      </c>
      <c r="Q5" s="9"/>
      <c r="R5" s="9"/>
      <c r="S5" s="9"/>
      <c r="T5" s="23"/>
      <c r="U5" s="27"/>
      <c r="V5" s="28"/>
      <c r="W5" s="14"/>
      <c r="X5" s="16"/>
      <c r="Y5" s="32"/>
    </row>
    <row r="6" spans="1:25" x14ac:dyDescent="0.25">
      <c r="A6" s="6"/>
      <c r="B6" s="7" t="s">
        <v>610</v>
      </c>
      <c r="C6" s="8" t="s">
        <v>25</v>
      </c>
      <c r="D6" s="13" t="s">
        <v>605</v>
      </c>
      <c r="E6" s="14" t="s">
        <v>606</v>
      </c>
      <c r="F6" s="14" t="s">
        <v>607</v>
      </c>
      <c r="G6" s="14" t="s">
        <v>608</v>
      </c>
      <c r="H6" s="15">
        <v>39000</v>
      </c>
      <c r="I6" s="8"/>
      <c r="J6" s="21">
        <f t="shared" si="0"/>
        <v>1950</v>
      </c>
      <c r="K6" s="21">
        <f t="shared" si="1"/>
        <v>40950</v>
      </c>
      <c r="L6" s="15"/>
      <c r="M6" s="13"/>
      <c r="N6" s="10"/>
      <c r="O6" s="15"/>
      <c r="P6" s="10" t="s">
        <v>609</v>
      </c>
      <c r="Q6" s="9"/>
      <c r="R6" s="9"/>
      <c r="S6" s="9"/>
      <c r="T6" s="23"/>
      <c r="U6" s="27"/>
      <c r="V6" s="28"/>
      <c r="W6" s="14" t="s">
        <v>629</v>
      </c>
      <c r="X6" s="16" t="s">
        <v>628</v>
      </c>
      <c r="Y6" s="32"/>
    </row>
    <row r="7" spans="1:25" ht="33" x14ac:dyDescent="0.25">
      <c r="A7" s="6">
        <v>5</v>
      </c>
      <c r="B7" s="55" t="s">
        <v>439</v>
      </c>
      <c r="C7" s="8" t="s">
        <v>25</v>
      </c>
      <c r="D7" s="13" t="s">
        <v>431</v>
      </c>
      <c r="E7" s="58" t="s">
        <v>441</v>
      </c>
      <c r="F7" s="14" t="s">
        <v>442</v>
      </c>
      <c r="G7" s="14" t="s">
        <v>443</v>
      </c>
      <c r="H7" s="15">
        <v>13000</v>
      </c>
      <c r="I7" s="8"/>
      <c r="J7" s="21">
        <f t="shared" si="0"/>
        <v>650</v>
      </c>
      <c r="K7" s="21">
        <f t="shared" si="1"/>
        <v>13650</v>
      </c>
      <c r="L7" s="15"/>
      <c r="M7" s="13"/>
      <c r="N7" s="10"/>
      <c r="O7" s="15"/>
      <c r="P7" s="10" t="s">
        <v>444</v>
      </c>
      <c r="Q7" s="9" t="s">
        <v>445</v>
      </c>
      <c r="R7" s="9" t="s">
        <v>446</v>
      </c>
      <c r="S7" s="9" t="s">
        <v>447</v>
      </c>
      <c r="T7" s="23" t="s">
        <v>448</v>
      </c>
      <c r="U7" s="27"/>
      <c r="V7" s="28" t="s">
        <v>449</v>
      </c>
      <c r="W7" s="14"/>
      <c r="X7" s="16"/>
      <c r="Y7" s="32"/>
    </row>
    <row r="8" spans="1:25" x14ac:dyDescent="0.25">
      <c r="A8" s="6"/>
      <c r="B8" s="22"/>
      <c r="C8" s="13"/>
      <c r="D8" s="13"/>
      <c r="E8" s="14"/>
      <c r="F8" s="14"/>
      <c r="G8" s="14"/>
      <c r="H8" s="15"/>
      <c r="I8" s="8"/>
      <c r="J8" s="21">
        <f t="shared" ref="J8:J10" si="2">IF(I8="",ROUND(H8*0.05,0),ROUND(H8/1.05*0.05,0))</f>
        <v>0</v>
      </c>
      <c r="K8" s="21">
        <f t="shared" ref="K8:K10" si="3">IF(I8="",H8+J8,H8)</f>
        <v>0</v>
      </c>
      <c r="L8" s="15"/>
      <c r="M8" s="13"/>
      <c r="N8" s="10"/>
      <c r="O8" s="15"/>
      <c r="P8" s="10"/>
      <c r="Q8" s="9"/>
      <c r="R8" s="9"/>
      <c r="S8" s="9"/>
      <c r="T8" s="23"/>
      <c r="U8" s="27"/>
      <c r="V8" s="28"/>
      <c r="W8" s="14"/>
      <c r="X8" s="31"/>
      <c r="Y8" s="32"/>
    </row>
    <row r="9" spans="1:25" x14ac:dyDescent="0.25">
      <c r="A9" s="6">
        <v>1</v>
      </c>
      <c r="B9" s="66" t="s">
        <v>342</v>
      </c>
      <c r="C9" s="13" t="s">
        <v>40</v>
      </c>
      <c r="D9" s="13" t="s">
        <v>341</v>
      </c>
      <c r="E9" s="14" t="s">
        <v>343</v>
      </c>
      <c r="F9" s="14" t="s">
        <v>344</v>
      </c>
      <c r="G9" s="14" t="s">
        <v>345</v>
      </c>
      <c r="H9" s="15">
        <v>1400000</v>
      </c>
      <c r="I9" s="8"/>
      <c r="J9" s="21">
        <f t="shared" si="2"/>
        <v>70000</v>
      </c>
      <c r="K9" s="21">
        <f t="shared" si="3"/>
        <v>1470000</v>
      </c>
      <c r="L9" s="15"/>
      <c r="M9" s="13"/>
      <c r="N9" s="10"/>
      <c r="O9" s="15"/>
      <c r="P9" s="10"/>
      <c r="Q9" s="9"/>
      <c r="R9" s="9"/>
      <c r="S9" s="9"/>
      <c r="T9" s="23"/>
      <c r="U9" s="27"/>
      <c r="V9" s="28"/>
      <c r="W9" s="14"/>
      <c r="X9" s="31"/>
      <c r="Y9" s="33" t="s">
        <v>40</v>
      </c>
    </row>
    <row r="10" spans="1:25" x14ac:dyDescent="0.25">
      <c r="A10" s="13"/>
      <c r="B10" s="22"/>
      <c r="C10" s="13"/>
      <c r="D10" s="13"/>
      <c r="E10" s="14"/>
      <c r="F10" s="14"/>
      <c r="G10" s="14"/>
      <c r="H10" s="15"/>
      <c r="I10" s="8"/>
      <c r="J10" s="21">
        <f t="shared" si="2"/>
        <v>0</v>
      </c>
      <c r="K10" s="21">
        <f t="shared" si="3"/>
        <v>0</v>
      </c>
      <c r="L10" s="15"/>
      <c r="M10" s="13"/>
      <c r="N10" s="10"/>
      <c r="O10" s="15"/>
      <c r="P10" s="10"/>
      <c r="Q10" s="9"/>
      <c r="R10" s="9"/>
      <c r="S10" s="9"/>
      <c r="T10" s="23"/>
      <c r="U10" s="27"/>
      <c r="V10" s="28"/>
      <c r="W10" s="14"/>
      <c r="X10" s="16"/>
      <c r="Y10" s="32"/>
    </row>
  </sheetData>
  <autoFilter ref="A1:Y1"/>
  <phoneticPr fontId="3" type="noConversion"/>
  <pageMargins left="0.47244094488188981" right="0.47244094488188981" top="0.74803149606299213" bottom="0.74803149606299213" header="0.31496062992125984" footer="0.31496062992125984"/>
  <pageSetup paperSize="9" scale="3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2"/>
  <sheetViews>
    <sheetView zoomScale="91" zoomScaleNormal="91" workbookViewId="0">
      <pane xSplit="6" ySplit="1" topLeftCell="V2" activePane="bottomRight" state="frozen"/>
      <selection pane="topRight" activeCell="G1" sqref="G1"/>
      <selection pane="bottomLeft" activeCell="A2" sqref="A2"/>
      <selection pane="bottomRight" activeCell="X19" sqref="X19"/>
    </sheetView>
  </sheetViews>
  <sheetFormatPr defaultRowHeight="16.5" x14ac:dyDescent="0.25"/>
  <cols>
    <col min="1" max="1" width="6.75" bestFit="1" customWidth="1"/>
    <col min="2" max="2" width="15.375" bestFit="1" customWidth="1"/>
    <col min="3" max="4" width="12.5" bestFit="1" customWidth="1"/>
    <col min="5" max="5" width="29" style="24" customWidth="1"/>
    <col min="6" max="6" width="51.625" style="24" customWidth="1"/>
    <col min="7" max="7" width="38.25" style="24" customWidth="1"/>
    <col min="8" max="8" width="14" customWidth="1"/>
    <col min="9" max="9" width="9.625" customWidth="1"/>
    <col min="10" max="10" width="10.625" customWidth="1"/>
    <col min="11" max="11" width="12.625" customWidth="1"/>
    <col min="12" max="13" width="12.5" customWidth="1"/>
    <col min="14" max="14" width="19.375" customWidth="1"/>
    <col min="15" max="15" width="12.5" customWidth="1"/>
    <col min="16" max="16" width="16.125" customWidth="1"/>
    <col min="17" max="17" width="24.25" customWidth="1"/>
    <col min="18" max="18" width="14.125" customWidth="1"/>
    <col min="19" max="19" width="15.375" customWidth="1"/>
    <col min="20" max="20" width="12.5" customWidth="1"/>
    <col min="21" max="21" width="32.875" customWidth="1"/>
    <col min="22" max="22" width="39.375" customWidth="1"/>
    <col min="23" max="23" width="55.25" style="24" customWidth="1"/>
    <col min="24" max="24" width="17.5" customWidth="1"/>
    <col min="25" max="25" width="7" style="33" bestFit="1" customWidth="1"/>
    <col min="26" max="26" width="43.5" customWidth="1"/>
  </cols>
  <sheetData>
    <row r="1" spans="1:25" ht="21" x14ac:dyDescent="0.25">
      <c r="A1" s="1" t="s">
        <v>0</v>
      </c>
      <c r="B1" s="2" t="s">
        <v>1</v>
      </c>
      <c r="C1" s="2" t="s">
        <v>2</v>
      </c>
      <c r="D1" s="2" t="s">
        <v>3</v>
      </c>
      <c r="E1" s="3" t="s">
        <v>4</v>
      </c>
      <c r="F1" s="3" t="s">
        <v>5</v>
      </c>
      <c r="G1" s="3" t="s">
        <v>6</v>
      </c>
      <c r="H1" s="2" t="s">
        <v>7</v>
      </c>
      <c r="I1" s="2" t="s">
        <v>8</v>
      </c>
      <c r="J1" s="2" t="s">
        <v>9</v>
      </c>
      <c r="K1" s="2" t="s">
        <v>10</v>
      </c>
      <c r="L1" s="4" t="s">
        <v>11</v>
      </c>
      <c r="M1" s="2" t="s">
        <v>12</v>
      </c>
      <c r="N1" s="25" t="s">
        <v>13</v>
      </c>
      <c r="O1" s="25" t="s">
        <v>14</v>
      </c>
      <c r="P1" s="2" t="s">
        <v>15</v>
      </c>
      <c r="Q1" s="2" t="s">
        <v>16</v>
      </c>
      <c r="R1" s="2" t="s">
        <v>17</v>
      </c>
      <c r="S1" s="2" t="s">
        <v>18</v>
      </c>
      <c r="T1" s="2" t="s">
        <v>19</v>
      </c>
      <c r="U1" s="2" t="s">
        <v>20</v>
      </c>
      <c r="V1" s="2" t="s">
        <v>21</v>
      </c>
      <c r="W1" s="30" t="s">
        <v>22</v>
      </c>
      <c r="X1" s="5" t="s">
        <v>23</v>
      </c>
      <c r="Y1" s="34" t="s">
        <v>24</v>
      </c>
    </row>
    <row r="2" spans="1:25" s="12" customFormat="1" x14ac:dyDescent="0.25">
      <c r="A2" s="6">
        <v>1</v>
      </c>
      <c r="B2" s="7" t="s">
        <v>198</v>
      </c>
      <c r="C2" s="8" t="s">
        <v>40</v>
      </c>
      <c r="D2" s="6" t="s">
        <v>199</v>
      </c>
      <c r="E2" s="18" t="s">
        <v>207</v>
      </c>
      <c r="F2" s="18" t="s">
        <v>200</v>
      </c>
      <c r="G2" s="18" t="s">
        <v>201</v>
      </c>
      <c r="H2" s="19">
        <v>49000</v>
      </c>
      <c r="I2" s="20" t="s">
        <v>40</v>
      </c>
      <c r="J2" s="21">
        <f t="shared" ref="J2:J36" si="0">IF(I2="",ROUND(H2*0.05,0),ROUND(H2/1.05*0.05,0))</f>
        <v>2333</v>
      </c>
      <c r="K2" s="21">
        <f t="shared" ref="K2:K36" si="1">IF(I2="",H2+J2,H2)</f>
        <v>49000</v>
      </c>
      <c r="L2" s="21"/>
      <c r="M2" s="6"/>
      <c r="N2" s="26"/>
      <c r="O2" s="21"/>
      <c r="P2" s="17" t="s">
        <v>202</v>
      </c>
      <c r="Q2" s="9" t="s">
        <v>203</v>
      </c>
      <c r="R2" s="9"/>
      <c r="S2" s="9"/>
      <c r="T2" s="23" t="s">
        <v>204</v>
      </c>
      <c r="U2" s="27" t="s">
        <v>214</v>
      </c>
      <c r="V2" s="10" t="s">
        <v>216</v>
      </c>
      <c r="W2" s="14"/>
      <c r="X2" s="11"/>
      <c r="Y2" s="32" t="s">
        <v>295</v>
      </c>
    </row>
    <row r="3" spans="1:25" s="12" customFormat="1" x14ac:dyDescent="0.25">
      <c r="A3" s="57">
        <v>2</v>
      </c>
      <c r="B3" s="55" t="s">
        <v>233</v>
      </c>
      <c r="C3" s="56" t="s">
        <v>40</v>
      </c>
      <c r="D3" s="57" t="s">
        <v>234</v>
      </c>
      <c r="E3" s="58" t="s">
        <v>235</v>
      </c>
      <c r="F3" s="58" t="s">
        <v>237</v>
      </c>
      <c r="G3" s="58" t="s">
        <v>238</v>
      </c>
      <c r="H3" s="43">
        <v>40000</v>
      </c>
      <c r="I3" s="42" t="s">
        <v>40</v>
      </c>
      <c r="J3" s="43">
        <f t="shared" si="0"/>
        <v>1905</v>
      </c>
      <c r="K3" s="43">
        <f t="shared" si="1"/>
        <v>40000</v>
      </c>
      <c r="L3" s="59"/>
      <c r="M3" s="57"/>
      <c r="N3" s="60"/>
      <c r="O3" s="59"/>
      <c r="P3" s="61" t="s">
        <v>92</v>
      </c>
      <c r="Q3" s="62" t="s">
        <v>243</v>
      </c>
      <c r="R3" s="62"/>
      <c r="S3" s="62"/>
      <c r="T3" s="63" t="s">
        <v>244</v>
      </c>
      <c r="U3" s="64"/>
      <c r="V3" s="61" t="s">
        <v>245</v>
      </c>
      <c r="W3" s="58" t="s">
        <v>240</v>
      </c>
      <c r="X3" s="65" t="s">
        <v>241</v>
      </c>
      <c r="Y3" s="32" t="s">
        <v>40</v>
      </c>
    </row>
    <row r="4" spans="1:25" s="12" customFormat="1" ht="33" x14ac:dyDescent="0.25">
      <c r="A4" s="6">
        <v>3</v>
      </c>
      <c r="B4" s="7" t="s">
        <v>646</v>
      </c>
      <c r="C4" s="8" t="s">
        <v>40</v>
      </c>
      <c r="D4" s="6" t="s">
        <v>647</v>
      </c>
      <c r="E4" s="18" t="s">
        <v>648</v>
      </c>
      <c r="F4" s="18" t="s">
        <v>649</v>
      </c>
      <c r="G4" s="18" t="s">
        <v>650</v>
      </c>
      <c r="H4" s="19">
        <v>450000</v>
      </c>
      <c r="I4" s="71" t="s">
        <v>40</v>
      </c>
      <c r="J4" s="19">
        <f t="shared" si="0"/>
        <v>21429</v>
      </c>
      <c r="K4" s="19">
        <f t="shared" si="1"/>
        <v>450000</v>
      </c>
      <c r="L4" s="21"/>
      <c r="M4" s="6"/>
      <c r="N4" s="26"/>
      <c r="O4" s="21"/>
      <c r="P4" s="17" t="s">
        <v>652</v>
      </c>
      <c r="Q4" s="68" t="s">
        <v>653</v>
      </c>
      <c r="R4" s="68"/>
      <c r="S4" s="68" t="s">
        <v>654</v>
      </c>
      <c r="T4" s="69" t="s">
        <v>655</v>
      </c>
      <c r="U4" s="70"/>
      <c r="V4" s="17"/>
      <c r="W4" s="18"/>
      <c r="X4" s="11"/>
      <c r="Y4" s="32"/>
    </row>
    <row r="5" spans="1:25" s="12" customFormat="1" ht="33" x14ac:dyDescent="0.25">
      <c r="A5" s="6">
        <v>4</v>
      </c>
      <c r="B5" s="7" t="s">
        <v>57</v>
      </c>
      <c r="C5" s="8" t="s">
        <v>40</v>
      </c>
      <c r="D5" s="6" t="s">
        <v>58</v>
      </c>
      <c r="E5" s="18" t="s">
        <v>59</v>
      </c>
      <c r="F5" s="18" t="s">
        <v>60</v>
      </c>
      <c r="G5" s="18" t="s">
        <v>61</v>
      </c>
      <c r="H5" s="19">
        <v>95000</v>
      </c>
      <c r="I5" s="20"/>
      <c r="J5" s="21">
        <f t="shared" si="0"/>
        <v>4750</v>
      </c>
      <c r="K5" s="21">
        <f t="shared" si="1"/>
        <v>99750</v>
      </c>
      <c r="L5" s="21"/>
      <c r="M5" s="6"/>
      <c r="N5" s="26"/>
      <c r="O5" s="21"/>
      <c r="P5" s="17" t="s">
        <v>93</v>
      </c>
      <c r="Q5" s="9" t="s">
        <v>62</v>
      </c>
      <c r="R5" s="9"/>
      <c r="S5" s="9"/>
      <c r="T5" s="23" t="s">
        <v>63</v>
      </c>
      <c r="U5" s="27"/>
      <c r="V5" s="10"/>
      <c r="W5" s="14"/>
      <c r="X5" s="11"/>
      <c r="Y5" s="32" t="s">
        <v>294</v>
      </c>
    </row>
    <row r="6" spans="1:25" s="12" customFormat="1" x14ac:dyDescent="0.25">
      <c r="A6" s="6">
        <v>5</v>
      </c>
      <c r="B6" s="7" t="s">
        <v>26</v>
      </c>
      <c r="C6" s="8" t="s">
        <v>40</v>
      </c>
      <c r="D6" s="6" t="s">
        <v>27</v>
      </c>
      <c r="E6" s="18" t="s">
        <v>28</v>
      </c>
      <c r="F6" s="18" t="s">
        <v>29</v>
      </c>
      <c r="G6" s="18"/>
      <c r="H6" s="19">
        <v>35000</v>
      </c>
      <c r="I6" s="20"/>
      <c r="J6" s="21">
        <f t="shared" si="0"/>
        <v>1750</v>
      </c>
      <c r="K6" s="21">
        <f t="shared" si="1"/>
        <v>36750</v>
      </c>
      <c r="L6" s="21"/>
      <c r="M6" s="6"/>
      <c r="N6" s="26"/>
      <c r="O6" s="21"/>
      <c r="P6" s="17" t="s">
        <v>30</v>
      </c>
      <c r="Q6" s="9"/>
      <c r="R6" s="9" t="s">
        <v>31</v>
      </c>
      <c r="S6" s="9"/>
      <c r="T6" s="23" t="s">
        <v>32</v>
      </c>
      <c r="U6" s="27"/>
      <c r="V6" s="10" t="s">
        <v>33</v>
      </c>
      <c r="W6" s="14"/>
      <c r="X6" s="11" t="s">
        <v>232</v>
      </c>
      <c r="Y6" s="32" t="s">
        <v>296</v>
      </c>
    </row>
    <row r="7" spans="1:25" s="12" customFormat="1" ht="33" x14ac:dyDescent="0.25">
      <c r="A7" s="57">
        <v>6</v>
      </c>
      <c r="B7" s="44" t="s">
        <v>64</v>
      </c>
      <c r="C7" s="45" t="s">
        <v>40</v>
      </c>
      <c r="D7" s="46" t="s">
        <v>65</v>
      </c>
      <c r="E7" s="47" t="s">
        <v>235</v>
      </c>
      <c r="F7" s="47" t="s">
        <v>66</v>
      </c>
      <c r="G7" s="47" t="s">
        <v>67</v>
      </c>
      <c r="H7" s="43">
        <v>140000</v>
      </c>
      <c r="I7" s="42" t="s">
        <v>40</v>
      </c>
      <c r="J7" s="43">
        <f t="shared" si="0"/>
        <v>6667</v>
      </c>
      <c r="K7" s="43">
        <f t="shared" si="1"/>
        <v>140000</v>
      </c>
      <c r="L7" s="48"/>
      <c r="M7" s="46"/>
      <c r="N7" s="49"/>
      <c r="O7" s="48"/>
      <c r="P7" s="50" t="s">
        <v>92</v>
      </c>
      <c r="Q7" s="51" t="s">
        <v>68</v>
      </c>
      <c r="R7" s="51"/>
      <c r="S7" s="51"/>
      <c r="T7" s="52" t="s">
        <v>69</v>
      </c>
      <c r="U7" s="53"/>
      <c r="V7" s="50" t="s">
        <v>70</v>
      </c>
      <c r="W7" s="47" t="s">
        <v>239</v>
      </c>
      <c r="X7" s="54" t="s">
        <v>71</v>
      </c>
      <c r="Y7" s="32" t="s">
        <v>40</v>
      </c>
    </row>
    <row r="8" spans="1:25" x14ac:dyDescent="0.25">
      <c r="A8" s="6">
        <v>7</v>
      </c>
      <c r="B8" s="7" t="s">
        <v>282</v>
      </c>
      <c r="C8" s="8" t="s">
        <v>40</v>
      </c>
      <c r="D8" s="13" t="s">
        <v>42</v>
      </c>
      <c r="E8" s="14" t="s">
        <v>43</v>
      </c>
      <c r="F8" s="14" t="s">
        <v>44</v>
      </c>
      <c r="G8" s="14" t="s">
        <v>45</v>
      </c>
      <c r="H8" s="35">
        <v>17000</v>
      </c>
      <c r="I8" s="8"/>
      <c r="J8" s="21">
        <f t="shared" si="0"/>
        <v>850</v>
      </c>
      <c r="K8" s="21">
        <f t="shared" si="1"/>
        <v>17850</v>
      </c>
      <c r="L8" s="15"/>
      <c r="M8" s="13"/>
      <c r="N8" s="10"/>
      <c r="O8" s="15"/>
      <c r="P8" s="10" t="s">
        <v>43</v>
      </c>
      <c r="Q8" s="9" t="s">
        <v>293</v>
      </c>
      <c r="R8" s="9"/>
      <c r="S8" s="9"/>
      <c r="T8" s="23"/>
      <c r="U8" s="27"/>
      <c r="V8" s="28" t="s">
        <v>46</v>
      </c>
      <c r="W8" s="14"/>
      <c r="X8" s="16"/>
      <c r="Y8" s="32" t="s">
        <v>294</v>
      </c>
    </row>
    <row r="9" spans="1:25" x14ac:dyDescent="0.25">
      <c r="A9" s="6">
        <v>8</v>
      </c>
      <c r="B9" s="7" t="s">
        <v>72</v>
      </c>
      <c r="C9" s="8" t="s">
        <v>40</v>
      </c>
      <c r="D9" s="13" t="s">
        <v>73</v>
      </c>
      <c r="E9" s="14" t="s">
        <v>74</v>
      </c>
      <c r="F9" s="14" t="s">
        <v>75</v>
      </c>
      <c r="G9" s="14" t="s">
        <v>76</v>
      </c>
      <c r="H9" s="15">
        <v>45000</v>
      </c>
      <c r="I9" s="8"/>
      <c r="J9" s="21">
        <f t="shared" si="0"/>
        <v>2250</v>
      </c>
      <c r="K9" s="21">
        <f t="shared" si="1"/>
        <v>47250</v>
      </c>
      <c r="L9" s="15"/>
      <c r="M9" s="13"/>
      <c r="N9" s="10"/>
      <c r="O9" s="15"/>
      <c r="P9" s="10"/>
      <c r="Q9" s="9"/>
      <c r="R9" s="9"/>
      <c r="S9" s="9"/>
      <c r="T9" s="23"/>
      <c r="U9" s="27"/>
      <c r="V9" s="28"/>
      <c r="W9" s="14"/>
      <c r="X9" s="16"/>
      <c r="Y9" s="32" t="s">
        <v>294</v>
      </c>
    </row>
    <row r="10" spans="1:25" ht="33" x14ac:dyDescent="0.25">
      <c r="A10" s="6">
        <v>9</v>
      </c>
      <c r="B10" s="7" t="s">
        <v>285</v>
      </c>
      <c r="C10" s="8" t="s">
        <v>40</v>
      </c>
      <c r="D10" s="13" t="s">
        <v>283</v>
      </c>
      <c r="E10" s="14" t="s">
        <v>43</v>
      </c>
      <c r="F10" s="14" t="s">
        <v>284</v>
      </c>
      <c r="G10" s="14" t="s">
        <v>292</v>
      </c>
      <c r="H10" s="15">
        <v>17000</v>
      </c>
      <c r="I10" s="8"/>
      <c r="J10" s="21">
        <f t="shared" si="0"/>
        <v>850</v>
      </c>
      <c r="K10" s="21">
        <f t="shared" si="1"/>
        <v>17850</v>
      </c>
      <c r="L10" s="15"/>
      <c r="M10" s="13"/>
      <c r="N10" s="10"/>
      <c r="O10" s="15"/>
      <c r="P10" s="10" t="s">
        <v>43</v>
      </c>
      <c r="Q10" s="9" t="s">
        <v>293</v>
      </c>
      <c r="R10" s="9"/>
      <c r="S10" s="9"/>
      <c r="T10" s="23"/>
      <c r="U10" s="27"/>
      <c r="V10" s="28"/>
      <c r="W10" s="14"/>
      <c r="X10" s="16"/>
      <c r="Y10" s="32" t="s">
        <v>40</v>
      </c>
    </row>
    <row r="11" spans="1:25" s="12" customFormat="1" x14ac:dyDescent="0.25">
      <c r="A11" s="6">
        <v>10</v>
      </c>
      <c r="B11" s="7" t="s">
        <v>77</v>
      </c>
      <c r="C11" s="8" t="s">
        <v>40</v>
      </c>
      <c r="D11" s="6" t="s">
        <v>78</v>
      </c>
      <c r="E11" s="18" t="s">
        <v>79</v>
      </c>
      <c r="F11" s="18" t="s">
        <v>80</v>
      </c>
      <c r="G11" s="18" t="s">
        <v>81</v>
      </c>
      <c r="H11" s="19">
        <v>35000</v>
      </c>
      <c r="I11" s="20"/>
      <c r="J11" s="21">
        <f t="shared" si="0"/>
        <v>1750</v>
      </c>
      <c r="K11" s="21">
        <f t="shared" si="1"/>
        <v>36750</v>
      </c>
      <c r="L11" s="21"/>
      <c r="M11" s="6"/>
      <c r="N11" s="26"/>
      <c r="O11" s="21"/>
      <c r="P11" s="17" t="s">
        <v>82</v>
      </c>
      <c r="Q11" s="9" t="s">
        <v>83</v>
      </c>
      <c r="R11" s="9"/>
      <c r="S11" s="9" t="s">
        <v>84</v>
      </c>
      <c r="T11" s="23" t="s">
        <v>85</v>
      </c>
      <c r="U11" s="27"/>
      <c r="V11" s="10" t="s">
        <v>86</v>
      </c>
      <c r="W11" s="14"/>
      <c r="X11" s="11"/>
      <c r="Y11" s="32" t="s">
        <v>294</v>
      </c>
    </row>
    <row r="12" spans="1:25" s="12" customFormat="1" ht="33" x14ac:dyDescent="0.25">
      <c r="A12" s="6">
        <v>11</v>
      </c>
      <c r="B12" s="7" t="s">
        <v>246</v>
      </c>
      <c r="C12" s="8" t="s">
        <v>40</v>
      </c>
      <c r="D12" s="6" t="s">
        <v>247</v>
      </c>
      <c r="E12" s="18"/>
      <c r="F12" s="18" t="s">
        <v>75</v>
      </c>
      <c r="G12" s="18" t="s">
        <v>249</v>
      </c>
      <c r="H12" s="19">
        <v>40000</v>
      </c>
      <c r="I12" s="20"/>
      <c r="J12" s="21">
        <f t="shared" si="0"/>
        <v>2000</v>
      </c>
      <c r="K12" s="21">
        <f t="shared" si="1"/>
        <v>42000</v>
      </c>
      <c r="L12" s="21"/>
      <c r="M12" s="6"/>
      <c r="N12" s="26"/>
      <c r="O12" s="21"/>
      <c r="P12" s="17" t="s">
        <v>250</v>
      </c>
      <c r="Q12" s="9"/>
      <c r="R12" s="9"/>
      <c r="S12" s="9"/>
      <c r="T12" s="23"/>
      <c r="U12" s="27"/>
      <c r="V12" s="10"/>
      <c r="W12" s="14" t="s">
        <v>380</v>
      </c>
      <c r="X12" s="11" t="s">
        <v>785</v>
      </c>
      <c r="Y12" s="32" t="s">
        <v>40</v>
      </c>
    </row>
    <row r="13" spans="1:25" s="12" customFormat="1" x14ac:dyDescent="0.25">
      <c r="A13" s="6"/>
      <c r="B13" s="22" t="s">
        <v>772</v>
      </c>
      <c r="C13" s="8" t="s">
        <v>40</v>
      </c>
      <c r="D13" s="6" t="s">
        <v>773</v>
      </c>
      <c r="E13" s="18" t="s">
        <v>774</v>
      </c>
      <c r="F13" s="18" t="s">
        <v>775</v>
      </c>
      <c r="G13" s="18" t="s">
        <v>776</v>
      </c>
      <c r="H13" s="19">
        <v>434000</v>
      </c>
      <c r="I13" s="20" t="s">
        <v>777</v>
      </c>
      <c r="J13" s="21">
        <f t="shared" si="0"/>
        <v>20667</v>
      </c>
      <c r="K13" s="21">
        <f t="shared" si="1"/>
        <v>434000</v>
      </c>
      <c r="L13" s="21"/>
      <c r="M13" s="6"/>
      <c r="N13" s="26"/>
      <c r="O13" s="21"/>
      <c r="P13" s="17" t="s">
        <v>778</v>
      </c>
      <c r="Q13" s="9" t="s">
        <v>779</v>
      </c>
      <c r="R13" s="9"/>
      <c r="S13" s="9" t="s">
        <v>780</v>
      </c>
      <c r="T13" s="23" t="s">
        <v>781</v>
      </c>
      <c r="U13" s="27" t="s">
        <v>782</v>
      </c>
      <c r="V13" s="10" t="s">
        <v>783</v>
      </c>
      <c r="W13" s="14"/>
      <c r="X13" s="11" t="s">
        <v>784</v>
      </c>
      <c r="Y13" s="32"/>
    </row>
    <row r="14" spans="1:25" s="12" customFormat="1" x14ac:dyDescent="0.25">
      <c r="A14" s="6">
        <v>12</v>
      </c>
      <c r="B14" s="22" t="s">
        <v>176</v>
      </c>
      <c r="C14" s="8" t="s">
        <v>40</v>
      </c>
      <c r="D14" s="6" t="s">
        <v>178</v>
      </c>
      <c r="E14" s="18" t="s">
        <v>218</v>
      </c>
      <c r="F14" s="18" t="s">
        <v>180</v>
      </c>
      <c r="G14" s="18" t="s">
        <v>181</v>
      </c>
      <c r="H14" s="19">
        <v>93000</v>
      </c>
      <c r="I14" s="20"/>
      <c r="J14" s="21">
        <f t="shared" si="0"/>
        <v>4650</v>
      </c>
      <c r="K14" s="21">
        <f t="shared" si="1"/>
        <v>97650</v>
      </c>
      <c r="L14" s="21"/>
      <c r="M14" s="6"/>
      <c r="N14" s="26"/>
      <c r="O14" s="21"/>
      <c r="P14" s="17" t="s">
        <v>182</v>
      </c>
      <c r="Q14" s="9" t="s">
        <v>183</v>
      </c>
      <c r="R14" s="9" t="s">
        <v>184</v>
      </c>
      <c r="S14" s="9" t="s">
        <v>185</v>
      </c>
      <c r="T14" s="23" t="s">
        <v>186</v>
      </c>
      <c r="U14" s="27"/>
      <c r="V14" s="10" t="s">
        <v>187</v>
      </c>
      <c r="W14" s="14" t="s">
        <v>251</v>
      </c>
      <c r="X14" s="11" t="s">
        <v>786</v>
      </c>
      <c r="Y14" s="32" t="s">
        <v>294</v>
      </c>
    </row>
    <row r="15" spans="1:25" x14ac:dyDescent="0.25">
      <c r="A15" s="6">
        <v>13</v>
      </c>
      <c r="B15" s="22" t="s">
        <v>170</v>
      </c>
      <c r="C15" s="8" t="s">
        <v>40</v>
      </c>
      <c r="D15" s="13" t="s">
        <v>171</v>
      </c>
      <c r="E15" s="14" t="s">
        <v>43</v>
      </c>
      <c r="F15" s="14" t="s">
        <v>219</v>
      </c>
      <c r="G15" s="14" t="s">
        <v>291</v>
      </c>
      <c r="H15" s="15">
        <v>17000</v>
      </c>
      <c r="I15" s="8"/>
      <c r="J15" s="21">
        <f t="shared" si="0"/>
        <v>850</v>
      </c>
      <c r="K15" s="21">
        <f t="shared" si="1"/>
        <v>17850</v>
      </c>
      <c r="L15" s="15"/>
      <c r="M15" s="13"/>
      <c r="N15" s="10"/>
      <c r="O15" s="15"/>
      <c r="P15" s="10" t="s">
        <v>43</v>
      </c>
      <c r="Q15" s="9" t="s">
        <v>174</v>
      </c>
      <c r="R15" s="9"/>
      <c r="S15" s="9"/>
      <c r="T15" s="23" t="s">
        <v>175</v>
      </c>
      <c r="U15" s="27"/>
      <c r="V15" s="28" t="s">
        <v>46</v>
      </c>
      <c r="W15" s="14"/>
      <c r="X15" s="16"/>
      <c r="Y15" s="32" t="s">
        <v>294</v>
      </c>
    </row>
    <row r="16" spans="1:25" ht="33" x14ac:dyDescent="0.25">
      <c r="A16" s="6">
        <v>14</v>
      </c>
      <c r="B16" s="22" t="s">
        <v>177</v>
      </c>
      <c r="C16" s="8" t="s">
        <v>40</v>
      </c>
      <c r="D16" s="13" t="s">
        <v>179</v>
      </c>
      <c r="E16" s="14" t="s">
        <v>189</v>
      </c>
      <c r="F16" s="14" t="s">
        <v>190</v>
      </c>
      <c r="G16" s="14" t="s">
        <v>191</v>
      </c>
      <c r="H16" s="15">
        <v>15000</v>
      </c>
      <c r="I16" s="8"/>
      <c r="J16" s="21">
        <f t="shared" si="0"/>
        <v>750</v>
      </c>
      <c r="K16" s="21">
        <f t="shared" si="1"/>
        <v>15750</v>
      </c>
      <c r="L16" s="15"/>
      <c r="M16" s="13"/>
      <c r="N16" s="10"/>
      <c r="O16" s="15"/>
      <c r="P16" s="10" t="s">
        <v>192</v>
      </c>
      <c r="Q16" s="9" t="s">
        <v>193</v>
      </c>
      <c r="R16" s="9" t="s">
        <v>195</v>
      </c>
      <c r="S16" s="9" t="s">
        <v>194</v>
      </c>
      <c r="T16" s="23" t="s">
        <v>196</v>
      </c>
      <c r="U16" s="27" t="s">
        <v>197</v>
      </c>
      <c r="V16" s="28" t="s">
        <v>188</v>
      </c>
      <c r="W16" s="14"/>
      <c r="X16" s="16" t="s">
        <v>241</v>
      </c>
      <c r="Y16" s="32" t="s">
        <v>294</v>
      </c>
    </row>
    <row r="17" spans="1:25" x14ac:dyDescent="0.25">
      <c r="A17" s="6">
        <v>15</v>
      </c>
      <c r="B17" s="22" t="s">
        <v>205</v>
      </c>
      <c r="C17" s="8" t="s">
        <v>40</v>
      </c>
      <c r="D17" s="13" t="s">
        <v>206</v>
      </c>
      <c r="E17" s="14" t="s">
        <v>208</v>
      </c>
      <c r="F17" s="14" t="s">
        <v>209</v>
      </c>
      <c r="G17" s="14" t="s">
        <v>210</v>
      </c>
      <c r="H17" s="15">
        <v>14000</v>
      </c>
      <c r="I17" s="8" t="s">
        <v>25</v>
      </c>
      <c r="J17" s="21">
        <f t="shared" si="0"/>
        <v>667</v>
      </c>
      <c r="K17" s="21">
        <f t="shared" si="1"/>
        <v>14000</v>
      </c>
      <c r="L17" s="15"/>
      <c r="M17" s="13"/>
      <c r="N17" s="10"/>
      <c r="O17" s="15"/>
      <c r="P17" s="10" t="s">
        <v>211</v>
      </c>
      <c r="Q17" s="9" t="s">
        <v>203</v>
      </c>
      <c r="R17" s="9"/>
      <c r="S17" s="9"/>
      <c r="T17" s="23" t="s">
        <v>213</v>
      </c>
      <c r="U17" s="27" t="s">
        <v>214</v>
      </c>
      <c r="V17" s="28" t="s">
        <v>217</v>
      </c>
      <c r="W17" s="14"/>
      <c r="X17" s="16"/>
      <c r="Y17" s="32" t="s">
        <v>40</v>
      </c>
    </row>
    <row r="18" spans="1:25" x14ac:dyDescent="0.25">
      <c r="A18" s="57">
        <v>16</v>
      </c>
      <c r="B18" s="55" t="s">
        <v>222</v>
      </c>
      <c r="C18" s="56" t="s">
        <v>40</v>
      </c>
      <c r="D18" s="57" t="s">
        <v>223</v>
      </c>
      <c r="E18" s="58" t="s">
        <v>218</v>
      </c>
      <c r="F18" s="58" t="s">
        <v>225</v>
      </c>
      <c r="G18" s="58" t="s">
        <v>226</v>
      </c>
      <c r="H18" s="43">
        <v>120000</v>
      </c>
      <c r="I18" s="42" t="s">
        <v>25</v>
      </c>
      <c r="J18" s="43">
        <f t="shared" si="0"/>
        <v>5714</v>
      </c>
      <c r="K18" s="43">
        <f t="shared" si="1"/>
        <v>120000</v>
      </c>
      <c r="L18" s="59"/>
      <c r="M18" s="57"/>
      <c r="N18" s="61"/>
      <c r="O18" s="59"/>
      <c r="P18" s="61" t="s">
        <v>227</v>
      </c>
      <c r="Q18" s="62" t="s">
        <v>183</v>
      </c>
      <c r="R18" s="62" t="s">
        <v>184</v>
      </c>
      <c r="S18" s="62" t="s">
        <v>230</v>
      </c>
      <c r="T18" s="63" t="s">
        <v>231</v>
      </c>
      <c r="U18" s="64"/>
      <c r="V18" s="61" t="s">
        <v>187</v>
      </c>
      <c r="W18" s="58" t="s">
        <v>252</v>
      </c>
      <c r="X18" s="65" t="s">
        <v>815</v>
      </c>
      <c r="Y18" s="32" t="s">
        <v>294</v>
      </c>
    </row>
    <row r="19" spans="1:25" x14ac:dyDescent="0.25">
      <c r="A19" s="57">
        <v>17</v>
      </c>
      <c r="B19" s="55" t="s">
        <v>253</v>
      </c>
      <c r="C19" s="56" t="s">
        <v>254</v>
      </c>
      <c r="D19" s="57" t="s">
        <v>255</v>
      </c>
      <c r="E19" s="58" t="s">
        <v>258</v>
      </c>
      <c r="F19" s="58" t="s">
        <v>259</v>
      </c>
      <c r="G19" s="58" t="s">
        <v>269</v>
      </c>
      <c r="H19" s="43">
        <v>30000</v>
      </c>
      <c r="I19" s="42" t="s">
        <v>263</v>
      </c>
      <c r="J19" s="43">
        <f t="shared" si="0"/>
        <v>1429</v>
      </c>
      <c r="K19" s="43">
        <f t="shared" si="1"/>
        <v>30000</v>
      </c>
      <c r="L19" s="59"/>
      <c r="M19" s="57"/>
      <c r="N19" s="61"/>
      <c r="O19" s="59"/>
      <c r="P19" s="61" t="s">
        <v>266</v>
      </c>
      <c r="Q19" s="62" t="s">
        <v>267</v>
      </c>
      <c r="R19" s="62"/>
      <c r="S19" s="62"/>
      <c r="T19" s="63" t="s">
        <v>274</v>
      </c>
      <c r="U19" s="64" t="s">
        <v>268</v>
      </c>
      <c r="V19" s="60" t="s">
        <v>265</v>
      </c>
      <c r="W19" s="58" t="s">
        <v>264</v>
      </c>
      <c r="X19" s="65"/>
      <c r="Y19" s="32" t="s">
        <v>40</v>
      </c>
    </row>
    <row r="20" spans="1:25" x14ac:dyDescent="0.25">
      <c r="A20" s="6">
        <v>18</v>
      </c>
      <c r="B20" s="7" t="s">
        <v>256</v>
      </c>
      <c r="C20" s="8" t="s">
        <v>254</v>
      </c>
      <c r="D20" s="13" t="s">
        <v>257</v>
      </c>
      <c r="E20" s="14" t="s">
        <v>260</v>
      </c>
      <c r="F20" s="14" t="s">
        <v>261</v>
      </c>
      <c r="G20" s="14" t="s">
        <v>262</v>
      </c>
      <c r="H20" s="15">
        <v>114600</v>
      </c>
      <c r="I20" s="8"/>
      <c r="J20" s="19">
        <f t="shared" si="0"/>
        <v>5730</v>
      </c>
      <c r="K20" s="19">
        <f t="shared" si="1"/>
        <v>120330</v>
      </c>
      <c r="L20" s="15"/>
      <c r="M20" s="13"/>
      <c r="N20" s="10"/>
      <c r="O20" s="15"/>
      <c r="P20" s="10" t="s">
        <v>270</v>
      </c>
      <c r="Q20" s="9" t="s">
        <v>271</v>
      </c>
      <c r="R20" s="9"/>
      <c r="S20" s="9" t="s">
        <v>272</v>
      </c>
      <c r="T20" s="23" t="s">
        <v>273</v>
      </c>
      <c r="U20" s="27"/>
      <c r="V20" s="28" t="s">
        <v>275</v>
      </c>
      <c r="W20" s="14"/>
      <c r="X20" s="16" t="s">
        <v>812</v>
      </c>
      <c r="Y20" s="32" t="s">
        <v>40</v>
      </c>
    </row>
    <row r="21" spans="1:25" x14ac:dyDescent="0.25">
      <c r="A21" s="6">
        <v>19</v>
      </c>
      <c r="B21" s="7" t="s">
        <v>366</v>
      </c>
      <c r="C21" s="8" t="s">
        <v>254</v>
      </c>
      <c r="D21" s="13" t="s">
        <v>367</v>
      </c>
      <c r="E21" s="14" t="s">
        <v>368</v>
      </c>
      <c r="F21" s="14" t="s">
        <v>369</v>
      </c>
      <c r="G21" s="14" t="s">
        <v>370</v>
      </c>
      <c r="H21" s="15">
        <v>60000</v>
      </c>
      <c r="I21" s="8" t="s">
        <v>25</v>
      </c>
      <c r="J21" s="19">
        <f t="shared" si="0"/>
        <v>2857</v>
      </c>
      <c r="K21" s="19">
        <f t="shared" si="1"/>
        <v>60000</v>
      </c>
      <c r="L21" s="15"/>
      <c r="M21" s="13"/>
      <c r="N21" s="10"/>
      <c r="O21" s="15"/>
      <c r="P21" s="10"/>
      <c r="Q21" s="9"/>
      <c r="R21" s="9"/>
      <c r="S21" s="9"/>
      <c r="T21" s="23"/>
      <c r="U21" s="27"/>
      <c r="V21" s="28"/>
      <c r="W21" s="14"/>
      <c r="X21" s="16"/>
      <c r="Y21" s="32" t="s">
        <v>40</v>
      </c>
    </row>
    <row r="22" spans="1:25" ht="33" x14ac:dyDescent="0.25">
      <c r="A22" s="6">
        <v>20</v>
      </c>
      <c r="B22" s="7" t="s">
        <v>357</v>
      </c>
      <c r="C22" s="8" t="s">
        <v>254</v>
      </c>
      <c r="D22" s="13" t="s">
        <v>358</v>
      </c>
      <c r="E22" s="14" t="s">
        <v>359</v>
      </c>
      <c r="F22" s="14" t="s">
        <v>360</v>
      </c>
      <c r="G22" s="14" t="s">
        <v>361</v>
      </c>
      <c r="H22" s="15">
        <v>60000</v>
      </c>
      <c r="I22" s="8" t="s">
        <v>25</v>
      </c>
      <c r="J22" s="19">
        <f t="shared" si="0"/>
        <v>2857</v>
      </c>
      <c r="K22" s="19">
        <f t="shared" si="1"/>
        <v>60000</v>
      </c>
      <c r="L22" s="15"/>
      <c r="M22" s="13"/>
      <c r="N22" s="10"/>
      <c r="O22" s="15"/>
      <c r="P22" s="10" t="s">
        <v>92</v>
      </c>
      <c r="Q22" s="9" t="s">
        <v>362</v>
      </c>
      <c r="R22" s="9" t="s">
        <v>363</v>
      </c>
      <c r="S22" s="9"/>
      <c r="T22" s="23" t="s">
        <v>364</v>
      </c>
      <c r="U22" s="27"/>
      <c r="V22" s="28" t="s">
        <v>365</v>
      </c>
      <c r="W22" s="14"/>
      <c r="X22" s="16"/>
      <c r="Y22" s="32" t="s">
        <v>40</v>
      </c>
    </row>
    <row r="23" spans="1:25" ht="33" x14ac:dyDescent="0.25">
      <c r="A23" s="6">
        <v>21</v>
      </c>
      <c r="B23" s="7" t="s">
        <v>346</v>
      </c>
      <c r="C23" s="8" t="s">
        <v>254</v>
      </c>
      <c r="D23" s="13" t="s">
        <v>347</v>
      </c>
      <c r="E23" s="14" t="s">
        <v>348</v>
      </c>
      <c r="F23" s="14" t="s">
        <v>349</v>
      </c>
      <c r="G23" s="14" t="s">
        <v>350</v>
      </c>
      <c r="H23" s="15">
        <v>10000</v>
      </c>
      <c r="I23" s="8" t="s">
        <v>25</v>
      </c>
      <c r="J23" s="19">
        <f t="shared" si="0"/>
        <v>476</v>
      </c>
      <c r="K23" s="19">
        <f t="shared" si="1"/>
        <v>10000</v>
      </c>
      <c r="L23" s="15"/>
      <c r="M23" s="13"/>
      <c r="N23" s="10"/>
      <c r="O23" s="15"/>
      <c r="P23" s="10" t="s">
        <v>351</v>
      </c>
      <c r="Q23" s="9" t="s">
        <v>352</v>
      </c>
      <c r="R23" s="9" t="s">
        <v>353</v>
      </c>
      <c r="S23" s="9" t="s">
        <v>354</v>
      </c>
      <c r="T23" s="23"/>
      <c r="U23" s="27"/>
      <c r="V23" s="28" t="s">
        <v>355</v>
      </c>
      <c r="W23" s="14"/>
      <c r="X23" s="16" t="s">
        <v>356</v>
      </c>
      <c r="Y23" s="32" t="s">
        <v>40</v>
      </c>
    </row>
    <row r="24" spans="1:25" x14ac:dyDescent="0.25">
      <c r="A24" s="6">
        <v>22</v>
      </c>
      <c r="B24" s="7" t="s">
        <v>497</v>
      </c>
      <c r="C24" s="8" t="s">
        <v>40</v>
      </c>
      <c r="D24" s="13" t="s">
        <v>498</v>
      </c>
      <c r="E24" s="14" t="s">
        <v>499</v>
      </c>
      <c r="F24" s="14" t="s">
        <v>500</v>
      </c>
      <c r="G24" s="14"/>
      <c r="H24" s="15">
        <v>100000</v>
      </c>
      <c r="I24" s="8"/>
      <c r="J24" s="19">
        <f t="shared" si="0"/>
        <v>5000</v>
      </c>
      <c r="K24" s="19">
        <f t="shared" si="1"/>
        <v>105000</v>
      </c>
      <c r="L24" s="15"/>
      <c r="M24" s="13"/>
      <c r="N24" s="10"/>
      <c r="O24" s="15"/>
      <c r="P24" s="10"/>
      <c r="Q24" s="9" t="s">
        <v>501</v>
      </c>
      <c r="R24" s="9"/>
      <c r="S24" s="9"/>
      <c r="T24" s="23"/>
      <c r="U24" s="27"/>
      <c r="V24" s="28"/>
      <c r="W24" s="14" t="s">
        <v>524</v>
      </c>
      <c r="X24" s="16" t="s">
        <v>525</v>
      </c>
      <c r="Y24" s="32"/>
    </row>
    <row r="25" spans="1:25" x14ac:dyDescent="0.25">
      <c r="A25" s="6"/>
      <c r="B25" s="7" t="s">
        <v>787</v>
      </c>
      <c r="C25" s="8" t="s">
        <v>40</v>
      </c>
      <c r="D25" s="13" t="s">
        <v>788</v>
      </c>
      <c r="E25" s="14" t="s">
        <v>789</v>
      </c>
      <c r="F25" s="14" t="s">
        <v>790</v>
      </c>
      <c r="G25" s="14" t="s">
        <v>791</v>
      </c>
      <c r="H25" s="15">
        <v>40000</v>
      </c>
      <c r="I25" s="8"/>
      <c r="J25" s="19">
        <f t="shared" si="0"/>
        <v>2000</v>
      </c>
      <c r="K25" s="19">
        <f t="shared" si="1"/>
        <v>42000</v>
      </c>
      <c r="L25" s="15"/>
      <c r="M25" s="13"/>
      <c r="N25" s="10"/>
      <c r="O25" s="15"/>
      <c r="P25" s="10" t="s">
        <v>792</v>
      </c>
      <c r="Q25" s="9" t="s">
        <v>793</v>
      </c>
      <c r="R25" s="9" t="s">
        <v>794</v>
      </c>
      <c r="S25" s="9"/>
      <c r="T25" s="23" t="s">
        <v>795</v>
      </c>
      <c r="U25" s="27"/>
      <c r="V25" s="28"/>
      <c r="W25" s="14"/>
      <c r="X25" s="16" t="s">
        <v>796</v>
      </c>
      <c r="Y25" s="32"/>
    </row>
    <row r="26" spans="1:25" x14ac:dyDescent="0.25">
      <c r="A26" s="6">
        <v>23</v>
      </c>
      <c r="B26" s="7" t="s">
        <v>286</v>
      </c>
      <c r="C26" s="8" t="s">
        <v>40</v>
      </c>
      <c r="D26" s="13" t="s">
        <v>287</v>
      </c>
      <c r="E26" s="14" t="s">
        <v>43</v>
      </c>
      <c r="F26" s="14" t="s">
        <v>289</v>
      </c>
      <c r="G26" s="14" t="s">
        <v>290</v>
      </c>
      <c r="H26" s="15">
        <v>17000</v>
      </c>
      <c r="I26" s="8"/>
      <c r="J26" s="19">
        <f t="shared" si="0"/>
        <v>850</v>
      </c>
      <c r="K26" s="19">
        <f t="shared" si="1"/>
        <v>17850</v>
      </c>
      <c r="L26" s="15"/>
      <c r="M26" s="13"/>
      <c r="N26" s="10"/>
      <c r="O26" s="15"/>
      <c r="P26" s="10" t="s">
        <v>288</v>
      </c>
      <c r="Q26" s="9" t="s">
        <v>293</v>
      </c>
      <c r="R26" s="9"/>
      <c r="S26" s="9"/>
      <c r="T26" s="23" t="s">
        <v>421</v>
      </c>
      <c r="U26" s="27"/>
      <c r="V26" s="28"/>
      <c r="W26" s="14"/>
      <c r="X26" s="16"/>
      <c r="Y26" s="32" t="s">
        <v>40</v>
      </c>
    </row>
    <row r="27" spans="1:25" x14ac:dyDescent="0.25">
      <c r="A27" s="6">
        <v>24</v>
      </c>
      <c r="B27" s="7" t="s">
        <v>302</v>
      </c>
      <c r="C27" s="8" t="s">
        <v>40</v>
      </c>
      <c r="D27" s="13" t="s">
        <v>303</v>
      </c>
      <c r="E27" s="14" t="s">
        <v>28</v>
      </c>
      <c r="F27" s="14" t="s">
        <v>305</v>
      </c>
      <c r="G27" s="14"/>
      <c r="H27" s="15">
        <v>20000</v>
      </c>
      <c r="I27" s="8"/>
      <c r="J27" s="19">
        <f t="shared" si="0"/>
        <v>1000</v>
      </c>
      <c r="K27" s="19">
        <f t="shared" si="1"/>
        <v>21000</v>
      </c>
      <c r="L27" s="15"/>
      <c r="M27" s="13"/>
      <c r="N27" s="10"/>
      <c r="O27" s="15"/>
      <c r="P27" s="10" t="s">
        <v>30</v>
      </c>
      <c r="Q27" s="9"/>
      <c r="R27" s="9" t="s">
        <v>306</v>
      </c>
      <c r="S27" s="9"/>
      <c r="T27" s="23" t="s">
        <v>32</v>
      </c>
      <c r="U27" s="27"/>
      <c r="V27" s="28" t="s">
        <v>308</v>
      </c>
      <c r="W27" s="14"/>
      <c r="X27" s="16" t="s">
        <v>522</v>
      </c>
      <c r="Y27" s="32" t="s">
        <v>40</v>
      </c>
    </row>
    <row r="28" spans="1:25" x14ac:dyDescent="0.25">
      <c r="A28" s="6">
        <v>25</v>
      </c>
      <c r="B28" s="7" t="s">
        <v>771</v>
      </c>
      <c r="C28" s="8" t="s">
        <v>40</v>
      </c>
      <c r="D28" s="13" t="s">
        <v>418</v>
      </c>
      <c r="E28" s="14" t="s">
        <v>43</v>
      </c>
      <c r="F28" s="14" t="s">
        <v>420</v>
      </c>
      <c r="G28" s="14" t="s">
        <v>419</v>
      </c>
      <c r="H28" s="15">
        <v>17000</v>
      </c>
      <c r="I28" s="8"/>
      <c r="J28" s="19">
        <f t="shared" si="0"/>
        <v>850</v>
      </c>
      <c r="K28" s="19">
        <f t="shared" si="1"/>
        <v>17850</v>
      </c>
      <c r="L28" s="15"/>
      <c r="M28" s="13"/>
      <c r="N28" s="10"/>
      <c r="O28" s="15"/>
      <c r="P28" s="10" t="s">
        <v>43</v>
      </c>
      <c r="Q28" s="9" t="s">
        <v>174</v>
      </c>
      <c r="R28" s="9"/>
      <c r="S28" s="9"/>
      <c r="T28" s="23" t="s">
        <v>421</v>
      </c>
      <c r="U28" s="27"/>
      <c r="V28" s="28"/>
      <c r="W28" s="14"/>
      <c r="X28" s="16"/>
      <c r="Y28" s="32"/>
    </row>
    <row r="29" spans="1:25" x14ac:dyDescent="0.25">
      <c r="A29" s="57"/>
      <c r="B29" s="55" t="s">
        <v>797</v>
      </c>
      <c r="C29" s="56" t="s">
        <v>40</v>
      </c>
      <c r="D29" s="57" t="s">
        <v>798</v>
      </c>
      <c r="E29" s="58" t="s">
        <v>799</v>
      </c>
      <c r="F29" s="58" t="s">
        <v>800</v>
      </c>
      <c r="G29" s="58" t="s">
        <v>801</v>
      </c>
      <c r="H29" s="59">
        <v>323200</v>
      </c>
      <c r="I29" s="56" t="s">
        <v>744</v>
      </c>
      <c r="J29" s="48">
        <f t="shared" si="0"/>
        <v>15390</v>
      </c>
      <c r="K29" s="48">
        <f t="shared" si="1"/>
        <v>323200</v>
      </c>
      <c r="L29" s="59"/>
      <c r="M29" s="57"/>
      <c r="N29" s="61"/>
      <c r="O29" s="59"/>
      <c r="P29" s="61"/>
      <c r="Q29" s="62"/>
      <c r="R29" s="62"/>
      <c r="S29" s="62"/>
      <c r="T29" s="63"/>
      <c r="U29" s="64"/>
      <c r="V29" s="60"/>
      <c r="W29" s="58" t="s">
        <v>802</v>
      </c>
      <c r="X29" s="65" t="s">
        <v>784</v>
      </c>
      <c r="Y29" s="32"/>
    </row>
    <row r="30" spans="1:25" ht="63" customHeight="1" x14ac:dyDescent="0.25">
      <c r="A30" s="6"/>
      <c r="B30" s="7" t="s">
        <v>741</v>
      </c>
      <c r="C30" s="8" t="s">
        <v>40</v>
      </c>
      <c r="D30" s="13"/>
      <c r="E30" s="14" t="s">
        <v>742</v>
      </c>
      <c r="F30" s="14" t="s">
        <v>743</v>
      </c>
      <c r="G30" s="14" t="s">
        <v>810</v>
      </c>
      <c r="H30" s="15">
        <v>2300000</v>
      </c>
      <c r="I30" s="8" t="s">
        <v>744</v>
      </c>
      <c r="J30" s="19">
        <f t="shared" si="0"/>
        <v>109524</v>
      </c>
      <c r="K30" s="19">
        <f t="shared" si="1"/>
        <v>2300000</v>
      </c>
      <c r="L30" s="15"/>
      <c r="M30" s="13"/>
      <c r="N30" s="10"/>
      <c r="O30" s="15"/>
      <c r="P30" s="10"/>
      <c r="Q30" s="9" t="s">
        <v>745</v>
      </c>
      <c r="R30" s="9"/>
      <c r="S30" s="9"/>
      <c r="T30" s="23"/>
      <c r="U30" s="27"/>
      <c r="V30" s="28"/>
      <c r="W30" s="14"/>
      <c r="X30" s="16"/>
      <c r="Y30" s="32"/>
    </row>
    <row r="31" spans="1:25" x14ac:dyDescent="0.25">
      <c r="A31" s="6">
        <v>26</v>
      </c>
      <c r="B31" s="7" t="s">
        <v>724</v>
      </c>
      <c r="C31" s="8" t="s">
        <v>40</v>
      </c>
      <c r="D31" s="13" t="s">
        <v>725</v>
      </c>
      <c r="E31" s="14" t="s">
        <v>726</v>
      </c>
      <c r="F31" s="14" t="s">
        <v>727</v>
      </c>
      <c r="G31" s="14" t="s">
        <v>728</v>
      </c>
      <c r="H31" s="15">
        <v>120000</v>
      </c>
      <c r="I31" s="8"/>
      <c r="J31" s="19">
        <f t="shared" si="0"/>
        <v>6000</v>
      </c>
      <c r="K31" s="19">
        <f t="shared" si="1"/>
        <v>126000</v>
      </c>
      <c r="L31" s="15"/>
      <c r="M31" s="13"/>
      <c r="N31" s="10"/>
      <c r="O31" s="15"/>
      <c r="P31" s="10" t="s">
        <v>729</v>
      </c>
      <c r="Q31" s="9" t="s">
        <v>730</v>
      </c>
      <c r="R31" s="9"/>
      <c r="S31" s="9"/>
      <c r="T31" s="23"/>
      <c r="U31" s="27"/>
      <c r="V31" s="28" t="s">
        <v>731</v>
      </c>
      <c r="W31" s="14"/>
      <c r="X31" s="16" t="s">
        <v>732</v>
      </c>
      <c r="Y31" s="32"/>
    </row>
    <row r="32" spans="1:25" x14ac:dyDescent="0.25">
      <c r="A32" s="6"/>
      <c r="B32" s="7" t="s">
        <v>803</v>
      </c>
      <c r="C32" s="8" t="s">
        <v>40</v>
      </c>
      <c r="D32" s="13" t="s">
        <v>804</v>
      </c>
      <c r="E32" s="14" t="s">
        <v>79</v>
      </c>
      <c r="F32" s="14" t="s">
        <v>805</v>
      </c>
      <c r="G32" s="14" t="s">
        <v>806</v>
      </c>
      <c r="H32" s="15">
        <v>50000</v>
      </c>
      <c r="I32" s="8"/>
      <c r="J32" s="19">
        <f t="shared" si="0"/>
        <v>2500</v>
      </c>
      <c r="K32" s="19">
        <f t="shared" si="1"/>
        <v>52500</v>
      </c>
      <c r="L32" s="15"/>
      <c r="M32" s="13"/>
      <c r="N32" s="10"/>
      <c r="O32" s="15"/>
      <c r="P32" s="10" t="s">
        <v>807</v>
      </c>
      <c r="Q32" s="9" t="s">
        <v>808</v>
      </c>
      <c r="R32" s="9"/>
      <c r="S32" s="9" t="s">
        <v>809</v>
      </c>
      <c r="T32" s="23"/>
      <c r="U32" s="27"/>
      <c r="V32" s="28"/>
      <c r="W32" s="14"/>
      <c r="X32" s="16"/>
      <c r="Y32" s="32"/>
    </row>
    <row r="33" spans="1:25" ht="31.5" customHeight="1" x14ac:dyDescent="0.25">
      <c r="A33" s="6">
        <v>27</v>
      </c>
      <c r="B33" s="22" t="s">
        <v>623</v>
      </c>
      <c r="C33" s="8" t="s">
        <v>40</v>
      </c>
      <c r="D33" s="13" t="s">
        <v>611</v>
      </c>
      <c r="E33" s="14" t="s">
        <v>612</v>
      </c>
      <c r="F33" s="14" t="s">
        <v>613</v>
      </c>
      <c r="G33" s="14" t="s">
        <v>614</v>
      </c>
      <c r="H33" s="15">
        <v>15000</v>
      </c>
      <c r="I33" s="8"/>
      <c r="J33" s="19">
        <f t="shared" si="0"/>
        <v>750</v>
      </c>
      <c r="K33" s="19">
        <f t="shared" si="1"/>
        <v>15750</v>
      </c>
      <c r="L33" s="15"/>
      <c r="M33" s="13"/>
      <c r="N33" s="10"/>
      <c r="O33" s="15"/>
      <c r="P33" s="10" t="s">
        <v>624</v>
      </c>
      <c r="Q33" s="9"/>
      <c r="R33" s="9" t="s">
        <v>625</v>
      </c>
      <c r="S33" s="9"/>
      <c r="T33" s="23"/>
      <c r="U33" s="27"/>
      <c r="V33" s="28"/>
      <c r="W33" s="14"/>
      <c r="X33" s="16"/>
      <c r="Y33" s="32"/>
    </row>
    <row r="34" spans="1:25" ht="31.5" customHeight="1" x14ac:dyDescent="0.25">
      <c r="A34" s="6"/>
      <c r="B34" s="22" t="s">
        <v>733</v>
      </c>
      <c r="C34" s="8" t="s">
        <v>40</v>
      </c>
      <c r="D34" s="13" t="s">
        <v>734</v>
      </c>
      <c r="E34" s="14" t="s">
        <v>735</v>
      </c>
      <c r="F34" s="73" t="s">
        <v>736</v>
      </c>
      <c r="G34" s="14" t="s">
        <v>737</v>
      </c>
      <c r="H34" s="15">
        <v>15000</v>
      </c>
      <c r="I34" s="8"/>
      <c r="J34" s="19">
        <f t="shared" si="0"/>
        <v>750</v>
      </c>
      <c r="K34" s="19">
        <f t="shared" si="1"/>
        <v>15750</v>
      </c>
      <c r="L34" s="15"/>
      <c r="M34" s="13"/>
      <c r="N34" s="10"/>
      <c r="O34" s="15"/>
      <c r="P34" s="10" t="s">
        <v>738</v>
      </c>
      <c r="Q34" s="9" t="s">
        <v>739</v>
      </c>
      <c r="R34" s="9"/>
      <c r="S34" s="9"/>
      <c r="T34" s="23"/>
      <c r="U34" s="27"/>
      <c r="V34" s="28" t="s">
        <v>740</v>
      </c>
      <c r="W34" s="14"/>
      <c r="X34" s="16"/>
      <c r="Y34" s="32"/>
    </row>
    <row r="35" spans="1:25" ht="31.5" customHeight="1" x14ac:dyDescent="0.25">
      <c r="A35" s="6">
        <v>28</v>
      </c>
      <c r="B35" s="22" t="s">
        <v>667</v>
      </c>
      <c r="C35" s="8" t="s">
        <v>40</v>
      </c>
      <c r="D35" s="13" t="s">
        <v>668</v>
      </c>
      <c r="E35" s="14" t="s">
        <v>28</v>
      </c>
      <c r="F35" s="14" t="s">
        <v>29</v>
      </c>
      <c r="G35" s="14"/>
      <c r="H35" s="15">
        <v>35000</v>
      </c>
      <c r="I35" s="8"/>
      <c r="J35" s="19">
        <f t="shared" si="0"/>
        <v>1750</v>
      </c>
      <c r="K35" s="19">
        <f t="shared" si="1"/>
        <v>36750</v>
      </c>
      <c r="L35" s="15"/>
      <c r="M35" s="13"/>
      <c r="N35" s="10"/>
      <c r="O35" s="15"/>
      <c r="P35" s="10" t="s">
        <v>30</v>
      </c>
      <c r="Q35" s="9"/>
      <c r="R35" s="9" t="s">
        <v>669</v>
      </c>
      <c r="S35" s="9"/>
      <c r="T35" s="23" t="s">
        <v>32</v>
      </c>
      <c r="U35" s="27"/>
      <c r="V35" s="28" t="s">
        <v>308</v>
      </c>
      <c r="W35" s="14"/>
      <c r="X35" s="16" t="s">
        <v>668</v>
      </c>
      <c r="Y35" s="32"/>
    </row>
    <row r="36" spans="1:25" ht="33" x14ac:dyDescent="0.25">
      <c r="A36" s="6">
        <v>29</v>
      </c>
      <c r="B36" s="22" t="s">
        <v>656</v>
      </c>
      <c r="C36" s="8" t="s">
        <v>40</v>
      </c>
      <c r="D36" s="13" t="s">
        <v>657</v>
      </c>
      <c r="E36" s="14" t="s">
        <v>658</v>
      </c>
      <c r="F36" s="14" t="s">
        <v>659</v>
      </c>
      <c r="G36" s="14" t="s">
        <v>660</v>
      </c>
      <c r="H36" s="15">
        <v>15000</v>
      </c>
      <c r="I36" s="8"/>
      <c r="J36" s="21">
        <f t="shared" si="0"/>
        <v>750</v>
      </c>
      <c r="K36" s="21">
        <f t="shared" si="1"/>
        <v>15750</v>
      </c>
      <c r="L36" s="15"/>
      <c r="M36" s="13"/>
      <c r="N36" s="10"/>
      <c r="O36" s="15"/>
      <c r="P36" s="10" t="s">
        <v>661</v>
      </c>
      <c r="Q36" s="9" t="s">
        <v>662</v>
      </c>
      <c r="R36" s="9" t="s">
        <v>663</v>
      </c>
      <c r="S36" s="9" t="s">
        <v>664</v>
      </c>
      <c r="T36" s="23" t="s">
        <v>665</v>
      </c>
      <c r="U36" s="27"/>
      <c r="V36" s="28"/>
      <c r="W36" s="14"/>
      <c r="X36" s="16"/>
      <c r="Y36" s="32"/>
    </row>
    <row r="37" spans="1:25" x14ac:dyDescent="0.25">
      <c r="A37" s="6">
        <v>30</v>
      </c>
      <c r="B37" s="22"/>
      <c r="C37" s="8"/>
      <c r="D37" s="13"/>
      <c r="E37" s="14"/>
      <c r="F37" s="14"/>
      <c r="G37" s="14"/>
      <c r="H37" s="15"/>
      <c r="I37" s="8"/>
      <c r="J37" s="21"/>
      <c r="K37" s="21"/>
      <c r="L37" s="15"/>
      <c r="M37" s="13"/>
      <c r="N37" s="10"/>
      <c r="O37" s="15"/>
      <c r="P37" s="10"/>
      <c r="Q37" s="9"/>
      <c r="R37" s="9"/>
      <c r="S37" s="9"/>
      <c r="T37" s="23"/>
      <c r="U37" s="27"/>
      <c r="V37" s="28"/>
      <c r="W37" s="14"/>
      <c r="X37" s="16"/>
      <c r="Y37" s="32"/>
    </row>
    <row r="38" spans="1:25" x14ac:dyDescent="0.25">
      <c r="A38" s="6">
        <v>31</v>
      </c>
      <c r="B38" s="22"/>
      <c r="C38" s="8"/>
      <c r="D38" s="13"/>
      <c r="E38" s="14"/>
      <c r="F38" s="14"/>
      <c r="G38" s="14"/>
      <c r="H38" s="15"/>
      <c r="I38" s="8"/>
      <c r="J38" s="21"/>
      <c r="K38" s="21"/>
      <c r="L38" s="15"/>
      <c r="M38" s="13"/>
      <c r="N38" s="10"/>
      <c r="O38" s="15"/>
      <c r="P38" s="10"/>
      <c r="Q38" s="9"/>
      <c r="R38" s="9"/>
      <c r="S38" s="9"/>
      <c r="T38" s="23"/>
      <c r="U38" s="27"/>
      <c r="V38" s="28"/>
      <c r="W38" s="14"/>
      <c r="X38" s="16"/>
      <c r="Y38" s="32"/>
    </row>
    <row r="39" spans="1:25" x14ac:dyDescent="0.25">
      <c r="A39" s="6">
        <v>32</v>
      </c>
      <c r="B39" s="22"/>
      <c r="C39" s="8"/>
      <c r="D39" s="13"/>
      <c r="E39" s="14"/>
      <c r="F39" s="14"/>
      <c r="G39" s="14"/>
      <c r="H39" s="15"/>
      <c r="I39" s="8"/>
      <c r="J39" s="21"/>
      <c r="K39" s="21"/>
      <c r="L39" s="15"/>
      <c r="M39" s="13"/>
      <c r="N39" s="10"/>
      <c r="O39" s="15"/>
      <c r="P39" s="10"/>
      <c r="Q39" s="9"/>
      <c r="R39" s="9"/>
      <c r="S39" s="9"/>
      <c r="T39" s="23"/>
      <c r="U39" s="27"/>
      <c r="V39" s="28"/>
      <c r="W39" s="14"/>
      <c r="X39" s="16"/>
      <c r="Y39" s="32"/>
    </row>
    <row r="40" spans="1:25" x14ac:dyDescent="0.25">
      <c r="A40" s="6">
        <v>33</v>
      </c>
      <c r="B40" s="22"/>
      <c r="C40" s="8"/>
      <c r="D40" s="13"/>
      <c r="E40" s="14"/>
      <c r="F40" s="14"/>
      <c r="G40" s="14"/>
      <c r="H40" s="15"/>
      <c r="I40" s="8"/>
      <c r="J40" s="21"/>
      <c r="K40" s="21"/>
      <c r="L40" s="15"/>
      <c r="M40" s="13"/>
      <c r="N40" s="10"/>
      <c r="O40" s="15"/>
      <c r="P40" s="10"/>
      <c r="Q40" s="9"/>
      <c r="R40" s="9"/>
      <c r="S40" s="9"/>
      <c r="T40" s="23"/>
      <c r="U40" s="27"/>
      <c r="V40" s="28"/>
      <c r="W40" s="14"/>
      <c r="X40" s="16"/>
      <c r="Y40" s="32"/>
    </row>
    <row r="41" spans="1:25" x14ac:dyDescent="0.25">
      <c r="A41" s="6"/>
      <c r="B41" s="22"/>
      <c r="C41" s="8"/>
      <c r="D41" s="13"/>
      <c r="E41" s="14"/>
      <c r="F41" s="14"/>
      <c r="G41" s="14"/>
      <c r="H41" s="15"/>
      <c r="I41" s="8"/>
      <c r="J41" s="21"/>
      <c r="K41" s="21"/>
      <c r="L41" s="15"/>
      <c r="M41" s="13"/>
      <c r="N41" s="10"/>
      <c r="O41" s="15"/>
      <c r="P41" s="10"/>
      <c r="Q41" s="9"/>
      <c r="R41" s="9"/>
      <c r="S41" s="9"/>
      <c r="T41" s="23"/>
      <c r="U41" s="27"/>
      <c r="V41" s="28"/>
      <c r="W41" s="14"/>
      <c r="X41" s="16"/>
      <c r="Y41" s="32"/>
    </row>
    <row r="42" spans="1:25" x14ac:dyDescent="0.25">
      <c r="K42" s="74">
        <f>SUBTOTAL(9,K2:K41)</f>
        <v>5046180</v>
      </c>
    </row>
  </sheetData>
  <autoFilter ref="A1:Y40"/>
  <phoneticPr fontId="3" type="noConversion"/>
  <hyperlinks>
    <hyperlink ref="U16" r:id="rId1"/>
    <hyperlink ref="U2" r:id="rId2"/>
    <hyperlink ref="U17" r:id="rId3"/>
    <hyperlink ref="U19" r:id="rId4"/>
    <hyperlink ref="U13" r:id="rId5"/>
  </hyperlinks>
  <pageMargins left="0.47244094488188981" right="0.47244094488188981" top="0.74803149606299213" bottom="0.74803149606299213" header="0.31496062992125984" footer="0.31496062992125984"/>
  <pageSetup paperSize="9" scale="39" orientation="landscape"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57"/>
  <sheetViews>
    <sheetView zoomScale="91" zoomScaleNormal="91" workbookViewId="0">
      <pane xSplit="6" ySplit="1" topLeftCell="G2" activePane="bottomRight" state="frozen"/>
      <selection pane="topRight" activeCell="G1" sqref="G1"/>
      <selection pane="bottomLeft" activeCell="A2" sqref="A2"/>
      <selection pane="bottomRight" activeCell="E68" sqref="E68"/>
    </sheetView>
  </sheetViews>
  <sheetFormatPr defaultRowHeight="16.5" x14ac:dyDescent="0.25"/>
  <cols>
    <col min="1" max="1" width="6.75" bestFit="1" customWidth="1"/>
    <col min="2" max="2" width="15.375" bestFit="1" customWidth="1"/>
    <col min="3" max="4" width="12.5" bestFit="1" customWidth="1"/>
    <col min="5" max="5" width="29" style="24" customWidth="1"/>
    <col min="6" max="6" width="51.625" style="24" customWidth="1"/>
    <col min="7" max="7" width="38.25" style="24" customWidth="1"/>
    <col min="8" max="8" width="14" customWidth="1"/>
    <col min="9" max="9" width="9.625" customWidth="1"/>
    <col min="10" max="10" width="10.625" customWidth="1"/>
    <col min="11" max="11" width="12.625" customWidth="1"/>
    <col min="12" max="13" width="12.5" customWidth="1"/>
    <col min="14" max="14" width="19.375" customWidth="1"/>
    <col min="15" max="15" width="12.5" customWidth="1"/>
    <col min="16" max="16" width="16.125" customWidth="1"/>
    <col min="17" max="17" width="24.25" customWidth="1"/>
    <col min="18" max="18" width="14.125" customWidth="1"/>
    <col min="19" max="19" width="15.375" customWidth="1"/>
    <col min="20" max="20" width="12.5" customWidth="1"/>
    <col min="21" max="21" width="32.875" customWidth="1"/>
    <col min="22" max="22" width="39.375" customWidth="1"/>
    <col min="23" max="23" width="55.25" style="24" customWidth="1"/>
    <col min="24" max="24" width="17.5" customWidth="1"/>
    <col min="25" max="25" width="7" style="33" bestFit="1" customWidth="1"/>
    <col min="26" max="26" width="43.5" customWidth="1"/>
  </cols>
  <sheetData>
    <row r="1" spans="1:25" ht="21" x14ac:dyDescent="0.25">
      <c r="A1" s="1" t="s">
        <v>0</v>
      </c>
      <c r="B1" s="2" t="s">
        <v>1</v>
      </c>
      <c r="C1" s="2" t="s">
        <v>2</v>
      </c>
      <c r="D1" s="2" t="s">
        <v>3</v>
      </c>
      <c r="E1" s="3" t="s">
        <v>4</v>
      </c>
      <c r="F1" s="3" t="s">
        <v>5</v>
      </c>
      <c r="G1" s="3" t="s">
        <v>6</v>
      </c>
      <c r="H1" s="2" t="s">
        <v>7</v>
      </c>
      <c r="I1" s="2" t="s">
        <v>8</v>
      </c>
      <c r="J1" s="2" t="s">
        <v>9</v>
      </c>
      <c r="K1" s="2" t="s">
        <v>10</v>
      </c>
      <c r="L1" s="4" t="s">
        <v>11</v>
      </c>
      <c r="M1" s="2" t="s">
        <v>12</v>
      </c>
      <c r="N1" s="25" t="s">
        <v>13</v>
      </c>
      <c r="O1" s="25" t="s">
        <v>14</v>
      </c>
      <c r="P1" s="2" t="s">
        <v>15</v>
      </c>
      <c r="Q1" s="2" t="s">
        <v>16</v>
      </c>
      <c r="R1" s="2" t="s">
        <v>17</v>
      </c>
      <c r="S1" s="2" t="s">
        <v>18</v>
      </c>
      <c r="T1" s="2" t="s">
        <v>19</v>
      </c>
      <c r="U1" s="2" t="s">
        <v>20</v>
      </c>
      <c r="V1" s="2" t="s">
        <v>21</v>
      </c>
      <c r="W1" s="30" t="s">
        <v>22</v>
      </c>
      <c r="X1" s="5" t="s">
        <v>23</v>
      </c>
      <c r="Y1" s="34" t="s">
        <v>24</v>
      </c>
    </row>
    <row r="2" spans="1:25" x14ac:dyDescent="0.25">
      <c r="A2" s="6">
        <v>1</v>
      </c>
      <c r="B2" s="22" t="s">
        <v>98</v>
      </c>
      <c r="C2" s="13" t="s">
        <v>40</v>
      </c>
      <c r="D2" s="13" t="s">
        <v>99</v>
      </c>
      <c r="E2" s="14" t="s">
        <v>100</v>
      </c>
      <c r="F2" s="14" t="s">
        <v>101</v>
      </c>
      <c r="G2" s="14" t="s">
        <v>102</v>
      </c>
      <c r="H2" s="15">
        <v>18000</v>
      </c>
      <c r="I2" s="8" t="s">
        <v>25</v>
      </c>
      <c r="J2" s="21">
        <f t="shared" ref="J2:J20" si="0">IF(I2="",ROUND(H2*0.05,0),ROUND(H2/1.05*0.05,0))</f>
        <v>857</v>
      </c>
      <c r="K2" s="21">
        <f t="shared" ref="K2:K20" si="1">IF(I2="",H2+J2,H2)</f>
        <v>18000</v>
      </c>
      <c r="L2" s="15"/>
      <c r="M2" s="13"/>
      <c r="N2" s="13"/>
      <c r="O2" s="15"/>
      <c r="P2" s="10" t="s">
        <v>103</v>
      </c>
      <c r="Q2" s="9"/>
      <c r="R2" s="9" t="s">
        <v>104</v>
      </c>
      <c r="S2" s="9"/>
      <c r="T2" s="23"/>
      <c r="U2" s="29"/>
      <c r="V2" s="28"/>
      <c r="W2" s="14"/>
      <c r="X2" s="16" t="s">
        <v>105</v>
      </c>
      <c r="Y2" s="32" t="s">
        <v>40</v>
      </c>
    </row>
    <row r="3" spans="1:25" x14ac:dyDescent="0.25">
      <c r="A3" s="6">
        <v>2</v>
      </c>
      <c r="B3" s="22" t="s">
        <v>47</v>
      </c>
      <c r="C3" s="13" t="s">
        <v>40</v>
      </c>
      <c r="D3" s="13" t="s">
        <v>48</v>
      </c>
      <c r="E3" s="14" t="s">
        <v>49</v>
      </c>
      <c r="F3" s="14" t="s">
        <v>50</v>
      </c>
      <c r="G3" s="14" t="s">
        <v>51</v>
      </c>
      <c r="H3" s="15">
        <v>252940</v>
      </c>
      <c r="I3" s="8"/>
      <c r="J3" s="21">
        <f t="shared" si="0"/>
        <v>12647</v>
      </c>
      <c r="K3" s="21">
        <f t="shared" si="1"/>
        <v>265587</v>
      </c>
      <c r="L3" s="15"/>
      <c r="M3" s="13"/>
      <c r="N3" s="13"/>
      <c r="O3" s="15"/>
      <c r="P3" s="10" t="s">
        <v>52</v>
      </c>
      <c r="Q3" s="9"/>
      <c r="R3" s="9" t="s">
        <v>53</v>
      </c>
      <c r="S3" s="9"/>
      <c r="T3" s="23" t="s">
        <v>54</v>
      </c>
      <c r="U3" s="27"/>
      <c r="V3" s="28" t="s">
        <v>55</v>
      </c>
      <c r="W3" s="14"/>
      <c r="X3" s="16" t="s">
        <v>56</v>
      </c>
      <c r="Y3" s="32" t="s">
        <v>40</v>
      </c>
    </row>
    <row r="4" spans="1:25" x14ac:dyDescent="0.25">
      <c r="A4" s="6">
        <v>3</v>
      </c>
      <c r="B4" s="22" t="s">
        <v>106</v>
      </c>
      <c r="C4" s="13" t="s">
        <v>40</v>
      </c>
      <c r="D4" s="13" t="s">
        <v>107</v>
      </c>
      <c r="E4" s="14" t="s">
        <v>108</v>
      </c>
      <c r="F4" s="14" t="s">
        <v>109</v>
      </c>
      <c r="G4" s="14" t="s">
        <v>110</v>
      </c>
      <c r="H4" s="15">
        <v>1905</v>
      </c>
      <c r="I4" s="8"/>
      <c r="J4" s="21">
        <f t="shared" si="0"/>
        <v>95</v>
      </c>
      <c r="K4" s="21">
        <f t="shared" si="1"/>
        <v>2000</v>
      </c>
      <c r="L4" s="15"/>
      <c r="M4" s="13"/>
      <c r="N4" s="13"/>
      <c r="O4" s="15"/>
      <c r="P4" s="10" t="s">
        <v>111</v>
      </c>
      <c r="Q4" s="9" t="s">
        <v>112</v>
      </c>
      <c r="R4" s="9"/>
      <c r="S4" s="9" t="s">
        <v>113</v>
      </c>
      <c r="T4" s="23"/>
      <c r="U4" s="27"/>
      <c r="V4" s="28" t="s">
        <v>114</v>
      </c>
      <c r="W4" s="14" t="s">
        <v>523</v>
      </c>
      <c r="X4" s="16" t="s">
        <v>115</v>
      </c>
      <c r="Y4" s="33" t="s">
        <v>40</v>
      </c>
    </row>
    <row r="5" spans="1:25" x14ac:dyDescent="0.25">
      <c r="A5" s="6">
        <v>4</v>
      </c>
      <c r="B5" s="22" t="s">
        <v>116</v>
      </c>
      <c r="C5" s="13" t="s">
        <v>40</v>
      </c>
      <c r="D5" s="13" t="s">
        <v>118</v>
      </c>
      <c r="E5" s="14" t="s">
        <v>125</v>
      </c>
      <c r="F5" s="14" t="s">
        <v>50</v>
      </c>
      <c r="G5" s="14" t="s">
        <v>127</v>
      </c>
      <c r="H5" s="15">
        <v>13500</v>
      </c>
      <c r="I5" s="8"/>
      <c r="J5" s="21">
        <f t="shared" si="0"/>
        <v>675</v>
      </c>
      <c r="K5" s="21">
        <f t="shared" si="1"/>
        <v>14175</v>
      </c>
      <c r="L5" s="15"/>
      <c r="M5" s="13"/>
      <c r="N5" s="13"/>
      <c r="O5" s="15"/>
      <c r="P5" s="10" t="s">
        <v>128</v>
      </c>
      <c r="Q5" s="9"/>
      <c r="R5" s="9" t="s">
        <v>129</v>
      </c>
      <c r="S5" s="9"/>
      <c r="T5" s="23" t="s">
        <v>130</v>
      </c>
      <c r="U5" s="27"/>
      <c r="V5" s="28" t="s">
        <v>131</v>
      </c>
      <c r="W5" s="14"/>
      <c r="X5" s="16" t="s">
        <v>132</v>
      </c>
      <c r="Y5" s="33" t="s">
        <v>40</v>
      </c>
    </row>
    <row r="6" spans="1:25" x14ac:dyDescent="0.25">
      <c r="A6" s="6">
        <v>5</v>
      </c>
      <c r="B6" s="22" t="s">
        <v>117</v>
      </c>
      <c r="C6" s="13" t="s">
        <v>40</v>
      </c>
      <c r="D6" s="13" t="s">
        <v>118</v>
      </c>
      <c r="E6" s="14" t="s">
        <v>133</v>
      </c>
      <c r="F6" s="14" t="s">
        <v>50</v>
      </c>
      <c r="G6" s="14" t="s">
        <v>134</v>
      </c>
      <c r="H6" s="15">
        <v>18500</v>
      </c>
      <c r="I6" s="8"/>
      <c r="J6" s="21">
        <f t="shared" si="0"/>
        <v>925</v>
      </c>
      <c r="K6" s="21">
        <f t="shared" si="1"/>
        <v>19425</v>
      </c>
      <c r="L6" s="15"/>
      <c r="M6" s="13"/>
      <c r="N6" s="13"/>
      <c r="O6" s="15"/>
      <c r="P6" s="10" t="s">
        <v>135</v>
      </c>
      <c r="Q6" s="9" t="s">
        <v>147</v>
      </c>
      <c r="R6" s="9"/>
      <c r="S6" s="9"/>
      <c r="T6" s="23" t="s">
        <v>136</v>
      </c>
      <c r="U6" s="27"/>
      <c r="V6" s="28" t="s">
        <v>137</v>
      </c>
      <c r="W6" s="14"/>
      <c r="X6" s="16" t="s">
        <v>138</v>
      </c>
      <c r="Y6" s="33" t="s">
        <v>40</v>
      </c>
    </row>
    <row r="7" spans="1:25" x14ac:dyDescent="0.25">
      <c r="A7" s="6">
        <v>6</v>
      </c>
      <c r="B7" s="22" t="s">
        <v>121</v>
      </c>
      <c r="C7" s="13" t="s">
        <v>40</v>
      </c>
      <c r="D7" s="13" t="s">
        <v>123</v>
      </c>
      <c r="E7" s="14" t="s">
        <v>139</v>
      </c>
      <c r="F7" s="14" t="s">
        <v>140</v>
      </c>
      <c r="G7" s="14" t="s">
        <v>141</v>
      </c>
      <c r="H7" s="15">
        <v>99000</v>
      </c>
      <c r="I7" s="8"/>
      <c r="J7" s="21">
        <f t="shared" si="0"/>
        <v>4950</v>
      </c>
      <c r="K7" s="21">
        <f t="shared" si="1"/>
        <v>103950</v>
      </c>
      <c r="L7" s="15"/>
      <c r="M7" s="13"/>
      <c r="N7" s="13"/>
      <c r="O7" s="15"/>
      <c r="P7" s="10" t="s">
        <v>142</v>
      </c>
      <c r="Q7" s="9"/>
      <c r="R7" s="9" t="s">
        <v>143</v>
      </c>
      <c r="S7" s="9"/>
      <c r="T7" s="23"/>
      <c r="U7" s="27"/>
      <c r="V7" s="28"/>
      <c r="W7" s="14"/>
      <c r="X7" s="16" t="s">
        <v>169</v>
      </c>
      <c r="Y7" s="33" t="s">
        <v>40</v>
      </c>
    </row>
    <row r="8" spans="1:25" x14ac:dyDescent="0.25">
      <c r="A8" s="6">
        <v>7</v>
      </c>
      <c r="B8" s="22" t="s">
        <v>687</v>
      </c>
      <c r="C8" s="13" t="s">
        <v>40</v>
      </c>
      <c r="D8" s="13" t="s">
        <v>688</v>
      </c>
      <c r="E8" s="14" t="s">
        <v>689</v>
      </c>
      <c r="F8" s="14" t="s">
        <v>386</v>
      </c>
      <c r="G8" s="14" t="s">
        <v>691</v>
      </c>
      <c r="H8" s="15">
        <v>55800</v>
      </c>
      <c r="I8" s="8"/>
      <c r="J8" s="21">
        <f t="shared" si="0"/>
        <v>2790</v>
      </c>
      <c r="K8" s="21">
        <f t="shared" si="1"/>
        <v>58590</v>
      </c>
      <c r="L8" s="15"/>
      <c r="M8" s="13"/>
      <c r="N8" s="13"/>
      <c r="O8" s="15"/>
      <c r="P8" s="10" t="s">
        <v>692</v>
      </c>
      <c r="Q8" s="9"/>
      <c r="R8" s="9" t="s">
        <v>693</v>
      </c>
      <c r="S8" s="9"/>
      <c r="T8" s="23"/>
      <c r="U8" s="27"/>
      <c r="V8" s="28"/>
      <c r="W8" s="14" t="s">
        <v>696</v>
      </c>
      <c r="X8" s="16" t="s">
        <v>697</v>
      </c>
    </row>
    <row r="9" spans="1:25" x14ac:dyDescent="0.25">
      <c r="A9" s="6">
        <v>8</v>
      </c>
      <c r="B9" s="22" t="s">
        <v>553</v>
      </c>
      <c r="C9" s="13" t="s">
        <v>40</v>
      </c>
      <c r="D9" s="13" t="s">
        <v>554</v>
      </c>
      <c r="E9" s="14" t="s">
        <v>537</v>
      </c>
      <c r="F9" s="14" t="s">
        <v>50</v>
      </c>
      <c r="G9" s="14" t="s">
        <v>555</v>
      </c>
      <c r="H9" s="15">
        <v>68000</v>
      </c>
      <c r="I9" s="8"/>
      <c r="J9" s="21">
        <f t="shared" si="0"/>
        <v>3400</v>
      </c>
      <c r="K9" s="21">
        <f t="shared" si="1"/>
        <v>71400</v>
      </c>
      <c r="L9" s="15"/>
      <c r="M9" s="13"/>
      <c r="N9" s="13"/>
      <c r="O9" s="15"/>
      <c r="P9" s="10" t="s">
        <v>556</v>
      </c>
      <c r="Q9" s="9" t="s">
        <v>557</v>
      </c>
      <c r="R9" s="9"/>
      <c r="S9" s="9"/>
      <c r="T9" s="23" t="s">
        <v>544</v>
      </c>
      <c r="U9" s="27"/>
      <c r="V9" s="28"/>
      <c r="W9" s="14"/>
      <c r="X9" s="16" t="s">
        <v>559</v>
      </c>
    </row>
    <row r="10" spans="1:25" x14ac:dyDescent="0.25">
      <c r="A10" s="6">
        <v>9</v>
      </c>
      <c r="B10" s="22" t="s">
        <v>560</v>
      </c>
      <c r="C10" s="13" t="s">
        <v>40</v>
      </c>
      <c r="D10" s="13" t="s">
        <v>554</v>
      </c>
      <c r="E10" s="14" t="s">
        <v>537</v>
      </c>
      <c r="F10" s="14" t="s">
        <v>50</v>
      </c>
      <c r="G10" s="14" t="s">
        <v>555</v>
      </c>
      <c r="H10" s="15">
        <v>188090</v>
      </c>
      <c r="I10" s="8"/>
      <c r="J10" s="21">
        <f t="shared" si="0"/>
        <v>9405</v>
      </c>
      <c r="K10" s="21">
        <f t="shared" si="1"/>
        <v>197495</v>
      </c>
      <c r="L10" s="15"/>
      <c r="M10" s="13"/>
      <c r="N10" s="13"/>
      <c r="O10" s="15"/>
      <c r="P10" s="10" t="s">
        <v>556</v>
      </c>
      <c r="Q10" s="9" t="s">
        <v>557</v>
      </c>
      <c r="R10" s="9"/>
      <c r="S10" s="9"/>
      <c r="T10" s="23" t="s">
        <v>544</v>
      </c>
      <c r="U10" s="27"/>
      <c r="V10" s="28"/>
      <c r="W10" s="14"/>
      <c r="X10" s="16" t="s">
        <v>559</v>
      </c>
    </row>
    <row r="11" spans="1:25" s="12" customFormat="1" x14ac:dyDescent="0.25">
      <c r="A11" s="6"/>
      <c r="B11" s="7" t="s">
        <v>755</v>
      </c>
      <c r="C11" s="8" t="s">
        <v>40</v>
      </c>
      <c r="D11" s="6" t="s">
        <v>179</v>
      </c>
      <c r="E11" s="18" t="s">
        <v>617</v>
      </c>
      <c r="F11" s="18" t="s">
        <v>101</v>
      </c>
      <c r="G11" s="18" t="s">
        <v>749</v>
      </c>
      <c r="H11" s="19">
        <v>14000</v>
      </c>
      <c r="I11" s="20"/>
      <c r="J11" s="21">
        <f t="shared" si="0"/>
        <v>700</v>
      </c>
      <c r="K11" s="21">
        <f t="shared" si="1"/>
        <v>14700</v>
      </c>
      <c r="L11" s="21"/>
      <c r="M11" s="6"/>
      <c r="N11" s="26"/>
      <c r="O11" s="21"/>
      <c r="P11" s="17" t="s">
        <v>752</v>
      </c>
      <c r="Q11" s="9"/>
      <c r="R11" s="9" t="s">
        <v>753</v>
      </c>
      <c r="S11" s="9"/>
      <c r="T11" s="23"/>
      <c r="U11" s="27"/>
      <c r="V11" s="10"/>
      <c r="W11" s="14"/>
      <c r="X11" s="11" t="s">
        <v>754</v>
      </c>
      <c r="Y11" s="32"/>
    </row>
    <row r="12" spans="1:25" s="12" customFormat="1" x14ac:dyDescent="0.25">
      <c r="A12" s="6"/>
      <c r="B12" s="7" t="s">
        <v>756</v>
      </c>
      <c r="C12" s="8" t="s">
        <v>40</v>
      </c>
      <c r="D12" s="6" t="s">
        <v>179</v>
      </c>
      <c r="E12" s="18" t="s">
        <v>617</v>
      </c>
      <c r="F12" s="18" t="s">
        <v>101</v>
      </c>
      <c r="G12" s="18" t="s">
        <v>750</v>
      </c>
      <c r="H12" s="19">
        <v>12000</v>
      </c>
      <c r="I12" s="20"/>
      <c r="J12" s="21">
        <f t="shared" si="0"/>
        <v>600</v>
      </c>
      <c r="K12" s="21">
        <f t="shared" si="1"/>
        <v>12600</v>
      </c>
      <c r="L12" s="21"/>
      <c r="M12" s="6"/>
      <c r="N12" s="26"/>
      <c r="O12" s="21"/>
      <c r="P12" s="17" t="s">
        <v>752</v>
      </c>
      <c r="Q12" s="9"/>
      <c r="R12" s="9" t="s">
        <v>753</v>
      </c>
      <c r="S12" s="9"/>
      <c r="T12" s="23"/>
      <c r="U12" s="27"/>
      <c r="V12" s="10"/>
      <c r="W12" s="14"/>
      <c r="X12" s="11" t="s">
        <v>754</v>
      </c>
      <c r="Y12" s="32"/>
    </row>
    <row r="13" spans="1:25" s="12" customFormat="1" x14ac:dyDescent="0.25">
      <c r="A13" s="6"/>
      <c r="B13" s="7" t="s">
        <v>757</v>
      </c>
      <c r="C13" s="8" t="s">
        <v>40</v>
      </c>
      <c r="D13" s="6" t="s">
        <v>179</v>
      </c>
      <c r="E13" s="18" t="s">
        <v>617</v>
      </c>
      <c r="F13" s="18" t="s">
        <v>101</v>
      </c>
      <c r="G13" s="18" t="s">
        <v>751</v>
      </c>
      <c r="H13" s="19">
        <v>15000</v>
      </c>
      <c r="I13" s="20"/>
      <c r="J13" s="21">
        <f t="shared" si="0"/>
        <v>750</v>
      </c>
      <c r="K13" s="21">
        <f t="shared" si="1"/>
        <v>15750</v>
      </c>
      <c r="L13" s="21"/>
      <c r="M13" s="6"/>
      <c r="N13" s="26"/>
      <c r="O13" s="21"/>
      <c r="P13" s="17" t="s">
        <v>752</v>
      </c>
      <c r="Q13" s="9"/>
      <c r="R13" s="9" t="s">
        <v>753</v>
      </c>
      <c r="S13" s="9"/>
      <c r="T13" s="23"/>
      <c r="U13" s="27"/>
      <c r="V13" s="10"/>
      <c r="W13" s="14"/>
      <c r="X13" s="11" t="s">
        <v>754</v>
      </c>
      <c r="Y13" s="32"/>
    </row>
    <row r="14" spans="1:25" x14ac:dyDescent="0.25">
      <c r="A14" s="6">
        <v>10</v>
      </c>
      <c r="B14" s="22" t="s">
        <v>119</v>
      </c>
      <c r="C14" s="13" t="s">
        <v>40</v>
      </c>
      <c r="D14" s="13" t="s">
        <v>122</v>
      </c>
      <c r="E14" s="14" t="s">
        <v>144</v>
      </c>
      <c r="F14" s="14" t="s">
        <v>50</v>
      </c>
      <c r="G14" s="14" t="s">
        <v>145</v>
      </c>
      <c r="H14" s="15">
        <v>10400</v>
      </c>
      <c r="I14" s="8"/>
      <c r="J14" s="21">
        <f t="shared" si="0"/>
        <v>520</v>
      </c>
      <c r="K14" s="21">
        <f t="shared" si="1"/>
        <v>10920</v>
      </c>
      <c r="L14" s="15"/>
      <c r="M14" s="13"/>
      <c r="N14" s="13"/>
      <c r="O14" s="15"/>
      <c r="P14" s="10" t="s">
        <v>146</v>
      </c>
      <c r="Q14" s="9" t="s">
        <v>147</v>
      </c>
      <c r="R14" s="9"/>
      <c r="S14" s="9"/>
      <c r="T14" s="23"/>
      <c r="U14" s="27"/>
      <c r="V14" s="28"/>
      <c r="W14" s="14"/>
      <c r="X14" s="16" t="s">
        <v>148</v>
      </c>
      <c r="Y14" s="33" t="s">
        <v>40</v>
      </c>
    </row>
    <row r="15" spans="1:25" x14ac:dyDescent="0.25">
      <c r="A15" s="6">
        <v>11</v>
      </c>
      <c r="B15" s="22" t="s">
        <v>120</v>
      </c>
      <c r="C15" s="13" t="s">
        <v>40</v>
      </c>
      <c r="D15" s="13" t="s">
        <v>124</v>
      </c>
      <c r="E15" s="14" t="s">
        <v>149</v>
      </c>
      <c r="F15" s="14" t="s">
        <v>50</v>
      </c>
      <c r="G15" s="14" t="s">
        <v>150</v>
      </c>
      <c r="H15" s="15">
        <v>6200</v>
      </c>
      <c r="I15" s="8"/>
      <c r="J15" s="21">
        <f t="shared" si="0"/>
        <v>310</v>
      </c>
      <c r="K15" s="21">
        <f t="shared" si="1"/>
        <v>6510</v>
      </c>
      <c r="L15" s="15"/>
      <c r="M15" s="13"/>
      <c r="N15" s="13"/>
      <c r="O15" s="15"/>
      <c r="P15" s="10" t="s">
        <v>159</v>
      </c>
      <c r="Q15" s="9" t="s">
        <v>147</v>
      </c>
      <c r="R15" s="9"/>
      <c r="S15" s="9"/>
      <c r="T15" s="23"/>
      <c r="U15" s="27"/>
      <c r="V15" s="28"/>
      <c r="W15" s="14"/>
      <c r="X15" s="16" t="s">
        <v>167</v>
      </c>
      <c r="Y15" s="33" t="s">
        <v>40</v>
      </c>
    </row>
    <row r="16" spans="1:25" x14ac:dyDescent="0.25">
      <c r="A16" s="6">
        <v>12</v>
      </c>
      <c r="B16" s="22" t="s">
        <v>316</v>
      </c>
      <c r="C16" s="13" t="s">
        <v>40</v>
      </c>
      <c r="D16" s="13" t="s">
        <v>56</v>
      </c>
      <c r="E16" s="14" t="s">
        <v>320</v>
      </c>
      <c r="F16" s="14" t="s">
        <v>140</v>
      </c>
      <c r="G16" s="14" t="s">
        <v>322</v>
      </c>
      <c r="H16" s="15">
        <v>72000</v>
      </c>
      <c r="I16" s="8" t="s">
        <v>25</v>
      </c>
      <c r="J16" s="21">
        <f t="shared" si="0"/>
        <v>3429</v>
      </c>
      <c r="K16" s="21">
        <f t="shared" si="1"/>
        <v>72000</v>
      </c>
      <c r="L16" s="15"/>
      <c r="M16" s="13"/>
      <c r="N16" s="13"/>
      <c r="O16" s="15"/>
      <c r="P16" s="10" t="s">
        <v>324</v>
      </c>
      <c r="Q16" s="9"/>
      <c r="R16" s="9" t="s">
        <v>325</v>
      </c>
      <c r="S16" s="9"/>
      <c r="T16" s="23" t="s">
        <v>326</v>
      </c>
      <c r="U16" s="27"/>
      <c r="V16" s="28" t="s">
        <v>327</v>
      </c>
      <c r="W16" s="14"/>
      <c r="X16" s="16" t="s">
        <v>328</v>
      </c>
      <c r="Y16" s="33" t="s">
        <v>40</v>
      </c>
    </row>
    <row r="17" spans="1:25" x14ac:dyDescent="0.25">
      <c r="A17" s="6">
        <v>13</v>
      </c>
      <c r="B17" s="22" t="s">
        <v>317</v>
      </c>
      <c r="C17" s="13" t="s">
        <v>40</v>
      </c>
      <c r="D17" s="13" t="s">
        <v>319</v>
      </c>
      <c r="E17" s="14" t="s">
        <v>320</v>
      </c>
      <c r="F17" s="14" t="s">
        <v>140</v>
      </c>
      <c r="G17" s="14" t="s">
        <v>323</v>
      </c>
      <c r="H17" s="15">
        <v>70000</v>
      </c>
      <c r="I17" s="8" t="s">
        <v>25</v>
      </c>
      <c r="J17" s="21">
        <f t="shared" si="0"/>
        <v>3333</v>
      </c>
      <c r="K17" s="21">
        <f t="shared" si="1"/>
        <v>70000</v>
      </c>
      <c r="L17" s="15"/>
      <c r="M17" s="13"/>
      <c r="N17" s="13"/>
      <c r="O17" s="15"/>
      <c r="P17" s="10" t="s">
        <v>324</v>
      </c>
      <c r="Q17" s="9"/>
      <c r="R17" s="9" t="s">
        <v>325</v>
      </c>
      <c r="S17" s="9"/>
      <c r="T17" s="23" t="s">
        <v>326</v>
      </c>
      <c r="U17" s="27"/>
      <c r="V17" s="28" t="s">
        <v>327</v>
      </c>
      <c r="W17" s="14"/>
      <c r="X17" s="16" t="s">
        <v>328</v>
      </c>
      <c r="Y17" s="33" t="s">
        <v>40</v>
      </c>
    </row>
    <row r="18" spans="1:25" ht="42.75" customHeight="1" x14ac:dyDescent="0.25">
      <c r="A18" s="6">
        <v>14</v>
      </c>
      <c r="B18" s="22" t="s">
        <v>548</v>
      </c>
      <c r="C18" s="13" t="s">
        <v>40</v>
      </c>
      <c r="D18" s="13" t="s">
        <v>153</v>
      </c>
      <c r="E18" s="14" t="s">
        <v>550</v>
      </c>
      <c r="F18" s="14" t="s">
        <v>50</v>
      </c>
      <c r="G18" s="14" t="s">
        <v>551</v>
      </c>
      <c r="H18" s="15">
        <v>94000</v>
      </c>
      <c r="I18" s="8"/>
      <c r="J18" s="21">
        <f t="shared" si="0"/>
        <v>4700</v>
      </c>
      <c r="K18" s="21">
        <f t="shared" si="1"/>
        <v>98700</v>
      </c>
      <c r="L18" s="15"/>
      <c r="M18" s="13"/>
      <c r="N18" s="13"/>
      <c r="O18" s="15"/>
      <c r="P18" s="10" t="s">
        <v>462</v>
      </c>
      <c r="Q18" s="9" t="s">
        <v>147</v>
      </c>
      <c r="R18" s="9"/>
      <c r="S18" s="9"/>
      <c r="T18" s="23"/>
      <c r="U18" s="27"/>
      <c r="V18" s="28"/>
      <c r="W18" s="14" t="s">
        <v>694</v>
      </c>
      <c r="X18" s="16" t="s">
        <v>695</v>
      </c>
    </row>
    <row r="19" spans="1:25" x14ac:dyDescent="0.25">
      <c r="A19" s="6">
        <v>15</v>
      </c>
      <c r="B19" s="22" t="s">
        <v>151</v>
      </c>
      <c r="C19" s="13" t="s">
        <v>40</v>
      </c>
      <c r="D19" s="13" t="s">
        <v>153</v>
      </c>
      <c r="E19" s="14" t="s">
        <v>155</v>
      </c>
      <c r="F19" s="14" t="s">
        <v>50</v>
      </c>
      <c r="G19" s="14" t="s">
        <v>157</v>
      </c>
      <c r="H19" s="15">
        <v>60200</v>
      </c>
      <c r="I19" s="8"/>
      <c r="J19" s="21">
        <f t="shared" si="0"/>
        <v>3010</v>
      </c>
      <c r="K19" s="21">
        <f t="shared" si="1"/>
        <v>63210</v>
      </c>
      <c r="L19" s="15"/>
      <c r="M19" s="13"/>
      <c r="N19" s="13"/>
      <c r="O19" s="15"/>
      <c r="P19" s="10" t="s">
        <v>160</v>
      </c>
      <c r="Q19" s="9"/>
      <c r="R19" s="9" t="s">
        <v>163</v>
      </c>
      <c r="S19" s="9"/>
      <c r="T19" s="23" t="s">
        <v>165</v>
      </c>
      <c r="U19" s="27"/>
      <c r="V19" s="28"/>
      <c r="W19" s="14"/>
      <c r="X19" s="16" t="s">
        <v>166</v>
      </c>
      <c r="Y19" s="33" t="s">
        <v>40</v>
      </c>
    </row>
    <row r="20" spans="1:25" x14ac:dyDescent="0.25">
      <c r="A20" s="6">
        <v>16</v>
      </c>
      <c r="B20" s="22" t="s">
        <v>152</v>
      </c>
      <c r="C20" s="13" t="s">
        <v>40</v>
      </c>
      <c r="D20" s="13" t="s">
        <v>154</v>
      </c>
      <c r="E20" s="14" t="s">
        <v>156</v>
      </c>
      <c r="F20" s="14" t="s">
        <v>50</v>
      </c>
      <c r="G20" s="14" t="s">
        <v>158</v>
      </c>
      <c r="H20" s="15">
        <v>1000</v>
      </c>
      <c r="I20" s="8" t="s">
        <v>25</v>
      </c>
      <c r="J20" s="21">
        <f t="shared" si="0"/>
        <v>48</v>
      </c>
      <c r="K20" s="21">
        <f t="shared" si="1"/>
        <v>1000</v>
      </c>
      <c r="L20" s="15"/>
      <c r="M20" s="13"/>
      <c r="N20" s="13"/>
      <c r="O20" s="15"/>
      <c r="P20" s="10" t="s">
        <v>161</v>
      </c>
      <c r="Q20" s="9"/>
      <c r="R20" s="9" t="s">
        <v>164</v>
      </c>
      <c r="S20" s="9"/>
      <c r="T20" s="23"/>
      <c r="U20" s="27"/>
      <c r="V20" s="28"/>
      <c r="W20" s="14"/>
      <c r="X20" s="16" t="s">
        <v>105</v>
      </c>
      <c r="Y20" s="33" t="s">
        <v>301</v>
      </c>
    </row>
    <row r="21" spans="1:25" x14ac:dyDescent="0.25">
      <c r="A21" s="6">
        <v>17</v>
      </c>
      <c r="B21" s="22" t="s">
        <v>422</v>
      </c>
      <c r="C21" s="13" t="s">
        <v>40</v>
      </c>
      <c r="D21" s="13" t="s">
        <v>423</v>
      </c>
      <c r="E21" s="14" t="s">
        <v>424</v>
      </c>
      <c r="F21" s="14" t="s">
        <v>50</v>
      </c>
      <c r="G21" s="14" t="s">
        <v>425</v>
      </c>
      <c r="H21" s="15">
        <v>86580</v>
      </c>
      <c r="I21" s="8"/>
      <c r="J21" s="21">
        <f t="shared" ref="J21:J56" si="2">IF(I21="",ROUND(H21*0.05,0),ROUND(H21/1.05*0.05,0))</f>
        <v>4329</v>
      </c>
      <c r="K21" s="21">
        <f t="shared" ref="K21:K56" si="3">IF(I21="",H21+J21,H21)</f>
        <v>90909</v>
      </c>
      <c r="L21" s="15"/>
      <c r="M21" s="13"/>
      <c r="N21" s="13"/>
      <c r="O21" s="15"/>
      <c r="P21" s="10" t="s">
        <v>426</v>
      </c>
      <c r="Q21" s="9" t="s">
        <v>147</v>
      </c>
      <c r="R21" s="9"/>
      <c r="S21" s="9"/>
      <c r="T21" s="23" t="s">
        <v>428</v>
      </c>
      <c r="U21" s="27"/>
      <c r="V21" s="28"/>
      <c r="W21" s="14"/>
      <c r="X21" s="16" t="s">
        <v>429</v>
      </c>
    </row>
    <row r="22" spans="1:25" x14ac:dyDescent="0.25">
      <c r="A22" s="6">
        <v>18</v>
      </c>
      <c r="B22" s="22" t="s">
        <v>582</v>
      </c>
      <c r="C22" s="13" t="s">
        <v>40</v>
      </c>
      <c r="D22" s="13" t="s">
        <v>423</v>
      </c>
      <c r="E22" s="14" t="s">
        <v>441</v>
      </c>
      <c r="F22" s="14" t="s">
        <v>583</v>
      </c>
      <c r="G22" s="14" t="s">
        <v>443</v>
      </c>
      <c r="H22" s="15">
        <v>18000</v>
      </c>
      <c r="I22" s="8"/>
      <c r="J22" s="21">
        <f t="shared" si="2"/>
        <v>900</v>
      </c>
      <c r="K22" s="21">
        <f t="shared" si="3"/>
        <v>18900</v>
      </c>
      <c r="L22" s="15"/>
      <c r="M22" s="13"/>
      <c r="N22" s="13"/>
      <c r="O22" s="15"/>
      <c r="P22" s="10" t="s">
        <v>444</v>
      </c>
      <c r="Q22" s="9" t="s">
        <v>445</v>
      </c>
      <c r="R22" s="9" t="s">
        <v>446</v>
      </c>
      <c r="S22" s="9" t="s">
        <v>447</v>
      </c>
      <c r="T22" s="23" t="s">
        <v>448</v>
      </c>
      <c r="U22" s="27"/>
      <c r="V22" s="28" t="s">
        <v>567</v>
      </c>
      <c r="W22" s="14"/>
      <c r="X22" s="16"/>
    </row>
    <row r="23" spans="1:25" x14ac:dyDescent="0.25">
      <c r="A23" s="6">
        <v>19</v>
      </c>
      <c r="B23" s="22" t="s">
        <v>276</v>
      </c>
      <c r="C23" s="13" t="s">
        <v>40</v>
      </c>
      <c r="D23" s="13" t="s">
        <v>277</v>
      </c>
      <c r="E23" s="14" t="s">
        <v>278</v>
      </c>
      <c r="F23" s="14" t="s">
        <v>101</v>
      </c>
      <c r="G23" s="14" t="s">
        <v>280</v>
      </c>
      <c r="H23" s="15">
        <v>18000</v>
      </c>
      <c r="I23" s="8" t="s">
        <v>25</v>
      </c>
      <c r="J23" s="21">
        <f t="shared" si="2"/>
        <v>857</v>
      </c>
      <c r="K23" s="21">
        <f t="shared" si="3"/>
        <v>18000</v>
      </c>
      <c r="L23" s="15"/>
      <c r="M23" s="13" t="s">
        <v>626</v>
      </c>
      <c r="N23" s="13"/>
      <c r="O23" s="15"/>
      <c r="P23" s="10" t="s">
        <v>103</v>
      </c>
      <c r="Q23" s="9"/>
      <c r="R23" s="9" t="s">
        <v>104</v>
      </c>
      <c r="S23" s="9"/>
      <c r="T23" s="23"/>
      <c r="U23" s="27"/>
      <c r="V23" s="28"/>
      <c r="W23" s="14"/>
      <c r="X23" s="16" t="s">
        <v>105</v>
      </c>
    </row>
    <row r="24" spans="1:25" x14ac:dyDescent="0.25">
      <c r="A24" s="6">
        <v>20</v>
      </c>
      <c r="B24" s="22" t="s">
        <v>491</v>
      </c>
      <c r="C24" s="13" t="s">
        <v>40</v>
      </c>
      <c r="D24" s="13" t="s">
        <v>319</v>
      </c>
      <c r="E24" s="14" t="s">
        <v>493</v>
      </c>
      <c r="F24" s="14" t="s">
        <v>101</v>
      </c>
      <c r="G24" s="14" t="s">
        <v>494</v>
      </c>
      <c r="H24" s="15">
        <v>25500</v>
      </c>
      <c r="I24" s="8" t="s">
        <v>40</v>
      </c>
      <c r="J24" s="21">
        <f t="shared" si="2"/>
        <v>1214</v>
      </c>
      <c r="K24" s="21">
        <f t="shared" si="3"/>
        <v>25500</v>
      </c>
      <c r="L24" s="15"/>
      <c r="M24" s="13" t="s">
        <v>331</v>
      </c>
      <c r="N24" s="13"/>
      <c r="O24" s="15"/>
      <c r="P24" s="10" t="s">
        <v>495</v>
      </c>
      <c r="Q24" s="9"/>
      <c r="R24" s="9" t="s">
        <v>496</v>
      </c>
      <c r="S24" s="9"/>
      <c r="T24" s="23"/>
      <c r="U24" s="27"/>
      <c r="V24" s="28"/>
      <c r="W24" s="14"/>
      <c r="X24" s="16" t="s">
        <v>105</v>
      </c>
    </row>
    <row r="25" spans="1:25" x14ac:dyDescent="0.25">
      <c r="A25" s="6">
        <v>21</v>
      </c>
      <c r="B25" s="22" t="s">
        <v>533</v>
      </c>
      <c r="C25" s="13" t="s">
        <v>40</v>
      </c>
      <c r="D25" s="13" t="s">
        <v>535</v>
      </c>
      <c r="E25" s="14" t="s">
        <v>537</v>
      </c>
      <c r="F25" s="14" t="s">
        <v>50</v>
      </c>
      <c r="G25" s="14" t="s">
        <v>540</v>
      </c>
      <c r="H25" s="15">
        <v>19700</v>
      </c>
      <c r="I25" s="8"/>
      <c r="J25" s="21">
        <f t="shared" si="2"/>
        <v>985</v>
      </c>
      <c r="K25" s="21">
        <f t="shared" si="3"/>
        <v>20685</v>
      </c>
      <c r="L25" s="15"/>
      <c r="M25" s="13"/>
      <c r="N25" s="13"/>
      <c r="O25" s="15"/>
      <c r="P25" s="10" t="s">
        <v>542</v>
      </c>
      <c r="Q25" s="9" t="s">
        <v>543</v>
      </c>
      <c r="R25" s="9"/>
      <c r="S25" s="9"/>
      <c r="T25" s="23" t="s">
        <v>544</v>
      </c>
      <c r="U25" s="27"/>
      <c r="V25" s="28"/>
      <c r="W25" s="14"/>
      <c r="X25" s="16" t="s">
        <v>546</v>
      </c>
    </row>
    <row r="26" spans="1:25" x14ac:dyDescent="0.25">
      <c r="A26" s="6">
        <v>22</v>
      </c>
      <c r="B26" s="22" t="s">
        <v>534</v>
      </c>
      <c r="C26" s="13" t="s">
        <v>40</v>
      </c>
      <c r="D26" s="13" t="s">
        <v>535</v>
      </c>
      <c r="E26" s="14" t="s">
        <v>537</v>
      </c>
      <c r="F26" s="14" t="s">
        <v>50</v>
      </c>
      <c r="G26" s="14" t="s">
        <v>541</v>
      </c>
      <c r="H26" s="15">
        <v>126040</v>
      </c>
      <c r="I26" s="8"/>
      <c r="J26" s="21">
        <f t="shared" si="2"/>
        <v>6302</v>
      </c>
      <c r="K26" s="21">
        <f t="shared" si="3"/>
        <v>132342</v>
      </c>
      <c r="L26" s="15"/>
      <c r="M26" s="13"/>
      <c r="N26" s="13"/>
      <c r="O26" s="15"/>
      <c r="P26" s="10" t="s">
        <v>542</v>
      </c>
      <c r="Q26" s="9" t="s">
        <v>543</v>
      </c>
      <c r="R26" s="9"/>
      <c r="S26" s="9"/>
      <c r="T26" s="23" t="s">
        <v>545</v>
      </c>
      <c r="U26" s="27"/>
      <c r="V26" s="28"/>
      <c r="W26" s="14"/>
      <c r="X26" s="16" t="s">
        <v>546</v>
      </c>
    </row>
    <row r="27" spans="1:25" x14ac:dyDescent="0.25">
      <c r="A27" s="6">
        <v>23</v>
      </c>
      <c r="B27" s="22" t="s">
        <v>584</v>
      </c>
      <c r="C27" s="13" t="s">
        <v>40</v>
      </c>
      <c r="D27" s="13" t="s">
        <v>535</v>
      </c>
      <c r="E27" s="14" t="s">
        <v>569</v>
      </c>
      <c r="F27" s="14" t="s">
        <v>101</v>
      </c>
      <c r="G27" s="14" t="s">
        <v>570</v>
      </c>
      <c r="H27" s="15">
        <v>18000</v>
      </c>
      <c r="I27" s="8" t="s">
        <v>40</v>
      </c>
      <c r="J27" s="21">
        <f t="shared" si="2"/>
        <v>857</v>
      </c>
      <c r="K27" s="21">
        <f t="shared" si="3"/>
        <v>18000</v>
      </c>
      <c r="L27" s="15"/>
      <c r="M27" s="13"/>
      <c r="N27" s="13"/>
      <c r="O27" s="15"/>
      <c r="P27" s="10"/>
      <c r="Q27" s="9"/>
      <c r="R27" s="9"/>
      <c r="S27" s="9"/>
      <c r="T27" s="23"/>
      <c r="U27" s="27"/>
      <c r="V27" s="28"/>
      <c r="W27" s="14"/>
      <c r="X27" s="16"/>
    </row>
    <row r="28" spans="1:25" ht="30.75" customHeight="1" x14ac:dyDescent="0.25">
      <c r="A28" s="6">
        <v>24</v>
      </c>
      <c r="B28" s="22" t="s">
        <v>381</v>
      </c>
      <c r="C28" s="13" t="s">
        <v>40</v>
      </c>
      <c r="D28" s="13" t="s">
        <v>255</v>
      </c>
      <c r="E28" s="14" t="s">
        <v>385</v>
      </c>
      <c r="F28" s="14" t="s">
        <v>386</v>
      </c>
      <c r="G28" s="28" t="s">
        <v>387</v>
      </c>
      <c r="H28" s="15">
        <v>21000</v>
      </c>
      <c r="I28" s="8"/>
      <c r="J28" s="21">
        <f t="shared" si="2"/>
        <v>1050</v>
      </c>
      <c r="K28" s="21">
        <f t="shared" si="3"/>
        <v>22050</v>
      </c>
      <c r="L28" s="15"/>
      <c r="M28" s="13" t="s">
        <v>388</v>
      </c>
      <c r="N28" s="13"/>
      <c r="O28" s="15"/>
      <c r="P28" s="10"/>
      <c r="Q28" s="9" t="s">
        <v>391</v>
      </c>
      <c r="R28" s="9"/>
      <c r="S28" s="9"/>
      <c r="T28" s="23" t="s">
        <v>392</v>
      </c>
      <c r="U28" s="27"/>
      <c r="V28" s="28" t="s">
        <v>394</v>
      </c>
      <c r="W28" s="14"/>
      <c r="X28" s="16" t="s">
        <v>395</v>
      </c>
    </row>
    <row r="29" spans="1:25" ht="34.5" customHeight="1" x14ac:dyDescent="0.25">
      <c r="A29" s="6">
        <v>25</v>
      </c>
      <c r="B29" s="22" t="s">
        <v>382</v>
      </c>
      <c r="C29" s="13" t="s">
        <v>40</v>
      </c>
      <c r="D29" s="13" t="s">
        <v>257</v>
      </c>
      <c r="E29" s="14" t="s">
        <v>385</v>
      </c>
      <c r="F29" s="14" t="s">
        <v>386</v>
      </c>
      <c r="G29" s="28" t="s">
        <v>387</v>
      </c>
      <c r="H29" s="15">
        <v>50000</v>
      </c>
      <c r="I29" s="8"/>
      <c r="J29" s="21">
        <f t="shared" si="2"/>
        <v>2500</v>
      </c>
      <c r="K29" s="21">
        <f t="shared" si="3"/>
        <v>52500</v>
      </c>
      <c r="L29" s="15"/>
      <c r="M29" s="13" t="s">
        <v>388</v>
      </c>
      <c r="N29" s="67" t="s">
        <v>390</v>
      </c>
      <c r="O29" s="15"/>
      <c r="P29" s="10"/>
      <c r="Q29" s="9" t="s">
        <v>391</v>
      </c>
      <c r="R29" s="9"/>
      <c r="S29" s="9"/>
      <c r="T29" s="23" t="s">
        <v>392</v>
      </c>
      <c r="U29" s="27"/>
      <c r="V29" s="28" t="s">
        <v>394</v>
      </c>
      <c r="W29" s="14"/>
      <c r="X29" s="16" t="s">
        <v>395</v>
      </c>
    </row>
    <row r="30" spans="1:25" x14ac:dyDescent="0.25">
      <c r="A30" s="6">
        <v>26</v>
      </c>
      <c r="B30" s="22" t="s">
        <v>371</v>
      </c>
      <c r="C30" s="13" t="s">
        <v>40</v>
      </c>
      <c r="D30" s="13" t="s">
        <v>372</v>
      </c>
      <c r="E30" s="14" t="s">
        <v>373</v>
      </c>
      <c r="F30" s="14" t="s">
        <v>50</v>
      </c>
      <c r="G30" s="14" t="s">
        <v>375</v>
      </c>
      <c r="H30" s="15">
        <v>35000</v>
      </c>
      <c r="I30" s="8" t="s">
        <v>25</v>
      </c>
      <c r="J30" s="21">
        <f t="shared" si="2"/>
        <v>1667</v>
      </c>
      <c r="K30" s="21">
        <f t="shared" si="3"/>
        <v>35000</v>
      </c>
      <c r="L30" s="15"/>
      <c r="M30" s="13"/>
      <c r="N30" s="13"/>
      <c r="O30" s="15"/>
      <c r="P30" s="10" t="s">
        <v>161</v>
      </c>
      <c r="Q30" s="9"/>
      <c r="R30" s="9" t="s">
        <v>164</v>
      </c>
      <c r="S30" s="9"/>
      <c r="T30" s="23"/>
      <c r="U30" s="27"/>
      <c r="V30" s="28"/>
      <c r="W30" s="14"/>
      <c r="X30" s="16" t="s">
        <v>378</v>
      </c>
    </row>
    <row r="31" spans="1:25" x14ac:dyDescent="0.25">
      <c r="A31" s="6">
        <v>27</v>
      </c>
      <c r="B31" s="22" t="s">
        <v>330</v>
      </c>
      <c r="C31" s="13" t="s">
        <v>40</v>
      </c>
      <c r="D31" s="13" t="s">
        <v>331</v>
      </c>
      <c r="E31" s="14" t="s">
        <v>332</v>
      </c>
      <c r="F31" s="14" t="s">
        <v>50</v>
      </c>
      <c r="G31" s="14" t="s">
        <v>339</v>
      </c>
      <c r="H31" s="15">
        <v>88380</v>
      </c>
      <c r="I31" s="8"/>
      <c r="J31" s="21">
        <f t="shared" si="2"/>
        <v>4419</v>
      </c>
      <c r="K31" s="21">
        <f t="shared" si="3"/>
        <v>92799</v>
      </c>
      <c r="L31" s="15"/>
      <c r="M31" s="13"/>
      <c r="N31" s="13"/>
      <c r="O31" s="15"/>
      <c r="P31" s="10" t="s">
        <v>146</v>
      </c>
      <c r="Q31" s="9" t="s">
        <v>147</v>
      </c>
      <c r="R31" s="9"/>
      <c r="S31" s="9"/>
      <c r="T31" s="23" t="s">
        <v>333</v>
      </c>
      <c r="U31" s="27"/>
      <c r="V31" s="28" t="s">
        <v>334</v>
      </c>
      <c r="W31" s="14"/>
      <c r="X31" s="16" t="s">
        <v>335</v>
      </c>
      <c r="Y31" s="33" t="s">
        <v>40</v>
      </c>
    </row>
    <row r="32" spans="1:25" x14ac:dyDescent="0.25">
      <c r="A32" s="6">
        <v>28</v>
      </c>
      <c r="B32" s="22" t="s">
        <v>309</v>
      </c>
      <c r="C32" s="13" t="s">
        <v>40</v>
      </c>
      <c r="D32" s="13" t="s">
        <v>310</v>
      </c>
      <c r="E32" s="14" t="s">
        <v>311</v>
      </c>
      <c r="F32" s="14" t="s">
        <v>50</v>
      </c>
      <c r="G32" s="14" t="s">
        <v>313</v>
      </c>
      <c r="H32" s="15">
        <v>114900</v>
      </c>
      <c r="I32" s="8"/>
      <c r="J32" s="21">
        <f t="shared" si="2"/>
        <v>5745</v>
      </c>
      <c r="K32" s="21">
        <f t="shared" si="3"/>
        <v>120645</v>
      </c>
      <c r="L32" s="15"/>
      <c r="M32" s="13"/>
      <c r="N32" s="13"/>
      <c r="O32" s="15"/>
      <c r="P32" s="10" t="s">
        <v>314</v>
      </c>
      <c r="Q32" s="9"/>
      <c r="R32" s="9" t="s">
        <v>315</v>
      </c>
      <c r="S32" s="9"/>
      <c r="T32" s="23"/>
      <c r="U32" s="27"/>
      <c r="V32" s="28"/>
      <c r="W32" s="14"/>
      <c r="X32" s="16" t="s">
        <v>489</v>
      </c>
      <c r="Y32" s="33" t="s">
        <v>40</v>
      </c>
    </row>
    <row r="33" spans="1:25" x14ac:dyDescent="0.25">
      <c r="A33" s="6">
        <v>29</v>
      </c>
      <c r="B33" s="22" t="s">
        <v>457</v>
      </c>
      <c r="C33" s="13" t="s">
        <v>40</v>
      </c>
      <c r="D33" s="13" t="s">
        <v>458</v>
      </c>
      <c r="E33" s="14" t="s">
        <v>459</v>
      </c>
      <c r="F33" s="14" t="s">
        <v>50</v>
      </c>
      <c r="G33" s="14" t="s">
        <v>460</v>
      </c>
      <c r="H33" s="15">
        <v>140820</v>
      </c>
      <c r="I33" s="8"/>
      <c r="J33" s="21">
        <f t="shared" si="2"/>
        <v>7041</v>
      </c>
      <c r="K33" s="21">
        <f t="shared" si="3"/>
        <v>147861</v>
      </c>
      <c r="L33" s="15"/>
      <c r="M33" s="13" t="s">
        <v>461</v>
      </c>
      <c r="N33" s="13"/>
      <c r="O33" s="15"/>
      <c r="P33" s="10" t="s">
        <v>462</v>
      </c>
      <c r="Q33" s="9" t="s">
        <v>147</v>
      </c>
      <c r="R33" s="9"/>
      <c r="S33" s="9"/>
      <c r="T33" s="23" t="s">
        <v>464</v>
      </c>
      <c r="U33" s="27"/>
      <c r="V33" s="28"/>
      <c r="W33" s="14"/>
      <c r="X33" s="16" t="s">
        <v>431</v>
      </c>
    </row>
    <row r="34" spans="1:25" x14ac:dyDescent="0.25">
      <c r="A34" s="6">
        <v>30</v>
      </c>
      <c r="B34" s="22" t="s">
        <v>336</v>
      </c>
      <c r="C34" s="13" t="s">
        <v>40</v>
      </c>
      <c r="D34" s="13" t="s">
        <v>337</v>
      </c>
      <c r="E34" s="14" t="s">
        <v>338</v>
      </c>
      <c r="F34" s="14" t="s">
        <v>50</v>
      </c>
      <c r="G34" s="14" t="s">
        <v>340</v>
      </c>
      <c r="H34" s="15">
        <v>28000</v>
      </c>
      <c r="I34" s="8"/>
      <c r="J34" s="21">
        <f t="shared" si="2"/>
        <v>1400</v>
      </c>
      <c r="K34" s="21">
        <f t="shared" si="3"/>
        <v>29400</v>
      </c>
      <c r="L34" s="15"/>
      <c r="M34" s="13"/>
      <c r="N34" s="13"/>
      <c r="O34" s="15"/>
      <c r="P34" s="10" t="s">
        <v>411</v>
      </c>
      <c r="Q34" s="9"/>
      <c r="R34" s="9" t="s">
        <v>412</v>
      </c>
      <c r="S34" s="9"/>
      <c r="T34" s="23" t="s">
        <v>413</v>
      </c>
      <c r="U34" s="27"/>
      <c r="V34" s="28"/>
      <c r="W34" s="14"/>
      <c r="X34" s="16" t="s">
        <v>328</v>
      </c>
      <c r="Y34" s="33" t="s">
        <v>40</v>
      </c>
    </row>
    <row r="35" spans="1:25" x14ac:dyDescent="0.25">
      <c r="A35" s="6">
        <v>31</v>
      </c>
      <c r="B35" s="22" t="s">
        <v>502</v>
      </c>
      <c r="C35" s="13" t="s">
        <v>40</v>
      </c>
      <c r="D35" s="13" t="s">
        <v>337</v>
      </c>
      <c r="E35" s="14" t="s">
        <v>504</v>
      </c>
      <c r="F35" s="14" t="s">
        <v>50</v>
      </c>
      <c r="G35" s="14" t="s">
        <v>505</v>
      </c>
      <c r="H35" s="15">
        <v>6000</v>
      </c>
      <c r="I35" s="8"/>
      <c r="J35" s="21">
        <f t="shared" si="2"/>
        <v>300</v>
      </c>
      <c r="K35" s="21">
        <f t="shared" si="3"/>
        <v>6300</v>
      </c>
      <c r="L35" s="15"/>
      <c r="M35" s="13" t="s">
        <v>506</v>
      </c>
      <c r="N35" s="13"/>
      <c r="O35" s="15"/>
      <c r="P35" s="10" t="s">
        <v>507</v>
      </c>
      <c r="Q35" s="9"/>
      <c r="R35" s="9" t="s">
        <v>508</v>
      </c>
      <c r="S35" s="9"/>
      <c r="T35" s="23"/>
      <c r="U35" s="27"/>
      <c r="V35" s="28"/>
      <c r="W35" s="14"/>
      <c r="X35" s="16" t="s">
        <v>509</v>
      </c>
    </row>
    <row r="36" spans="1:25" s="33" customFormat="1" x14ac:dyDescent="0.25">
      <c r="A36" s="6">
        <v>32</v>
      </c>
      <c r="B36" s="22" t="s">
        <v>482</v>
      </c>
      <c r="C36" s="13" t="s">
        <v>40</v>
      </c>
      <c r="D36" s="13" t="s">
        <v>483</v>
      </c>
      <c r="E36" s="14" t="s">
        <v>484</v>
      </c>
      <c r="F36" s="14" t="s">
        <v>50</v>
      </c>
      <c r="G36" s="14" t="s">
        <v>485</v>
      </c>
      <c r="H36" s="15">
        <v>52000</v>
      </c>
      <c r="I36" s="8"/>
      <c r="J36" s="21">
        <f t="shared" si="2"/>
        <v>2600</v>
      </c>
      <c r="K36" s="21">
        <f t="shared" si="3"/>
        <v>54600</v>
      </c>
      <c r="L36" s="15"/>
      <c r="M36" s="13"/>
      <c r="N36" s="13"/>
      <c r="O36" s="15"/>
      <c r="P36" s="10" t="s">
        <v>486</v>
      </c>
      <c r="Q36" s="9"/>
      <c r="R36" s="9" t="s">
        <v>487</v>
      </c>
      <c r="S36" s="9"/>
      <c r="T36" s="23" t="s">
        <v>488</v>
      </c>
      <c r="U36" s="27"/>
      <c r="V36" s="28"/>
      <c r="W36" s="14"/>
      <c r="X36" s="16" t="s">
        <v>489</v>
      </c>
    </row>
    <row r="37" spans="1:25" s="33" customFormat="1" x14ac:dyDescent="0.25">
      <c r="A37" s="6">
        <v>33</v>
      </c>
      <c r="B37" s="22" t="s">
        <v>465</v>
      </c>
      <c r="C37" s="13" t="s">
        <v>40</v>
      </c>
      <c r="D37" s="13" t="s">
        <v>388</v>
      </c>
      <c r="E37" s="14" t="s">
        <v>467</v>
      </c>
      <c r="F37" s="14" t="s">
        <v>50</v>
      </c>
      <c r="G37" s="14" t="s">
        <v>468</v>
      </c>
      <c r="H37" s="15">
        <v>4000</v>
      </c>
      <c r="I37" s="8"/>
      <c r="J37" s="21">
        <f t="shared" si="2"/>
        <v>200</v>
      </c>
      <c r="K37" s="21">
        <f t="shared" si="3"/>
        <v>4200</v>
      </c>
      <c r="L37" s="15"/>
      <c r="M37" s="13"/>
      <c r="N37" s="13"/>
      <c r="O37" s="15"/>
      <c r="P37" s="10" t="s">
        <v>146</v>
      </c>
      <c r="Q37" s="9" t="s">
        <v>147</v>
      </c>
      <c r="R37" s="9"/>
      <c r="S37" s="9"/>
      <c r="T37" s="23" t="s">
        <v>470</v>
      </c>
      <c r="U37" s="27"/>
      <c r="V37" s="28"/>
      <c r="W37" s="14"/>
      <c r="X37" s="16" t="s">
        <v>431</v>
      </c>
    </row>
    <row r="38" spans="1:25" s="33" customFormat="1" x14ac:dyDescent="0.25">
      <c r="A38" s="6">
        <v>34</v>
      </c>
      <c r="B38" s="22" t="s">
        <v>406</v>
      </c>
      <c r="C38" s="13" t="s">
        <v>40</v>
      </c>
      <c r="D38" s="13" t="s">
        <v>407</v>
      </c>
      <c r="E38" s="14" t="s">
        <v>408</v>
      </c>
      <c r="F38" s="14" t="s">
        <v>50</v>
      </c>
      <c r="G38" s="14" t="s">
        <v>409</v>
      </c>
      <c r="H38" s="15">
        <v>18200</v>
      </c>
      <c r="I38" s="8"/>
      <c r="J38" s="21">
        <f t="shared" si="2"/>
        <v>910</v>
      </c>
      <c r="K38" s="21">
        <f t="shared" si="3"/>
        <v>19110</v>
      </c>
      <c r="L38" s="15"/>
      <c r="M38" s="67" t="s">
        <v>410</v>
      </c>
      <c r="N38" s="13"/>
      <c r="O38" s="15"/>
      <c r="P38" s="10" t="s">
        <v>415</v>
      </c>
      <c r="Q38" s="9"/>
      <c r="R38" s="9" t="s">
        <v>416</v>
      </c>
      <c r="S38" s="9"/>
      <c r="T38" s="23" t="s">
        <v>417</v>
      </c>
      <c r="U38" s="27"/>
      <c r="V38" s="28"/>
      <c r="W38" s="14"/>
      <c r="X38" s="16" t="s">
        <v>414</v>
      </c>
    </row>
    <row r="39" spans="1:25" s="33" customFormat="1" x14ac:dyDescent="0.25">
      <c r="A39" s="6">
        <v>35</v>
      </c>
      <c r="B39" s="22" t="s">
        <v>471</v>
      </c>
      <c r="C39" s="13" t="s">
        <v>40</v>
      </c>
      <c r="D39" s="13" t="s">
        <v>472</v>
      </c>
      <c r="E39" s="14" t="s">
        <v>473</v>
      </c>
      <c r="F39" s="14" t="s">
        <v>386</v>
      </c>
      <c r="G39" s="14" t="s">
        <v>474</v>
      </c>
      <c r="H39" s="15">
        <v>6400</v>
      </c>
      <c r="I39" s="8"/>
      <c r="J39" s="21">
        <f t="shared" si="2"/>
        <v>320</v>
      </c>
      <c r="K39" s="21">
        <f t="shared" si="3"/>
        <v>6720</v>
      </c>
      <c r="L39" s="15"/>
      <c r="M39" s="13"/>
      <c r="N39" s="13"/>
      <c r="O39" s="15"/>
      <c r="P39" s="10" t="s">
        <v>475</v>
      </c>
      <c r="Q39" s="9"/>
      <c r="R39" s="9" t="s">
        <v>476</v>
      </c>
      <c r="S39" s="9"/>
      <c r="T39" s="23" t="s">
        <v>477</v>
      </c>
      <c r="U39" s="27"/>
      <c r="V39" s="28"/>
      <c r="W39" s="14"/>
      <c r="X39" s="16" t="s">
        <v>431</v>
      </c>
    </row>
    <row r="40" spans="1:25" s="33" customFormat="1" x14ac:dyDescent="0.25">
      <c r="A40" s="6">
        <v>36</v>
      </c>
      <c r="B40" s="22" t="s">
        <v>526</v>
      </c>
      <c r="C40" s="13" t="s">
        <v>40</v>
      </c>
      <c r="D40" s="13" t="s">
        <v>472</v>
      </c>
      <c r="E40" s="14" t="s">
        <v>528</v>
      </c>
      <c r="F40" s="14" t="s">
        <v>386</v>
      </c>
      <c r="G40" s="14" t="s">
        <v>529</v>
      </c>
      <c r="H40" s="15">
        <v>28000</v>
      </c>
      <c r="I40" s="8"/>
      <c r="J40" s="21">
        <f t="shared" si="2"/>
        <v>1400</v>
      </c>
      <c r="K40" s="21">
        <f t="shared" si="3"/>
        <v>29400</v>
      </c>
      <c r="L40" s="15"/>
      <c r="M40" s="13" t="s">
        <v>530</v>
      </c>
      <c r="N40" s="13"/>
      <c r="O40" s="15"/>
      <c r="P40" s="10" t="s">
        <v>514</v>
      </c>
      <c r="Q40" s="9" t="s">
        <v>112</v>
      </c>
      <c r="R40" s="9"/>
      <c r="S40" s="9" t="s">
        <v>113</v>
      </c>
      <c r="T40" s="23" t="s">
        <v>531</v>
      </c>
      <c r="U40" s="27"/>
      <c r="V40" s="28"/>
      <c r="W40" s="14"/>
      <c r="X40" s="16" t="s">
        <v>530</v>
      </c>
    </row>
    <row r="41" spans="1:25" s="33" customFormat="1" x14ac:dyDescent="0.25">
      <c r="A41" s="6">
        <v>37</v>
      </c>
      <c r="B41" s="22" t="s">
        <v>478</v>
      </c>
      <c r="C41" s="13" t="s">
        <v>40</v>
      </c>
      <c r="D41" s="13" t="s">
        <v>453</v>
      </c>
      <c r="E41" s="14" t="s">
        <v>479</v>
      </c>
      <c r="F41" s="14" t="s">
        <v>50</v>
      </c>
      <c r="G41" s="14" t="s">
        <v>480</v>
      </c>
      <c r="H41" s="15">
        <v>12000</v>
      </c>
      <c r="I41" s="8"/>
      <c r="J41" s="21">
        <f t="shared" si="2"/>
        <v>600</v>
      </c>
      <c r="K41" s="21">
        <f t="shared" si="3"/>
        <v>12600</v>
      </c>
      <c r="L41" s="15"/>
      <c r="M41" s="13"/>
      <c r="N41" s="13"/>
      <c r="O41" s="15"/>
      <c r="P41" s="10" t="s">
        <v>146</v>
      </c>
      <c r="Q41" s="9" t="s">
        <v>147</v>
      </c>
      <c r="R41" s="9"/>
      <c r="S41" s="9"/>
      <c r="T41" s="23" t="s">
        <v>481</v>
      </c>
      <c r="U41" s="27"/>
      <c r="V41" s="28"/>
      <c r="W41" s="14"/>
      <c r="X41" s="16" t="s">
        <v>431</v>
      </c>
    </row>
    <row r="42" spans="1:25" s="33" customFormat="1" x14ac:dyDescent="0.25">
      <c r="A42" s="6">
        <v>38</v>
      </c>
      <c r="B42" s="22" t="s">
        <v>518</v>
      </c>
      <c r="C42" s="13" t="s">
        <v>40</v>
      </c>
      <c r="D42" s="13" t="s">
        <v>519</v>
      </c>
      <c r="E42" s="14" t="s">
        <v>144</v>
      </c>
      <c r="F42" s="14" t="s">
        <v>50</v>
      </c>
      <c r="G42" s="14" t="s">
        <v>520</v>
      </c>
      <c r="H42" s="15">
        <v>8000</v>
      </c>
      <c r="I42" s="8"/>
      <c r="J42" s="21">
        <f t="shared" si="2"/>
        <v>400</v>
      </c>
      <c r="K42" s="21">
        <f t="shared" si="3"/>
        <v>8400</v>
      </c>
      <c r="L42" s="15"/>
      <c r="M42" s="13"/>
      <c r="N42" s="13"/>
      <c r="O42" s="15"/>
      <c r="P42" s="10" t="s">
        <v>146</v>
      </c>
      <c r="Q42" s="9" t="s">
        <v>147</v>
      </c>
      <c r="R42" s="9"/>
      <c r="S42" s="9"/>
      <c r="T42" s="23" t="s">
        <v>521</v>
      </c>
      <c r="U42" s="27"/>
      <c r="V42" s="28"/>
      <c r="W42" s="14"/>
      <c r="X42" s="16" t="s">
        <v>522</v>
      </c>
    </row>
    <row r="43" spans="1:25" s="33" customFormat="1" x14ac:dyDescent="0.25">
      <c r="A43" s="6">
        <v>39</v>
      </c>
      <c r="B43" s="22" t="s">
        <v>510</v>
      </c>
      <c r="C43" s="13" t="s">
        <v>40</v>
      </c>
      <c r="D43" s="13" t="s">
        <v>511</v>
      </c>
      <c r="E43" s="14" t="s">
        <v>512</v>
      </c>
      <c r="F43" s="14" t="s">
        <v>386</v>
      </c>
      <c r="G43" s="14" t="s">
        <v>513</v>
      </c>
      <c r="H43" s="15">
        <v>33600</v>
      </c>
      <c r="I43" s="8"/>
      <c r="J43" s="21">
        <f t="shared" si="2"/>
        <v>1680</v>
      </c>
      <c r="K43" s="21">
        <f t="shared" si="3"/>
        <v>35280</v>
      </c>
      <c r="L43" s="15"/>
      <c r="M43" s="13"/>
      <c r="N43" s="13"/>
      <c r="O43" s="15"/>
      <c r="P43" s="10" t="s">
        <v>514</v>
      </c>
      <c r="Q43" s="9" t="s">
        <v>112</v>
      </c>
      <c r="R43" s="9"/>
      <c r="S43" s="9" t="s">
        <v>113</v>
      </c>
      <c r="T43" s="23"/>
      <c r="U43" s="27"/>
      <c r="V43" s="28"/>
      <c r="W43" s="14" t="s">
        <v>523</v>
      </c>
      <c r="X43" s="16" t="s">
        <v>517</v>
      </c>
    </row>
    <row r="44" spans="1:25" s="33" customFormat="1" x14ac:dyDescent="0.25">
      <c r="A44" s="6">
        <v>40</v>
      </c>
      <c r="B44" s="22" t="s">
        <v>630</v>
      </c>
      <c r="C44" s="13" t="s">
        <v>40</v>
      </c>
      <c r="D44" s="13" t="s">
        <v>429</v>
      </c>
      <c r="E44" s="14" t="s">
        <v>632</v>
      </c>
      <c r="F44" s="14" t="s">
        <v>633</v>
      </c>
      <c r="G44" s="14" t="s">
        <v>634</v>
      </c>
      <c r="H44" s="15">
        <v>264400</v>
      </c>
      <c r="I44" s="8"/>
      <c r="J44" s="21">
        <f t="shared" si="2"/>
        <v>13220</v>
      </c>
      <c r="K44" s="21">
        <f t="shared" si="3"/>
        <v>277620</v>
      </c>
      <c r="L44" s="15"/>
      <c r="M44" s="13"/>
      <c r="N44" s="13"/>
      <c r="O44" s="15"/>
      <c r="P44" s="10" t="s">
        <v>635</v>
      </c>
      <c r="Q44" s="9"/>
      <c r="R44" s="9" t="s">
        <v>636</v>
      </c>
      <c r="S44" s="9"/>
      <c r="T44" s="23"/>
      <c r="U44" s="27"/>
      <c r="V44" s="28"/>
      <c r="W44" s="14"/>
      <c r="X44" s="16" t="s">
        <v>637</v>
      </c>
    </row>
    <row r="45" spans="1:25" s="33" customFormat="1" x14ac:dyDescent="0.25">
      <c r="A45" s="6">
        <v>41</v>
      </c>
      <c r="B45" s="22" t="s">
        <v>585</v>
      </c>
      <c r="C45" s="13" t="s">
        <v>40</v>
      </c>
      <c r="D45" s="13" t="s">
        <v>586</v>
      </c>
      <c r="E45" s="14" t="s">
        <v>587</v>
      </c>
      <c r="F45" s="14" t="s">
        <v>50</v>
      </c>
      <c r="G45" s="14" t="s">
        <v>588</v>
      </c>
      <c r="H45" s="15">
        <v>39200</v>
      </c>
      <c r="I45" s="8"/>
      <c r="J45" s="21">
        <f t="shared" si="2"/>
        <v>1960</v>
      </c>
      <c r="K45" s="21">
        <f t="shared" si="3"/>
        <v>41160</v>
      </c>
      <c r="L45" s="15"/>
      <c r="M45" s="13" t="s">
        <v>589</v>
      </c>
      <c r="N45" s="13"/>
      <c r="O45" s="15"/>
      <c r="P45" s="10" t="s">
        <v>590</v>
      </c>
      <c r="Q45" s="9"/>
      <c r="R45" s="9" t="s">
        <v>591</v>
      </c>
      <c r="S45" s="9"/>
      <c r="T45" s="23" t="s">
        <v>592</v>
      </c>
      <c r="U45" s="27"/>
      <c r="V45" s="28"/>
      <c r="W45" s="14"/>
      <c r="X45" s="16" t="s">
        <v>589</v>
      </c>
    </row>
    <row r="46" spans="1:25" s="33" customFormat="1" x14ac:dyDescent="0.25">
      <c r="A46" s="6"/>
      <c r="B46" s="22" t="s">
        <v>758</v>
      </c>
      <c r="C46" s="13" t="s">
        <v>40</v>
      </c>
      <c r="D46" s="13" t="s">
        <v>759</v>
      </c>
      <c r="E46" s="14" t="s">
        <v>760</v>
      </c>
      <c r="F46" s="14" t="s">
        <v>761</v>
      </c>
      <c r="G46" s="14" t="s">
        <v>762</v>
      </c>
      <c r="H46" s="15">
        <v>17000</v>
      </c>
      <c r="I46" s="8" t="s">
        <v>763</v>
      </c>
      <c r="J46" s="21">
        <f t="shared" si="2"/>
        <v>810</v>
      </c>
      <c r="K46" s="21">
        <f t="shared" si="3"/>
        <v>17000</v>
      </c>
      <c r="L46" s="15"/>
      <c r="M46" s="13"/>
      <c r="N46" s="13"/>
      <c r="O46" s="15"/>
      <c r="P46" s="10" t="s">
        <v>760</v>
      </c>
      <c r="Q46" s="9"/>
      <c r="R46" s="9" t="s">
        <v>764</v>
      </c>
      <c r="S46" s="9"/>
      <c r="T46" s="23"/>
      <c r="U46" s="27"/>
      <c r="V46" s="28"/>
      <c r="W46" s="14"/>
      <c r="X46" s="16"/>
    </row>
    <row r="47" spans="1:25" s="33" customFormat="1" x14ac:dyDescent="0.25">
      <c r="A47" s="6">
        <v>42</v>
      </c>
      <c r="B47" s="22" t="s">
        <v>572</v>
      </c>
      <c r="C47" s="13" t="s">
        <v>40</v>
      </c>
      <c r="D47" s="13" t="s">
        <v>573</v>
      </c>
      <c r="E47" s="14" t="s">
        <v>574</v>
      </c>
      <c r="F47" s="14" t="s">
        <v>50</v>
      </c>
      <c r="G47" s="14" t="s">
        <v>575</v>
      </c>
      <c r="H47" s="15">
        <v>64800</v>
      </c>
      <c r="I47" s="8"/>
      <c r="J47" s="21">
        <f t="shared" si="2"/>
        <v>3240</v>
      </c>
      <c r="K47" s="21">
        <f t="shared" si="3"/>
        <v>68040</v>
      </c>
      <c r="L47" s="15"/>
      <c r="M47" s="13" t="s">
        <v>576</v>
      </c>
      <c r="N47" s="13"/>
      <c r="O47" s="15"/>
      <c r="P47" s="10" t="s">
        <v>577</v>
      </c>
      <c r="Q47" s="9"/>
      <c r="R47" s="9" t="s">
        <v>578</v>
      </c>
      <c r="S47" s="9"/>
      <c r="T47" s="23" t="s">
        <v>579</v>
      </c>
      <c r="U47" s="27"/>
      <c r="V47" s="28"/>
      <c r="W47" s="14" t="s">
        <v>580</v>
      </c>
      <c r="X47" s="16" t="s">
        <v>525</v>
      </c>
    </row>
    <row r="48" spans="1:25" s="33" customFormat="1" x14ac:dyDescent="0.25">
      <c r="A48" s="6">
        <v>43</v>
      </c>
      <c r="B48" s="22" t="s">
        <v>698</v>
      </c>
      <c r="C48" s="13" t="s">
        <v>40</v>
      </c>
      <c r="D48" s="13" t="s">
        <v>589</v>
      </c>
      <c r="E48" s="14" t="s">
        <v>700</v>
      </c>
      <c r="F48" s="14" t="s">
        <v>50</v>
      </c>
      <c r="G48" s="14" t="s">
        <v>701</v>
      </c>
      <c r="H48" s="15">
        <v>10000</v>
      </c>
      <c r="I48" s="8"/>
      <c r="J48" s="21">
        <f t="shared" si="2"/>
        <v>500</v>
      </c>
      <c r="K48" s="21">
        <f t="shared" si="3"/>
        <v>10500</v>
      </c>
      <c r="L48" s="15"/>
      <c r="M48" s="13"/>
      <c r="N48" s="13"/>
      <c r="O48" s="15"/>
      <c r="P48" s="10" t="s">
        <v>507</v>
      </c>
      <c r="Q48" s="9"/>
      <c r="R48" s="9" t="s">
        <v>508</v>
      </c>
      <c r="S48" s="9"/>
      <c r="T48" s="23"/>
      <c r="U48" s="27"/>
      <c r="V48" s="28"/>
      <c r="W48" s="14"/>
      <c r="X48" s="16" t="s">
        <v>697</v>
      </c>
    </row>
    <row r="49" spans="1:24" s="33" customFormat="1" x14ac:dyDescent="0.25">
      <c r="A49" s="6">
        <v>44</v>
      </c>
      <c r="B49" s="22" t="s">
        <v>593</v>
      </c>
      <c r="C49" s="13" t="s">
        <v>40</v>
      </c>
      <c r="D49" s="13" t="s">
        <v>595</v>
      </c>
      <c r="E49" s="14" t="s">
        <v>596</v>
      </c>
      <c r="F49" s="14" t="s">
        <v>50</v>
      </c>
      <c r="G49" s="14" t="s">
        <v>619</v>
      </c>
      <c r="H49" s="15">
        <v>27000</v>
      </c>
      <c r="I49" s="8"/>
      <c r="J49" s="21">
        <f t="shared" si="2"/>
        <v>1350</v>
      </c>
      <c r="K49" s="21">
        <f t="shared" si="3"/>
        <v>28350</v>
      </c>
      <c r="L49" s="15"/>
      <c r="M49" s="13" t="s">
        <v>595</v>
      </c>
      <c r="N49" s="13"/>
      <c r="O49" s="15"/>
      <c r="P49" s="10" t="s">
        <v>597</v>
      </c>
      <c r="Q49" s="9" t="s">
        <v>598</v>
      </c>
      <c r="R49" s="9"/>
      <c r="S49" s="9"/>
      <c r="T49" s="23" t="s">
        <v>599</v>
      </c>
      <c r="U49" s="27"/>
      <c r="V49" s="28"/>
      <c r="W49" s="14" t="s">
        <v>580</v>
      </c>
      <c r="X49" s="16" t="s">
        <v>595</v>
      </c>
    </row>
    <row r="50" spans="1:24" s="33" customFormat="1" x14ac:dyDescent="0.25">
      <c r="A50" s="6">
        <v>45</v>
      </c>
      <c r="B50" s="22" t="s">
        <v>594</v>
      </c>
      <c r="C50" s="13" t="s">
        <v>40</v>
      </c>
      <c r="D50" s="13" t="s">
        <v>595</v>
      </c>
      <c r="E50" s="14" t="s">
        <v>601</v>
      </c>
      <c r="F50" s="14" t="s">
        <v>50</v>
      </c>
      <c r="G50" s="14" t="s">
        <v>602</v>
      </c>
      <c r="H50" s="15">
        <v>8500</v>
      </c>
      <c r="I50" s="8"/>
      <c r="J50" s="21">
        <f t="shared" si="2"/>
        <v>425</v>
      </c>
      <c r="K50" s="21">
        <f t="shared" si="3"/>
        <v>8925</v>
      </c>
      <c r="L50" s="15"/>
      <c r="M50" s="13" t="s">
        <v>600</v>
      </c>
      <c r="N50" s="13"/>
      <c r="O50" s="15"/>
      <c r="P50" s="10" t="s">
        <v>514</v>
      </c>
      <c r="Q50" s="9" t="s">
        <v>112</v>
      </c>
      <c r="R50" s="9"/>
      <c r="S50" s="9"/>
      <c r="T50" s="23" t="s">
        <v>604</v>
      </c>
      <c r="U50" s="27"/>
      <c r="V50" s="28"/>
      <c r="W50" s="14"/>
      <c r="X50" s="16" t="s">
        <v>600</v>
      </c>
    </row>
    <row r="51" spans="1:24" s="33" customFormat="1" ht="36" customHeight="1" x14ac:dyDescent="0.25">
      <c r="A51" s="6">
        <v>46</v>
      </c>
      <c r="B51" s="22" t="s">
        <v>615</v>
      </c>
      <c r="C51" s="13" t="s">
        <v>40</v>
      </c>
      <c r="D51" s="13" t="s">
        <v>616</v>
      </c>
      <c r="E51" s="14" t="s">
        <v>617</v>
      </c>
      <c r="F51" s="14" t="s">
        <v>618</v>
      </c>
      <c r="G51" s="14" t="s">
        <v>620</v>
      </c>
      <c r="H51" s="15">
        <v>48000</v>
      </c>
      <c r="I51" s="8"/>
      <c r="J51" s="21">
        <f t="shared" si="2"/>
        <v>2400</v>
      </c>
      <c r="K51" s="21">
        <f t="shared" si="3"/>
        <v>50400</v>
      </c>
      <c r="L51" s="15"/>
      <c r="M51" s="13"/>
      <c r="N51" s="13"/>
      <c r="O51" s="15"/>
      <c r="P51" s="10" t="s">
        <v>621</v>
      </c>
      <c r="Q51" s="9"/>
      <c r="R51" s="9" t="s">
        <v>622</v>
      </c>
      <c r="S51" s="9"/>
      <c r="T51" s="23" t="s">
        <v>722</v>
      </c>
      <c r="U51" s="27"/>
      <c r="V51" s="28"/>
      <c r="W51" s="14"/>
      <c r="X51" s="16" t="s">
        <v>639</v>
      </c>
    </row>
    <row r="52" spans="1:24" x14ac:dyDescent="0.25">
      <c r="A52" s="6">
        <v>47</v>
      </c>
      <c r="B52" s="22" t="s">
        <v>638</v>
      </c>
      <c r="C52" s="13" t="s">
        <v>40</v>
      </c>
      <c r="D52" s="13" t="s">
        <v>639</v>
      </c>
      <c r="E52" s="14" t="s">
        <v>640</v>
      </c>
      <c r="F52" s="14" t="s">
        <v>50</v>
      </c>
      <c r="G52" s="14" t="s">
        <v>641</v>
      </c>
      <c r="H52" s="15">
        <v>4000</v>
      </c>
      <c r="I52" s="8"/>
      <c r="J52" s="21">
        <f t="shared" si="2"/>
        <v>200</v>
      </c>
      <c r="K52" s="21">
        <f t="shared" si="3"/>
        <v>4200</v>
      </c>
      <c r="L52" s="15"/>
      <c r="M52" s="13" t="s">
        <v>642</v>
      </c>
      <c r="N52" s="13"/>
      <c r="O52" s="15"/>
      <c r="P52" s="10" t="s">
        <v>643</v>
      </c>
      <c r="Q52" s="9"/>
      <c r="R52" s="9" t="s">
        <v>644</v>
      </c>
      <c r="S52" s="9"/>
      <c r="T52" s="23"/>
      <c r="U52" s="27"/>
      <c r="V52" s="28"/>
      <c r="W52" s="14" t="s">
        <v>666</v>
      </c>
      <c r="X52" s="16" t="s">
        <v>642</v>
      </c>
    </row>
    <row r="53" spans="1:24" x14ac:dyDescent="0.25">
      <c r="A53" s="6">
        <v>48</v>
      </c>
      <c r="B53" s="22" t="s">
        <v>671</v>
      </c>
      <c r="C53" s="13" t="s">
        <v>40</v>
      </c>
      <c r="D53" s="13" t="s">
        <v>642</v>
      </c>
      <c r="E53" s="14" t="s">
        <v>673</v>
      </c>
      <c r="F53" s="14" t="s">
        <v>50</v>
      </c>
      <c r="G53" s="14" t="s">
        <v>674</v>
      </c>
      <c r="H53" s="15">
        <v>8000</v>
      </c>
      <c r="I53" s="8"/>
      <c r="J53" s="21">
        <f t="shared" si="2"/>
        <v>400</v>
      </c>
      <c r="K53" s="21">
        <f t="shared" si="3"/>
        <v>8400</v>
      </c>
      <c r="L53" s="15"/>
      <c r="M53" s="13"/>
      <c r="N53" s="13"/>
      <c r="O53" s="15"/>
      <c r="P53" s="10"/>
      <c r="Q53" s="9"/>
      <c r="R53" s="9"/>
      <c r="S53" s="9"/>
      <c r="T53" s="23"/>
      <c r="U53" s="27"/>
      <c r="V53" s="28"/>
      <c r="W53" s="14"/>
      <c r="X53" s="16" t="s">
        <v>675</v>
      </c>
    </row>
    <row r="54" spans="1:24" x14ac:dyDescent="0.25">
      <c r="A54" s="6">
        <v>49</v>
      </c>
      <c r="B54" s="22" t="s">
        <v>704</v>
      </c>
      <c r="C54" s="13" t="s">
        <v>40</v>
      </c>
      <c r="D54" s="13" t="s">
        <v>705</v>
      </c>
      <c r="E54" s="14" t="s">
        <v>706</v>
      </c>
      <c r="F54" s="14" t="s">
        <v>50</v>
      </c>
      <c r="G54" s="14" t="s">
        <v>707</v>
      </c>
      <c r="H54" s="15">
        <v>1000</v>
      </c>
      <c r="I54" s="8" t="s">
        <v>40</v>
      </c>
      <c r="J54" s="21">
        <f t="shared" si="2"/>
        <v>48</v>
      </c>
      <c r="K54" s="21">
        <f t="shared" si="3"/>
        <v>1000</v>
      </c>
      <c r="L54" s="15"/>
      <c r="M54" s="13" t="s">
        <v>705</v>
      </c>
      <c r="N54" s="13"/>
      <c r="O54" s="15"/>
      <c r="P54" s="10" t="s">
        <v>710</v>
      </c>
      <c r="Q54" s="9"/>
      <c r="R54" s="9" t="s">
        <v>711</v>
      </c>
      <c r="S54" s="9"/>
      <c r="T54" s="23"/>
      <c r="U54" s="27"/>
      <c r="V54" s="28"/>
      <c r="W54" s="14" t="s">
        <v>580</v>
      </c>
      <c r="X54" s="16" t="s">
        <v>705</v>
      </c>
    </row>
    <row r="55" spans="1:24" ht="32.25" customHeight="1" x14ac:dyDescent="0.25">
      <c r="A55" s="6"/>
      <c r="B55" s="22" t="s">
        <v>713</v>
      </c>
      <c r="C55" s="13" t="s">
        <v>40</v>
      </c>
      <c r="D55" s="13" t="s">
        <v>714</v>
      </c>
      <c r="E55" s="14" t="s">
        <v>715</v>
      </c>
      <c r="F55" s="14" t="s">
        <v>716</v>
      </c>
      <c r="G55" s="14" t="s">
        <v>717</v>
      </c>
      <c r="H55" s="15">
        <v>10000</v>
      </c>
      <c r="I55" s="8"/>
      <c r="J55" s="21">
        <f t="shared" si="2"/>
        <v>500</v>
      </c>
      <c r="K55" s="21">
        <f t="shared" si="3"/>
        <v>10500</v>
      </c>
      <c r="L55" s="15"/>
      <c r="M55" s="13"/>
      <c r="N55" s="13"/>
      <c r="O55" s="15"/>
      <c r="P55" s="10" t="s">
        <v>718</v>
      </c>
      <c r="Q55" s="9"/>
      <c r="R55" s="9" t="s">
        <v>719</v>
      </c>
      <c r="S55" s="9"/>
      <c r="T55" s="23" t="s">
        <v>720</v>
      </c>
      <c r="U55" s="27"/>
      <c r="V55" s="28"/>
      <c r="W55" s="14"/>
      <c r="X55" s="16" t="s">
        <v>721</v>
      </c>
    </row>
    <row r="56" spans="1:24" x14ac:dyDescent="0.25">
      <c r="A56" s="6"/>
      <c r="B56" s="22"/>
      <c r="C56" s="13"/>
      <c r="D56" s="13"/>
      <c r="E56" s="36"/>
      <c r="F56" s="14"/>
      <c r="G56" s="14"/>
      <c r="H56" s="15"/>
      <c r="I56" s="8"/>
      <c r="J56" s="21">
        <f t="shared" si="2"/>
        <v>0</v>
      </c>
      <c r="K56" s="21">
        <f t="shared" si="3"/>
        <v>0</v>
      </c>
      <c r="L56" s="15"/>
      <c r="M56" s="13"/>
      <c r="N56" s="13"/>
      <c r="O56" s="15"/>
      <c r="P56" s="10"/>
      <c r="Q56" s="9"/>
      <c r="R56" s="9"/>
      <c r="S56" s="9"/>
      <c r="T56" s="23"/>
      <c r="U56" s="27"/>
      <c r="V56" s="28"/>
      <c r="W56" s="14"/>
      <c r="X56" s="16"/>
    </row>
    <row r="57" spans="1:24" x14ac:dyDescent="0.25">
      <c r="A57" s="6"/>
      <c r="B57" s="22"/>
      <c r="C57" s="13"/>
      <c r="D57" s="13"/>
      <c r="E57" s="14"/>
      <c r="F57" s="14"/>
      <c r="G57" s="14"/>
      <c r="H57" s="15"/>
      <c r="I57" s="8"/>
      <c r="J57" s="21"/>
      <c r="K57" s="21"/>
      <c r="L57" s="15"/>
      <c r="M57" s="13"/>
      <c r="N57" s="13"/>
      <c r="O57" s="15"/>
      <c r="P57" s="10"/>
      <c r="Q57" s="9"/>
      <c r="R57" s="9"/>
      <c r="S57" s="9"/>
      <c r="T57" s="23"/>
      <c r="U57" s="27"/>
      <c r="V57" s="28"/>
      <c r="W57" s="14"/>
      <c r="X57" s="16"/>
    </row>
  </sheetData>
  <autoFilter ref="A1:Y56"/>
  <phoneticPr fontId="3" type="noConversion"/>
  <pageMargins left="0.47244094488188981" right="0.47244094488188981" top="0.74803149606299213" bottom="0.74803149606299213" header="0.31496062992125984" footer="0.31496062992125984"/>
  <pageSetup paperSize="9" scale="3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11"/>
  <sheetViews>
    <sheetView zoomScale="91" zoomScaleNormal="91" workbookViewId="0">
      <pane xSplit="6" ySplit="1" topLeftCell="G2" activePane="bottomRight" state="frozen"/>
      <selection pane="topRight" activeCell="G1" sqref="G1"/>
      <selection pane="bottomLeft" activeCell="A2" sqref="A2"/>
      <selection pane="bottomRight" activeCell="E21" sqref="E21"/>
    </sheetView>
  </sheetViews>
  <sheetFormatPr defaultRowHeight="16.5" x14ac:dyDescent="0.25"/>
  <cols>
    <col min="1" max="1" width="6.75" bestFit="1" customWidth="1"/>
    <col min="2" max="2" width="15.375" bestFit="1" customWidth="1"/>
    <col min="3" max="4" width="12.5" bestFit="1" customWidth="1"/>
    <col min="5" max="5" width="29" style="24" customWidth="1"/>
    <col min="6" max="6" width="51.625" style="24" customWidth="1"/>
    <col min="7" max="7" width="38.25" style="24" customWidth="1"/>
    <col min="8" max="8" width="14" customWidth="1"/>
    <col min="9" max="9" width="9.625" customWidth="1"/>
    <col min="10" max="10" width="10.625" customWidth="1"/>
    <col min="11" max="11" width="12.625" customWidth="1"/>
    <col min="12" max="13" width="12.5" customWidth="1"/>
    <col min="14" max="14" width="19.375" customWidth="1"/>
    <col min="15" max="15" width="12.5" customWidth="1"/>
    <col min="16" max="16" width="16.125" customWidth="1"/>
    <col min="17" max="17" width="24.25" customWidth="1"/>
    <col min="18" max="18" width="14.125" customWidth="1"/>
    <col min="19" max="19" width="15.375" customWidth="1"/>
    <col min="20" max="20" width="12.5" customWidth="1"/>
    <col min="21" max="21" width="32.875" customWidth="1"/>
    <col min="22" max="22" width="39.375" customWidth="1"/>
    <col min="23" max="23" width="55.25" style="24" customWidth="1"/>
    <col min="24" max="24" width="17.5" customWidth="1"/>
    <col min="25" max="25" width="7" style="33" bestFit="1" customWidth="1"/>
    <col min="26" max="26" width="43.5" customWidth="1"/>
  </cols>
  <sheetData>
    <row r="1" spans="1:25" ht="21" x14ac:dyDescent="0.25">
      <c r="A1" s="1" t="s">
        <v>0</v>
      </c>
      <c r="B1" s="2" t="s">
        <v>1</v>
      </c>
      <c r="C1" s="2" t="s">
        <v>2</v>
      </c>
      <c r="D1" s="2" t="s">
        <v>3</v>
      </c>
      <c r="E1" s="3" t="s">
        <v>4</v>
      </c>
      <c r="F1" s="3" t="s">
        <v>5</v>
      </c>
      <c r="G1" s="3" t="s">
        <v>6</v>
      </c>
      <c r="H1" s="2" t="s">
        <v>7</v>
      </c>
      <c r="I1" s="2" t="s">
        <v>8</v>
      </c>
      <c r="J1" s="2" t="s">
        <v>9</v>
      </c>
      <c r="K1" s="2" t="s">
        <v>10</v>
      </c>
      <c r="L1" s="4" t="s">
        <v>11</v>
      </c>
      <c r="M1" s="2" t="s">
        <v>12</v>
      </c>
      <c r="N1" s="25" t="s">
        <v>13</v>
      </c>
      <c r="O1" s="25" t="s">
        <v>14</v>
      </c>
      <c r="P1" s="2" t="s">
        <v>15</v>
      </c>
      <c r="Q1" s="2" t="s">
        <v>16</v>
      </c>
      <c r="R1" s="2" t="s">
        <v>17</v>
      </c>
      <c r="S1" s="2" t="s">
        <v>18</v>
      </c>
      <c r="T1" s="2" t="s">
        <v>19</v>
      </c>
      <c r="U1" s="2" t="s">
        <v>20</v>
      </c>
      <c r="V1" s="2" t="s">
        <v>21</v>
      </c>
      <c r="W1" s="30" t="s">
        <v>22</v>
      </c>
      <c r="X1" s="5" t="s">
        <v>23</v>
      </c>
      <c r="Y1" s="34" t="s">
        <v>24</v>
      </c>
    </row>
    <row r="2" spans="1:25" x14ac:dyDescent="0.25">
      <c r="A2" s="6"/>
      <c r="B2" s="22"/>
      <c r="C2" s="13"/>
      <c r="D2" s="13"/>
      <c r="E2" s="14"/>
      <c r="F2" s="14"/>
      <c r="G2" s="14"/>
      <c r="H2" s="15"/>
      <c r="I2" s="8"/>
      <c r="J2" s="21"/>
      <c r="K2" s="21"/>
      <c r="L2" s="15"/>
      <c r="M2" s="13"/>
      <c r="N2" s="13"/>
      <c r="O2" s="15"/>
      <c r="P2" s="10"/>
      <c r="Q2" s="9"/>
      <c r="R2" s="9"/>
      <c r="S2" s="9"/>
      <c r="T2" s="23"/>
      <c r="U2" s="27"/>
      <c r="V2" s="28"/>
      <c r="W2" s="14"/>
      <c r="X2" s="16"/>
    </row>
    <row r="3" spans="1:25" s="41" customFormat="1" ht="33.75" customHeight="1" x14ac:dyDescent="0.25">
      <c r="A3" s="6">
        <v>1</v>
      </c>
      <c r="B3" s="22" t="s">
        <v>34</v>
      </c>
      <c r="C3" s="13" t="s">
        <v>25</v>
      </c>
      <c r="D3" s="13" t="s">
        <v>35</v>
      </c>
      <c r="E3" s="14" t="s">
        <v>36</v>
      </c>
      <c r="F3" s="36" t="s">
        <v>37</v>
      </c>
      <c r="G3" s="36" t="s">
        <v>38</v>
      </c>
      <c r="H3" s="37">
        <v>229200</v>
      </c>
      <c r="I3" s="8"/>
      <c r="J3" s="38">
        <f t="shared" ref="J3:J11" si="0">IF(I3="",ROUND(H3*0.05,0),ROUND(H3/1.05*0.05,0))</f>
        <v>11460</v>
      </c>
      <c r="K3" s="38">
        <f t="shared" ref="K3:K11" si="1">IF(I3="",H3+J3,H3)</f>
        <v>240660</v>
      </c>
      <c r="L3" s="37"/>
      <c r="M3" s="13"/>
      <c r="N3" s="13"/>
      <c r="O3" s="37"/>
      <c r="P3" s="36" t="s">
        <v>39</v>
      </c>
      <c r="Q3" s="39"/>
      <c r="R3" s="39"/>
      <c r="S3" s="39"/>
      <c r="T3" s="23"/>
      <c r="U3" s="27"/>
      <c r="V3" s="28"/>
      <c r="W3" s="36"/>
      <c r="X3" s="40"/>
      <c r="Y3" s="33" t="s">
        <v>40</v>
      </c>
    </row>
    <row r="4" spans="1:25" s="41" customFormat="1" ht="33.75" customHeight="1" x14ac:dyDescent="0.25">
      <c r="A4" s="6"/>
      <c r="B4" s="22" t="s">
        <v>676</v>
      </c>
      <c r="C4" s="13" t="s">
        <v>25</v>
      </c>
      <c r="D4" s="13" t="s">
        <v>642</v>
      </c>
      <c r="E4" s="14" t="s">
        <v>679</v>
      </c>
      <c r="F4" s="36" t="s">
        <v>678</v>
      </c>
      <c r="G4" s="36" t="s">
        <v>677</v>
      </c>
      <c r="H4" s="37">
        <v>49800</v>
      </c>
      <c r="I4" s="8"/>
      <c r="J4" s="38">
        <f t="shared" si="0"/>
        <v>2490</v>
      </c>
      <c r="K4" s="38">
        <f t="shared" si="1"/>
        <v>52290</v>
      </c>
      <c r="L4" s="37"/>
      <c r="M4" s="13"/>
      <c r="N4" s="13"/>
      <c r="O4" s="37"/>
      <c r="P4" s="36" t="s">
        <v>679</v>
      </c>
      <c r="Q4" s="39"/>
      <c r="R4" s="39" t="s">
        <v>680</v>
      </c>
      <c r="S4" s="39"/>
      <c r="T4" s="23"/>
      <c r="U4" s="27"/>
      <c r="V4" s="28"/>
      <c r="W4" s="36" t="s">
        <v>681</v>
      </c>
      <c r="X4" s="40" t="s">
        <v>682</v>
      </c>
      <c r="Y4" s="33"/>
    </row>
    <row r="5" spans="1:25" x14ac:dyDescent="0.25">
      <c r="A5" s="6"/>
      <c r="B5" s="22"/>
      <c r="C5" s="13"/>
      <c r="D5" s="13"/>
      <c r="E5" s="14"/>
      <c r="F5" s="14"/>
      <c r="G5" s="14"/>
      <c r="H5" s="15"/>
      <c r="I5" s="8"/>
      <c r="J5" s="21">
        <f t="shared" si="0"/>
        <v>0</v>
      </c>
      <c r="K5" s="21">
        <f t="shared" si="1"/>
        <v>0</v>
      </c>
      <c r="L5" s="15"/>
      <c r="M5" s="13"/>
      <c r="N5" s="13"/>
      <c r="O5" s="15"/>
      <c r="P5" s="10"/>
      <c r="Q5" s="9"/>
      <c r="R5" s="9"/>
      <c r="S5" s="9"/>
      <c r="T5" s="23"/>
      <c r="U5" s="27"/>
      <c r="V5" s="28"/>
      <c r="W5" s="14"/>
      <c r="X5" s="16"/>
    </row>
    <row r="6" spans="1:25" x14ac:dyDescent="0.25">
      <c r="A6" s="6"/>
      <c r="B6" s="22"/>
      <c r="C6" s="13"/>
      <c r="D6" s="13"/>
      <c r="E6" s="14"/>
      <c r="F6" s="14"/>
      <c r="G6" s="14"/>
      <c r="H6" s="15"/>
      <c r="I6" s="8"/>
      <c r="J6" s="21">
        <f t="shared" si="0"/>
        <v>0</v>
      </c>
      <c r="K6" s="21">
        <f t="shared" si="1"/>
        <v>0</v>
      </c>
      <c r="L6" s="15"/>
      <c r="M6" s="13"/>
      <c r="N6" s="10"/>
      <c r="O6" s="15"/>
      <c r="P6" s="10"/>
      <c r="Q6" s="9"/>
      <c r="R6" s="9"/>
      <c r="S6" s="9"/>
      <c r="T6" s="23"/>
      <c r="U6" s="27"/>
      <c r="V6" s="28"/>
      <c r="W6" s="14"/>
      <c r="X6" s="31"/>
      <c r="Y6" s="32"/>
    </row>
    <row r="7" spans="1:25" x14ac:dyDescent="0.25">
      <c r="A7" s="13"/>
      <c r="B7" s="22"/>
      <c r="C7" s="13"/>
      <c r="D7" s="13"/>
      <c r="E7" s="14"/>
      <c r="F7" s="14"/>
      <c r="G7" s="14"/>
      <c r="H7" s="15"/>
      <c r="I7" s="8"/>
      <c r="J7" s="21">
        <f t="shared" si="0"/>
        <v>0</v>
      </c>
      <c r="K7" s="21">
        <f t="shared" si="1"/>
        <v>0</v>
      </c>
      <c r="L7" s="15"/>
      <c r="M7" s="13"/>
      <c r="N7" s="10"/>
      <c r="O7" s="15"/>
      <c r="P7" s="10"/>
      <c r="Q7" s="9"/>
      <c r="R7" s="9"/>
      <c r="S7" s="9"/>
      <c r="T7" s="23"/>
      <c r="U7" s="27"/>
      <c r="V7" s="28"/>
      <c r="W7" s="14"/>
      <c r="X7" s="16"/>
      <c r="Y7" s="32"/>
    </row>
    <row r="8" spans="1:25" x14ac:dyDescent="0.25">
      <c r="A8" s="13"/>
      <c r="B8" s="22" t="s">
        <v>396</v>
      </c>
      <c r="C8" s="13"/>
      <c r="D8" s="13" t="s">
        <v>388</v>
      </c>
      <c r="E8" s="14" t="s">
        <v>398</v>
      </c>
      <c r="F8" s="14" t="s">
        <v>399</v>
      </c>
      <c r="G8" s="14" t="s">
        <v>400</v>
      </c>
      <c r="H8" s="15">
        <v>52000</v>
      </c>
      <c r="I8" s="8"/>
      <c r="J8" s="21">
        <f t="shared" si="0"/>
        <v>2600</v>
      </c>
      <c r="K8" s="21">
        <f t="shared" si="1"/>
        <v>54600</v>
      </c>
      <c r="L8" s="15"/>
      <c r="M8" s="13"/>
      <c r="N8" s="13"/>
      <c r="O8" s="13"/>
      <c r="P8" s="10" t="s">
        <v>401</v>
      </c>
      <c r="Q8" s="9" t="s">
        <v>402</v>
      </c>
      <c r="R8" s="9"/>
      <c r="S8" s="9"/>
      <c r="T8" s="23" t="s">
        <v>403</v>
      </c>
      <c r="U8" s="27"/>
      <c r="V8" s="28" t="s">
        <v>404</v>
      </c>
      <c r="W8" s="14"/>
      <c r="X8" s="16"/>
    </row>
    <row r="9" spans="1:25" x14ac:dyDescent="0.25">
      <c r="A9" s="13"/>
      <c r="B9" s="22"/>
      <c r="C9" s="13"/>
      <c r="D9" s="13"/>
      <c r="E9" s="14"/>
      <c r="F9" s="14"/>
      <c r="G9" s="14"/>
      <c r="H9" s="15"/>
      <c r="I9" s="8"/>
      <c r="J9" s="21"/>
      <c r="K9" s="21"/>
      <c r="L9" s="15"/>
      <c r="M9" s="13"/>
      <c r="N9" s="13"/>
      <c r="O9" s="13"/>
      <c r="P9" s="10"/>
      <c r="Q9" s="9"/>
      <c r="R9" s="9"/>
      <c r="S9" s="9"/>
      <c r="T9" s="23"/>
      <c r="U9" s="27"/>
      <c r="V9" s="28"/>
      <c r="W9" s="14"/>
      <c r="X9" s="16"/>
    </row>
    <row r="10" spans="1:25" x14ac:dyDescent="0.25">
      <c r="A10" s="13"/>
      <c r="B10" s="22"/>
      <c r="C10" s="13"/>
      <c r="D10" s="13"/>
      <c r="E10" s="14"/>
      <c r="F10" s="14"/>
      <c r="G10" s="14"/>
      <c r="H10" s="15"/>
      <c r="I10" s="8"/>
      <c r="J10" s="21">
        <f t="shared" si="0"/>
        <v>0</v>
      </c>
      <c r="K10" s="21">
        <f t="shared" si="1"/>
        <v>0</v>
      </c>
      <c r="L10" s="15"/>
      <c r="M10" s="13"/>
      <c r="N10" s="13"/>
      <c r="O10" s="13"/>
      <c r="P10" s="10"/>
      <c r="Q10" s="9"/>
      <c r="R10" s="9"/>
      <c r="S10" s="9"/>
      <c r="T10" s="23"/>
      <c r="U10" s="29"/>
      <c r="V10" s="28"/>
      <c r="W10" s="14"/>
      <c r="X10" s="16"/>
    </row>
    <row r="11" spans="1:25" s="33" customFormat="1" x14ac:dyDescent="0.25">
      <c r="A11" s="13"/>
      <c r="B11" s="22"/>
      <c r="C11" s="13"/>
      <c r="D11" s="13"/>
      <c r="E11" s="14"/>
      <c r="F11" s="14"/>
      <c r="G11" s="14"/>
      <c r="H11" s="15"/>
      <c r="I11" s="8"/>
      <c r="J11" s="21">
        <f t="shared" si="0"/>
        <v>0</v>
      </c>
      <c r="K11" s="21">
        <f t="shared" si="1"/>
        <v>0</v>
      </c>
      <c r="L11" s="15"/>
      <c r="M11" s="13"/>
      <c r="N11" s="13"/>
      <c r="O11" s="13"/>
      <c r="P11" s="10"/>
      <c r="Q11" s="9"/>
      <c r="R11" s="9"/>
      <c r="S11" s="9"/>
      <c r="T11" s="23"/>
      <c r="U11" s="22"/>
      <c r="V11" s="28"/>
      <c r="W11" s="14"/>
      <c r="X11" s="16"/>
    </row>
  </sheetData>
  <autoFilter ref="A1:Y1"/>
  <phoneticPr fontId="3" type="noConversion"/>
  <pageMargins left="0.47244094488188981" right="0.47244094488188981" top="0.74803149606299213" bottom="0.74803149606299213" header="0.31496062992125984" footer="0.31496062992125984"/>
  <pageSetup paperSize="9" scale="3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原始</vt:lpstr>
      <vt:lpstr>老闆</vt:lpstr>
      <vt:lpstr>慶忠</vt:lpstr>
      <vt:lpstr>元宏</vt:lpstr>
      <vt:lpstr>其他</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dc:creator>
  <cp:lastModifiedBy>User1</cp:lastModifiedBy>
  <dcterms:created xsi:type="dcterms:W3CDTF">2022-01-12T03:46:30Z</dcterms:created>
  <dcterms:modified xsi:type="dcterms:W3CDTF">2026-03-16T04:17:32Z</dcterms:modified>
</cp:coreProperties>
</file>