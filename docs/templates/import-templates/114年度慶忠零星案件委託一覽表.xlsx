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CKProject\CK_Missive\#BUG\"/>
    </mc:Choice>
  </mc:AlternateContent>
  <xr:revisionPtr revIDLastSave="0" documentId="13_ncr:1_{45C5C22D-A894-4EDA-82FD-03FA10F45AB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工作表1" sheetId="1" r:id="rId1"/>
  </sheets>
  <definedNames>
    <definedName name="_xlnm._FilterDatabase" localSheetId="0" hidden="1">工作表1!$D$1:$D$29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2" i="1" l="1"/>
  <c r="Q72" i="1" s="1"/>
  <c r="M72" i="1"/>
  <c r="N72" i="1" s="1"/>
  <c r="I72" i="1"/>
  <c r="J72" i="1" s="1"/>
  <c r="O72" i="1" s="1"/>
  <c r="R72" i="1" l="1"/>
  <c r="S72" i="1" s="1"/>
  <c r="P70" i="1" l="1"/>
  <c r="Q70" i="1" s="1"/>
  <c r="P71" i="1"/>
  <c r="Q71" i="1" s="1"/>
  <c r="N71" i="1"/>
  <c r="I71" i="1"/>
  <c r="J71" i="1" s="1"/>
  <c r="O71" i="1" s="1"/>
  <c r="R70" i="1" l="1"/>
  <c r="S70" i="1" s="1"/>
  <c r="R71" i="1"/>
  <c r="S71" i="1" s="1"/>
  <c r="O70" i="1"/>
  <c r="M70" i="1"/>
  <c r="N70" i="1" s="1"/>
  <c r="I70" i="1"/>
  <c r="J70" i="1" s="1"/>
  <c r="P69" i="1" l="1"/>
  <c r="R69" i="1" s="1"/>
  <c r="S69" i="1" s="1"/>
  <c r="O69" i="1"/>
  <c r="N69" i="1"/>
  <c r="I69" i="1"/>
  <c r="J69" i="1" s="1"/>
  <c r="Q69" i="1" l="1"/>
  <c r="I68" i="1" l="1"/>
  <c r="J68" i="1" s="1"/>
  <c r="P67" i="1" l="1"/>
  <c r="Q67" i="1" s="1"/>
  <c r="R67" i="1"/>
  <c r="S67" i="1" s="1"/>
  <c r="O67" i="1"/>
  <c r="M67" i="1"/>
  <c r="N67" i="1" s="1"/>
  <c r="I67" i="1"/>
  <c r="J67" i="1" s="1"/>
  <c r="P66" i="1"/>
  <c r="R66" i="1" s="1"/>
  <c r="S66" i="1" s="1"/>
  <c r="O66" i="1"/>
  <c r="N66" i="1"/>
  <c r="M66" i="1"/>
  <c r="J66" i="1"/>
  <c r="I66" i="1"/>
  <c r="P64" i="1"/>
  <c r="R64" i="1" s="1"/>
  <c r="S64" i="1" s="1"/>
  <c r="O64" i="1"/>
  <c r="N64" i="1"/>
  <c r="L64" i="1"/>
  <c r="I64" i="1"/>
  <c r="J64" i="1" s="1"/>
  <c r="Q66" i="1" l="1"/>
  <c r="Q64" i="1"/>
  <c r="I63" i="1" l="1"/>
  <c r="J63" i="1" s="1"/>
  <c r="P62" i="1"/>
  <c r="R62" i="1" s="1"/>
  <c r="S62" i="1" s="1"/>
  <c r="O62" i="1"/>
  <c r="M62" i="1"/>
  <c r="N62" i="1" s="1"/>
  <c r="I62" i="1"/>
  <c r="J62" i="1" s="1"/>
  <c r="Q62" i="1" l="1"/>
  <c r="I61" i="1" l="1"/>
  <c r="J61" i="1" s="1"/>
  <c r="I60" i="1" l="1"/>
  <c r="J60" i="1" s="1"/>
  <c r="J59" i="1" l="1"/>
  <c r="I59" i="1"/>
  <c r="J58" i="1" l="1"/>
  <c r="I58" i="1"/>
  <c r="P57" i="1"/>
  <c r="R57" i="1" s="1"/>
  <c r="S57" i="1" s="1"/>
  <c r="O57" i="1"/>
  <c r="N57" i="1"/>
  <c r="M57" i="1"/>
  <c r="J57" i="1"/>
  <c r="I57" i="1"/>
  <c r="Q57" i="1" l="1"/>
  <c r="J56" i="1"/>
  <c r="I56" i="1"/>
  <c r="J55" i="1" l="1"/>
  <c r="P54" i="1" l="1"/>
  <c r="R54" i="1" s="1"/>
  <c r="S54" i="1" s="1"/>
  <c r="O54" i="1"/>
  <c r="N54" i="1"/>
  <c r="J54" i="1"/>
  <c r="Q54" i="1" l="1"/>
  <c r="I53" i="1"/>
  <c r="J53" i="1" s="1"/>
  <c r="P51" i="1" l="1"/>
  <c r="Q51" i="1" s="1"/>
  <c r="P52" i="1"/>
  <c r="R52" i="1" s="1"/>
  <c r="S52" i="1" s="1"/>
  <c r="Q52" i="1"/>
  <c r="O52" i="1"/>
  <c r="O51" i="1"/>
  <c r="I52" i="1"/>
  <c r="J52" i="1" s="1"/>
  <c r="I51" i="1"/>
  <c r="J51" i="1" s="1"/>
  <c r="R51" i="1" l="1"/>
  <c r="S51" i="1" s="1"/>
  <c r="P50" i="1"/>
  <c r="R50" i="1" s="1"/>
  <c r="S50" i="1" s="1"/>
  <c r="P47" i="1"/>
  <c r="R47" i="1" s="1"/>
  <c r="S47" i="1" s="1"/>
  <c r="O50" i="1"/>
  <c r="N50" i="1"/>
  <c r="Q50" i="1" l="1"/>
  <c r="Q47" i="1"/>
  <c r="J50" i="1"/>
  <c r="I50" i="1"/>
  <c r="I48" i="1" l="1"/>
  <c r="J48" i="1" s="1"/>
  <c r="O47" i="1" l="1"/>
  <c r="L47" i="1"/>
  <c r="N47" i="1" s="1"/>
  <c r="J47" i="1"/>
  <c r="I47" i="1"/>
  <c r="J46" i="1" l="1"/>
  <c r="I46" i="1"/>
  <c r="O45" i="1" l="1"/>
  <c r="P45" i="1" s="1"/>
  <c r="R45" i="1" s="1"/>
  <c r="S45" i="1" s="1"/>
  <c r="P41" i="1"/>
  <c r="R41" i="1" s="1"/>
  <c r="S41" i="1" s="1"/>
  <c r="N45" i="1"/>
  <c r="M45" i="1"/>
  <c r="L45" i="1"/>
  <c r="I45" i="1"/>
  <c r="J45" i="1" s="1"/>
  <c r="Q45" i="1" l="1"/>
  <c r="Q41" i="1"/>
  <c r="J44" i="1" l="1"/>
  <c r="I44" i="1"/>
  <c r="J43" i="1" l="1"/>
  <c r="J42" i="1" l="1"/>
  <c r="O41" i="1" l="1"/>
  <c r="N41" i="1"/>
  <c r="I41" i="1"/>
  <c r="J41" i="1" s="1"/>
  <c r="P40" i="1" l="1"/>
  <c r="Q40" i="1" s="1"/>
  <c r="R40" i="1"/>
  <c r="S40" i="1" s="1"/>
  <c r="O40" i="1"/>
  <c r="N40" i="1"/>
  <c r="M40" i="1"/>
  <c r="L40" i="1"/>
  <c r="I40" i="1"/>
  <c r="J40" i="1" s="1"/>
  <c r="I36" i="1"/>
  <c r="J36" i="1" s="1"/>
  <c r="P36" i="1" s="1"/>
  <c r="I35" i="1"/>
  <c r="J35" i="1" s="1"/>
  <c r="N39" i="1"/>
  <c r="I39" i="1"/>
  <c r="J39" i="1" s="1"/>
  <c r="L38" i="1"/>
  <c r="N38" i="1" s="1"/>
  <c r="I38" i="1"/>
  <c r="J38" i="1" s="1"/>
  <c r="I37" i="1"/>
  <c r="J37" i="1" s="1"/>
  <c r="O37" i="1" s="1"/>
  <c r="J34" i="1"/>
  <c r="P34" i="1" s="1"/>
  <c r="Q34" i="1" s="1"/>
  <c r="J33" i="1"/>
  <c r="P33" i="1" s="1"/>
  <c r="Q33" i="1" s="1"/>
  <c r="I31" i="1"/>
  <c r="J31" i="1" s="1"/>
  <c r="P31" i="1" s="1"/>
  <c r="Q31" i="1" s="1"/>
  <c r="J32" i="1"/>
  <c r="J30" i="1"/>
  <c r="N30" i="1" s="1"/>
  <c r="L28" i="1"/>
  <c r="N28" i="1" s="1"/>
  <c r="J29" i="1"/>
  <c r="O29" i="1" s="1"/>
  <c r="J28" i="1"/>
  <c r="O28" i="1" s="1"/>
  <c r="P37" i="1" l="1"/>
  <c r="R37" i="1" s="1"/>
  <c r="S37" i="1" s="1"/>
  <c r="O38" i="1"/>
  <c r="P38" i="1" s="1"/>
  <c r="O39" i="1"/>
  <c r="P39" i="1" s="1"/>
  <c r="R36" i="1"/>
  <c r="S36" i="1" s="1"/>
  <c r="Q36" i="1"/>
  <c r="R34" i="1"/>
  <c r="S34" i="1" s="1"/>
  <c r="R33" i="1"/>
  <c r="R31" i="1"/>
  <c r="S31" i="1" s="1"/>
  <c r="O30" i="1"/>
  <c r="P30" i="1" s="1"/>
  <c r="P28" i="1"/>
  <c r="R28" i="1" s="1"/>
  <c r="S28" i="1" s="1"/>
  <c r="P29" i="1"/>
  <c r="N22" i="1"/>
  <c r="M5" i="1"/>
  <c r="N5" i="1" s="1"/>
  <c r="L27" i="1"/>
  <c r="N27" i="1" s="1"/>
  <c r="L25" i="1"/>
  <c r="N25" i="1" s="1"/>
  <c r="I25" i="1"/>
  <c r="L24" i="1"/>
  <c r="N24" i="1" s="1"/>
  <c r="I24" i="1"/>
  <c r="J24" i="1" s="1"/>
  <c r="O24" i="1" s="1"/>
  <c r="I23" i="1"/>
  <c r="I22" i="1"/>
  <c r="I21" i="1"/>
  <c r="Q28" i="1" l="1"/>
  <c r="Q37" i="1"/>
  <c r="Q39" i="1"/>
  <c r="R39" i="1"/>
  <c r="S39" i="1" s="1"/>
  <c r="Q38" i="1"/>
  <c r="R38" i="1"/>
  <c r="S38" i="1" s="1"/>
  <c r="S33" i="1"/>
  <c r="Q30" i="1"/>
  <c r="R30" i="1"/>
  <c r="S30" i="1" s="1"/>
  <c r="Q29" i="1"/>
  <c r="R29" i="1"/>
  <c r="S29" i="1" s="1"/>
  <c r="I20" i="1"/>
  <c r="M19" i="1"/>
  <c r="N19" i="1" s="1"/>
  <c r="M18" i="1"/>
  <c r="N18" i="1" s="1"/>
  <c r="I19" i="1"/>
  <c r="J19" i="1" s="1"/>
  <c r="O19" i="1" s="1"/>
  <c r="I18" i="1"/>
  <c r="I17" i="1"/>
  <c r="I16" i="1"/>
  <c r="P19" i="1" l="1"/>
  <c r="M15" i="1"/>
  <c r="N15" i="1" s="1"/>
  <c r="I15" i="1"/>
  <c r="J15" i="1" s="1"/>
  <c r="O15" i="1" s="1"/>
  <c r="L14" i="1"/>
  <c r="N14" i="1" s="1"/>
  <c r="I14" i="1"/>
  <c r="J14" i="1" s="1"/>
  <c r="O14" i="1" s="1"/>
  <c r="N13" i="1"/>
  <c r="I13" i="1"/>
  <c r="J13" i="1" s="1"/>
  <c r="O13" i="1" s="1"/>
  <c r="I12" i="1"/>
  <c r="J12" i="1" s="1"/>
  <c r="L11" i="1"/>
  <c r="N11" i="1" s="1"/>
  <c r="I11" i="1"/>
  <c r="J11" i="1" s="1"/>
  <c r="O11" i="1" s="1"/>
  <c r="M10" i="1"/>
  <c r="N10" i="1" s="1"/>
  <c r="N9" i="1"/>
  <c r="I9" i="1"/>
  <c r="J9" i="1" s="1"/>
  <c r="O9" i="1" s="1"/>
  <c r="I8" i="1"/>
  <c r="J8" i="1" s="1"/>
  <c r="I3" i="1"/>
  <c r="J3" i="1" s="1"/>
  <c r="M2" i="1"/>
  <c r="N2" i="1" s="1"/>
  <c r="J4" i="1"/>
  <c r="J5" i="1"/>
  <c r="J7" i="1"/>
  <c r="J10" i="1"/>
  <c r="O10" i="1" s="1"/>
  <c r="J16" i="1"/>
  <c r="J17" i="1"/>
  <c r="O17" i="1" s="1"/>
  <c r="J18" i="1"/>
  <c r="J20" i="1"/>
  <c r="J21" i="1"/>
  <c r="J22" i="1"/>
  <c r="J23" i="1"/>
  <c r="P24" i="1"/>
  <c r="J25" i="1"/>
  <c r="J26" i="1"/>
  <c r="J27" i="1"/>
  <c r="J2" i="1"/>
  <c r="O2" i="1" s="1"/>
  <c r="N6" i="1"/>
  <c r="I6" i="1"/>
  <c r="J6" i="1" s="1"/>
  <c r="O6" i="1" s="1"/>
  <c r="J73" i="1" l="1"/>
  <c r="O18" i="1"/>
  <c r="P18" i="1" s="1"/>
  <c r="R18" i="1" s="1"/>
  <c r="S18" i="1" s="1"/>
  <c r="O23" i="1"/>
  <c r="P23" i="1" s="1"/>
  <c r="O22" i="1"/>
  <c r="P22" i="1" s="1"/>
  <c r="O5" i="1"/>
  <c r="P5" i="1" s="1"/>
  <c r="Q5" i="1" s="1"/>
  <c r="O27" i="1"/>
  <c r="P27" i="1" s="1"/>
  <c r="Q27" i="1" s="1"/>
  <c r="O25" i="1"/>
  <c r="P25" i="1" s="1"/>
  <c r="O4" i="1"/>
  <c r="P4" i="1" s="1"/>
  <c r="R24" i="1"/>
  <c r="S24" i="1" s="1"/>
  <c r="Q24" i="1"/>
  <c r="R19" i="1"/>
  <c r="S19" i="1" s="1"/>
  <c r="Q19" i="1"/>
  <c r="P15" i="1"/>
  <c r="P17" i="1"/>
  <c r="P14" i="1"/>
  <c r="P13" i="1"/>
  <c r="P11" i="1"/>
  <c r="P10" i="1"/>
  <c r="P6" i="1"/>
  <c r="P9" i="1"/>
  <c r="P2" i="1"/>
  <c r="R2" i="1" l="1"/>
  <c r="S2" i="1" s="1"/>
  <c r="P73" i="1"/>
  <c r="Q73" i="1" s="1"/>
  <c r="R27" i="1"/>
  <c r="S27" i="1" s="1"/>
  <c r="R22" i="1"/>
  <c r="S22" i="1" s="1"/>
  <c r="Q22" i="1"/>
  <c r="Q23" i="1"/>
  <c r="R23" i="1"/>
  <c r="S23" i="1" s="1"/>
  <c r="R25" i="1"/>
  <c r="S25" i="1" s="1"/>
  <c r="Q25" i="1"/>
  <c r="R5" i="1"/>
  <c r="Q18" i="1"/>
  <c r="R17" i="1"/>
  <c r="S17" i="1" s="1"/>
  <c r="Q17" i="1"/>
  <c r="R15" i="1"/>
  <c r="S15" i="1" s="1"/>
  <c r="Q15" i="1"/>
  <c r="Q14" i="1"/>
  <c r="R14" i="1"/>
  <c r="S14" i="1" s="1"/>
  <c r="Q13" i="1"/>
  <c r="R13" i="1"/>
  <c r="S13" i="1" s="1"/>
  <c r="R11" i="1"/>
  <c r="S11" i="1" s="1"/>
  <c r="Q11" i="1"/>
  <c r="R10" i="1"/>
  <c r="S10" i="1" s="1"/>
  <c r="Q10" i="1"/>
  <c r="Q9" i="1"/>
  <c r="R9" i="1"/>
  <c r="S5" i="1"/>
  <c r="Q6" i="1"/>
  <c r="R6" i="1"/>
  <c r="S6" i="1" s="1"/>
  <c r="Q2" i="1"/>
  <c r="Q4" i="1"/>
  <c r="R4" i="1"/>
  <c r="S4" i="1" s="1"/>
  <c r="R73" i="1" l="1"/>
  <c r="S73" i="1" s="1"/>
  <c r="S9" i="1"/>
</calcChain>
</file>

<file path=xl/sharedStrings.xml><?xml version="1.0" encoding="utf-8"?>
<sst xmlns="http://schemas.openxmlformats.org/spreadsheetml/2006/main" count="499" uniqueCount="315">
  <si>
    <t>編號</t>
    <phoneticPr fontId="2" type="noConversion"/>
  </si>
  <si>
    <t>案號</t>
    <phoneticPr fontId="2" type="noConversion"/>
  </si>
  <si>
    <t>案名</t>
    <phoneticPr fontId="2" type="noConversion"/>
  </si>
  <si>
    <t>作業類型</t>
    <phoneticPr fontId="2" type="noConversion"/>
  </si>
  <si>
    <t>B114-B001</t>
    <phoneticPr fontId="2" type="noConversion"/>
  </si>
  <si>
    <t>B114-B002</t>
    <phoneticPr fontId="2" type="noConversion"/>
  </si>
  <si>
    <t>B114-B003</t>
  </si>
  <si>
    <t>B114-B004</t>
  </si>
  <si>
    <t>B114-B005</t>
  </si>
  <si>
    <t>B114-B006</t>
  </si>
  <si>
    <t>B114-B007</t>
  </si>
  <si>
    <t>B114-B008</t>
  </si>
  <si>
    <t>B114-B009</t>
  </si>
  <si>
    <t>B114-B010</t>
  </si>
  <si>
    <t>B114-B011</t>
  </si>
  <si>
    <t>B114-B012</t>
  </si>
  <si>
    <t>B114-B013</t>
  </si>
  <si>
    <t>B114-B014</t>
  </si>
  <si>
    <t>B114-B015</t>
  </si>
  <si>
    <t>B114-B016</t>
  </si>
  <si>
    <t>B114-B018</t>
  </si>
  <si>
    <t>B114-B019</t>
  </si>
  <si>
    <t>B114-B020</t>
  </si>
  <si>
    <t>B114-B021</t>
  </si>
  <si>
    <t>B114-B022</t>
  </si>
  <si>
    <t>B114-B023</t>
  </si>
  <si>
    <t>B114-B024</t>
  </si>
  <si>
    <t>B114-B025</t>
  </si>
  <si>
    <t>委託單位</t>
    <phoneticPr fontId="2" type="noConversion"/>
  </si>
  <si>
    <t>發票日期</t>
    <phoneticPr fontId="2" type="noConversion"/>
  </si>
  <si>
    <t>金額</t>
    <phoneticPr fontId="2" type="noConversion"/>
  </si>
  <si>
    <t>營業稅</t>
    <phoneticPr fontId="2" type="noConversion"/>
  </si>
  <si>
    <t>總價</t>
    <phoneticPr fontId="2" type="noConversion"/>
  </si>
  <si>
    <t>外包單位</t>
    <phoneticPr fontId="2" type="noConversion"/>
  </si>
  <si>
    <t>稅</t>
    <phoneticPr fontId="2" type="noConversion"/>
  </si>
  <si>
    <t>費用</t>
    <phoneticPr fontId="2" type="noConversion"/>
  </si>
  <si>
    <t>毛利</t>
    <phoneticPr fontId="2" type="noConversion"/>
  </si>
  <si>
    <t>小包請款日期</t>
    <phoneticPr fontId="2" type="noConversion"/>
  </si>
  <si>
    <t xml:space="preserve"> 洪得雄建築師事務所</t>
  </si>
  <si>
    <t xml:space="preserve"> 洪得雄建築師事務所</t>
    <phoneticPr fontId="2" type="noConversion"/>
  </si>
  <si>
    <t>建邦工程顧問有限公司</t>
  </si>
  <si>
    <t>祐鴻測繪科技有限公司</t>
  </si>
  <si>
    <t>祐鴻測繪科技有限公司</t>
    <phoneticPr fontId="2" type="noConversion"/>
  </si>
  <si>
    <t>大有國際不動產估價師聯合事務所</t>
  </si>
  <si>
    <t>報價日期</t>
    <phoneticPr fontId="2" type="noConversion"/>
  </si>
  <si>
    <t>114/02/13</t>
    <phoneticPr fontId="2" type="noConversion"/>
  </si>
  <si>
    <t>土地改良物暨土地市價查估作業委託專業服務案空拍服務</t>
    <phoneticPr fontId="2" type="noConversion"/>
  </si>
  <si>
    <t>UAV空拍</t>
  </si>
  <si>
    <t>UAV空拍</t>
    <phoneticPr fontId="2" type="noConversion"/>
  </si>
  <si>
    <t>是否承作</t>
    <phoneticPr fontId="2" type="noConversion"/>
  </si>
  <si>
    <t>透地雷達</t>
  </si>
  <si>
    <t>透地雷達</t>
    <phoneticPr fontId="2" type="noConversion"/>
  </si>
  <si>
    <t>否</t>
    <phoneticPr fontId="2" type="noConversion"/>
  </si>
  <si>
    <t>長富營造有限公司</t>
  </si>
  <si>
    <t>空軍貿易六村職務宿舍興建統包工程-透地雷達測量及補充基地測量</t>
  </si>
  <si>
    <t>114/02/17</t>
    <phoneticPr fontId="2" type="noConversion"/>
  </si>
  <si>
    <t>其他管銷</t>
    <phoneticPr fontId="2" type="noConversion"/>
  </si>
  <si>
    <t>毛利率</t>
    <phoneticPr fontId="2" type="noConversion"/>
  </si>
  <si>
    <t>是</t>
    <phoneticPr fontId="2" type="noConversion"/>
  </si>
  <si>
    <t>漢陽營區新建二級廠統包工程</t>
    <phoneticPr fontId="2" type="noConversion"/>
  </si>
  <si>
    <t>114/02/03</t>
    <phoneticPr fontId="2" type="noConversion"/>
  </si>
  <si>
    <t>上升空間資訊股份有限公司</t>
  </si>
  <si>
    <t>上升空間資訊股份有限公司</t>
    <phoneticPr fontId="2" type="noConversion"/>
  </si>
  <si>
    <t>金門透地雷達掃描</t>
    <phoneticPr fontId="2" type="noConversion"/>
  </si>
  <si>
    <t>114/02/06</t>
    <phoneticPr fontId="2" type="noConversion"/>
  </si>
  <si>
    <t>興龍機械廠有限公司透地雷達測量</t>
  </si>
  <si>
    <t>114/02/11</t>
    <phoneticPr fontId="2" type="noConversion"/>
  </si>
  <si>
    <t>無</t>
  </si>
  <si>
    <t>無</t>
    <phoneticPr fontId="2" type="noConversion"/>
  </si>
  <si>
    <t>同B114-B009</t>
    <phoneticPr fontId="2" type="noConversion"/>
  </si>
  <si>
    <t>精摯工程顧問股份有限公司</t>
    <phoneticPr fontId="2" type="noConversion"/>
  </si>
  <si>
    <t>現況地形測量</t>
  </si>
  <si>
    <t>現況地形測量</t>
    <phoneticPr fontId="2" type="noConversion"/>
  </si>
  <si>
    <t>桃園永安國小現況測量</t>
  </si>
  <si>
    <t>114/03/04</t>
    <phoneticPr fontId="2" type="noConversion"/>
  </si>
  <si>
    <t>先創國際股份有限公司</t>
  </si>
  <si>
    <t>中鋼土方報告技師簽證</t>
  </si>
  <si>
    <t>堆料驗證計算</t>
    <phoneticPr fontId="2" type="noConversion"/>
  </si>
  <si>
    <t>114/03/10</t>
    <phoneticPr fontId="2" type="noConversion"/>
  </si>
  <si>
    <t>王偉群</t>
    <phoneticPr fontId="2" type="noConversion"/>
  </si>
  <si>
    <t>稅後營業淨利</t>
    <phoneticPr fontId="2" type="noConversion"/>
  </si>
  <si>
    <t>淨利率</t>
    <phoneticPr fontId="2" type="noConversion"/>
  </si>
  <si>
    <t>114/03/06</t>
    <phoneticPr fontId="2" type="noConversion"/>
  </si>
  <si>
    <t>UAV-LiDAR</t>
    <phoneticPr fontId="2" type="noConversion"/>
  </si>
  <si>
    <t>嘉義馬稠後滯洪池 現況地形測量</t>
  </si>
  <si>
    <t>太平區欣欣段558地號建築線測量</t>
    <phoneticPr fontId="2" type="noConversion"/>
  </si>
  <si>
    <t>建築線測量</t>
  </si>
  <si>
    <t>建築線測量</t>
    <phoneticPr fontId="2" type="noConversion"/>
  </si>
  <si>
    <t>鎮泓有限公司</t>
  </si>
  <si>
    <t>鎮泓有限公司</t>
    <phoneticPr fontId="2" type="noConversion"/>
  </si>
  <si>
    <t>114/03/13</t>
    <phoneticPr fontId="2" type="noConversion"/>
  </si>
  <si>
    <t>楊長燁加李雅倫</t>
    <phoneticPr fontId="2" type="noConversion"/>
  </si>
  <si>
    <t>台灣穗高科技股份有限公司</t>
    <phoneticPr fontId="2" type="noConversion"/>
  </si>
  <si>
    <t>南元倉庫3D點雲成像專案</t>
  </si>
  <si>
    <t>3D掃描</t>
    <phoneticPr fontId="2" type="noConversion"/>
  </si>
  <si>
    <t>114/03/17</t>
    <phoneticPr fontId="2" type="noConversion"/>
  </si>
  <si>
    <t>基隆透地雷達測量</t>
    <phoneticPr fontId="2" type="noConversion"/>
  </si>
  <si>
    <t>114/04/08</t>
    <phoneticPr fontId="2" type="noConversion"/>
  </si>
  <si>
    <t>林晉廷</t>
    <phoneticPr fontId="2" type="noConversion"/>
  </si>
  <si>
    <t>西屯區廣昌段162、162-1、163、163-1、164、165地號建築線測量</t>
    <phoneticPr fontId="2" type="noConversion"/>
  </si>
  <si>
    <t>114/04/16</t>
    <phoneticPr fontId="2" type="noConversion"/>
  </si>
  <si>
    <t>浲州營造工程有限公司</t>
  </si>
  <si>
    <t>嘉64線拓寬改善工程空拍及正射影像製作</t>
    <phoneticPr fontId="2" type="noConversion"/>
  </si>
  <si>
    <t>114/04/18</t>
    <phoneticPr fontId="2" type="noConversion"/>
  </si>
  <si>
    <t>協助報價類型</t>
  </si>
  <si>
    <t>協助報價類型</t>
    <phoneticPr fontId="2" type="noConversion"/>
  </si>
  <si>
    <t>財團法人中興工程顧問社</t>
    <phoneticPr fontId="2" type="noConversion"/>
  </si>
  <si>
    <t>苗栗後龍段潮間帶無人機空拍作業</t>
    <phoneticPr fontId="2" type="noConversion"/>
  </si>
  <si>
    <t>114/04/22</t>
    <phoneticPr fontId="2" type="noConversion"/>
  </si>
  <si>
    <t>透地雷達測量-新北市五股區成泰路三段171號</t>
    <phoneticPr fontId="2" type="noConversion"/>
  </si>
  <si>
    <t>鄭志宏 土木技師</t>
  </si>
  <si>
    <t>鄭志宏 土木技師</t>
    <phoneticPr fontId="2" type="noConversion"/>
  </si>
  <si>
    <t>林宜靜 結構技師</t>
    <phoneticPr fontId="2" type="noConversion"/>
  </si>
  <si>
    <t>林可揚博士建築師事務所</t>
  </si>
  <si>
    <t>林可揚博士建築師事務所</t>
    <phoneticPr fontId="2" type="noConversion"/>
  </si>
  <si>
    <t>B114-B017-1</t>
    <phoneticPr fontId="2" type="noConversion"/>
  </si>
  <si>
    <t>B114-B017-2</t>
    <phoneticPr fontId="2" type="noConversion"/>
  </si>
  <si>
    <t>(草屯手工藝園區)-F6</t>
  </si>
  <si>
    <t>(草屯手工藝園區)-A2</t>
    <phoneticPr fontId="2" type="noConversion"/>
  </si>
  <si>
    <t>114/04/23</t>
    <phoneticPr fontId="2" type="noConversion"/>
  </si>
  <si>
    <t>千和工程顧問有限公司</t>
    <phoneticPr fontId="2" type="noConversion"/>
  </si>
  <si>
    <t>亞東醫院透地雷達掃描</t>
    <phoneticPr fontId="2" type="noConversion"/>
  </si>
  <si>
    <t>114/04/28</t>
    <phoneticPr fontId="2" type="noConversion"/>
  </si>
  <si>
    <t>雄積資線路土建統包工程「歷史建築監測作業」</t>
    <phoneticPr fontId="2" type="noConversion"/>
  </si>
  <si>
    <t>榮工工程股份有限公司</t>
  </si>
  <si>
    <t>114/04/29</t>
    <phoneticPr fontId="2" type="noConversion"/>
  </si>
  <si>
    <t>學甲太陽能案場 現況地形測量</t>
    <phoneticPr fontId="2" type="noConversion"/>
  </si>
  <si>
    <t>114/05/26</t>
    <phoneticPr fontId="2" type="noConversion"/>
  </si>
  <si>
    <t>新北市新莊區 透地雷達掃描</t>
    <phoneticPr fontId="2" type="noConversion"/>
  </si>
  <si>
    <t>紹華營造股份有限公司</t>
  </si>
  <si>
    <t>114/06/05</t>
    <phoneticPr fontId="2" type="noConversion"/>
  </si>
  <si>
    <t>北屯區陳平段2971地號建築線測量</t>
  </si>
  <si>
    <t>114/06/02</t>
    <phoneticPr fontId="2" type="noConversion"/>
  </si>
  <si>
    <t>山銘工程顧問有限公司</t>
  </si>
  <si>
    <t>中國砂輪企業股份有限公司竹北廠現況測量</t>
  </si>
  <si>
    <t>114/06/09</t>
    <phoneticPr fontId="2" type="noConversion"/>
  </si>
  <si>
    <t>勤典工程行</t>
    <phoneticPr fontId="2" type="noConversion"/>
  </si>
  <si>
    <t>興龍機械廠有限公司補充透地雷達測量</t>
    <phoneticPr fontId="2" type="noConversion"/>
  </si>
  <si>
    <t>114/06/11</t>
    <phoneticPr fontId="2" type="noConversion"/>
  </si>
  <si>
    <t>桃園市楊梅區高獅段827號(部分)現況測量</t>
  </si>
  <si>
    <t>114/06/12</t>
    <phoneticPr fontId="2" type="noConversion"/>
  </si>
  <si>
    <t>B114-B026</t>
  </si>
  <si>
    <t>協議價購</t>
    <phoneticPr fontId="2" type="noConversion"/>
  </si>
  <si>
    <t>桃園市平鎮區平東路土地協議市價查估作業</t>
    <phoneticPr fontId="2" type="noConversion"/>
  </si>
  <si>
    <t>桃園市政府工務局用地科</t>
    <phoneticPr fontId="2" type="noConversion"/>
  </si>
  <si>
    <t>114/06/17</t>
    <phoneticPr fontId="2" type="noConversion"/>
  </si>
  <si>
    <t>114/06/18</t>
    <phoneticPr fontId="2" type="noConversion"/>
  </si>
  <si>
    <t>竣吉不動產估價師</t>
    <phoneticPr fontId="2" type="noConversion"/>
  </si>
  <si>
    <t>翠64透地雷達作業</t>
    <phoneticPr fontId="2" type="noConversion"/>
  </si>
  <si>
    <t>114.06.13</t>
    <phoneticPr fontId="2" type="noConversion"/>
  </si>
  <si>
    <t>114.05.16</t>
    <phoneticPr fontId="2" type="noConversion"/>
  </si>
  <si>
    <t>可聯繫</t>
    <phoneticPr fontId="2" type="noConversion"/>
  </si>
  <si>
    <t>待公會通知</t>
    <phoneticPr fontId="2" type="noConversion"/>
  </si>
  <si>
    <t>B114-B026</t>
    <phoneticPr fontId="2" type="noConversion"/>
  </si>
  <si>
    <t>B114-B027</t>
    <phoneticPr fontId="2" type="noConversion"/>
  </si>
  <si>
    <t xml:space="preserve"> 容健浩建築師事務所</t>
  </si>
  <si>
    <t>南簡公園地形測量</t>
  </si>
  <si>
    <t>114/06/25</t>
    <phoneticPr fontId="2" type="noConversion"/>
  </si>
  <si>
    <t>114.07.01</t>
    <phoneticPr fontId="2" type="noConversion"/>
  </si>
  <si>
    <t>114.07.02</t>
    <phoneticPr fontId="2" type="noConversion"/>
  </si>
  <si>
    <t>B114-B029</t>
  </si>
  <si>
    <t>B114-B030</t>
  </si>
  <si>
    <t>B114-B031</t>
  </si>
  <si>
    <t>114/07/01</t>
    <phoneticPr fontId="2" type="noConversion"/>
  </si>
  <si>
    <t>114/07/02</t>
    <phoneticPr fontId="2" type="noConversion"/>
  </si>
  <si>
    <t>承優營造股份有限公司</t>
    <phoneticPr fontId="2" type="noConversion"/>
  </si>
  <si>
    <t>張啟良建築師</t>
  </si>
  <si>
    <t>五谷王南街透地雷達掃描</t>
  </si>
  <si>
    <t>豐原區豐勢路二段217號透地雷達掃描</t>
  </si>
  <si>
    <t>B114-B032</t>
  </si>
  <si>
    <t>B114-B033</t>
  </si>
  <si>
    <t>B114-B035</t>
  </si>
  <si>
    <t>B114-B034</t>
    <phoneticPr fontId="2" type="noConversion"/>
  </si>
  <si>
    <t>B114-B036</t>
  </si>
  <si>
    <t>B114-B037</t>
  </si>
  <si>
    <t>集水區界線檢核</t>
    <phoneticPr fontId="2" type="noConversion"/>
  </si>
  <si>
    <t>堆料驗證計算</t>
  </si>
  <si>
    <t>三重區寶寶共和國及大安區杭州南路二段51巷18號透地雷達掃描</t>
    <phoneticPr fontId="2" type="noConversion"/>
  </si>
  <si>
    <t>北屯區建安段10地號(10-3地號已合併)現況測量及地籍套圖</t>
    <phoneticPr fontId="2" type="noConversion"/>
  </si>
  <si>
    <t>顏新元 代書</t>
    <phoneticPr fontId="2" type="noConversion"/>
  </si>
  <si>
    <t>114/07/03</t>
    <phoneticPr fontId="2" type="noConversion"/>
  </si>
  <si>
    <t>新店區新和段89等地號透地雷達測量</t>
    <phoneticPr fontId="2" type="noConversion"/>
  </si>
  <si>
    <t>鴻信營造股份有限公司</t>
    <phoneticPr fontId="2" type="noConversion"/>
  </si>
  <si>
    <t>114/07/08</t>
    <phoneticPr fontId="2" type="noConversion"/>
  </si>
  <si>
    <t>西屯區下石碑段1595地號建築線測量</t>
  </si>
  <si>
    <t>114/07/11</t>
    <phoneticPr fontId="2" type="noConversion"/>
  </si>
  <si>
    <t>中國土方驗算報告及技師簽證</t>
  </si>
  <si>
    <t>114/07/14</t>
    <phoneticPr fontId="2" type="noConversion"/>
  </si>
  <si>
    <t>王偉群</t>
  </si>
  <si>
    <t>秋森萬工程顧問有限公司</t>
  </si>
  <si>
    <t>臺中市清水區現況測量</t>
  </si>
  <si>
    <t>114/07/07</t>
    <phoneticPr fontId="2" type="noConversion"/>
  </si>
  <si>
    <t>台灣電力公司萬大發電廠</t>
  </si>
  <si>
    <t>集水區界限檢核、圖表製作及報告撰寫服務</t>
  </si>
  <si>
    <t>114/07/23</t>
    <phoneticPr fontId="2" type="noConversion"/>
  </si>
  <si>
    <t>B114-B038</t>
  </si>
  <si>
    <t>B114-B039</t>
  </si>
  <si>
    <t>B114-B040</t>
  </si>
  <si>
    <t>B114-B041</t>
  </si>
  <si>
    <t>B114-B042</t>
  </si>
  <si>
    <t>B114-B043</t>
  </si>
  <si>
    <t>B114-B044</t>
  </si>
  <si>
    <t>B114-B045</t>
  </si>
  <si>
    <t>B114-B046</t>
  </si>
  <si>
    <t>B114-B047</t>
  </si>
  <si>
    <t>B114-B048</t>
  </si>
  <si>
    <t>B114-B049</t>
  </si>
  <si>
    <t>B114-B050</t>
  </si>
  <si>
    <t>B114-B051</t>
  </si>
  <si>
    <t>B114-B052</t>
  </si>
  <si>
    <t>B114-B053</t>
  </si>
  <si>
    <t>B114-B054</t>
  </si>
  <si>
    <t>B114-B055</t>
  </si>
  <si>
    <t>B114-B056</t>
  </si>
  <si>
    <t>B114-B057</t>
  </si>
  <si>
    <t>B114-B058</t>
  </si>
  <si>
    <t>B114-B059</t>
  </si>
  <si>
    <t>B114-B060</t>
  </si>
  <si>
    <t>B114-B061</t>
  </si>
  <si>
    <t>B114-B062</t>
  </si>
  <si>
    <t>B114-B063</t>
  </si>
  <si>
    <t>B114-B064</t>
  </si>
  <si>
    <t>B114-B065</t>
  </si>
  <si>
    <t>B114-B066</t>
  </si>
  <si>
    <t>B114-B067</t>
  </si>
  <si>
    <t>B114-B068</t>
  </si>
  <si>
    <t>B114-B069</t>
  </si>
  <si>
    <t>B114-B070</t>
  </si>
  <si>
    <t>煤倉傾斜檢測</t>
  </si>
  <si>
    <t>設施設備預防性檢測系統服務</t>
    <phoneticPr fontId="2" type="noConversion"/>
  </si>
  <si>
    <t>和平電廠</t>
  </si>
  <si>
    <t>114/09/24</t>
    <phoneticPr fontId="2" type="noConversion"/>
  </si>
  <si>
    <t>銢欣有限公司乃耳企業社</t>
    <phoneticPr fontId="2" type="noConversion"/>
  </si>
  <si>
    <t>北屯區東光段28地號現況測量</t>
    <phoneticPr fontId="2" type="noConversion"/>
  </si>
  <si>
    <t>114/08/05</t>
    <phoneticPr fontId="2" type="noConversion"/>
  </si>
  <si>
    <t>楊長燁</t>
  </si>
  <si>
    <t>徵收市價查估</t>
    <phoneticPr fontId="2" type="noConversion"/>
  </si>
  <si>
    <t>虎頭山三聖宮前串連台1線新闢道路工程</t>
    <phoneticPr fontId="2" type="noConversion"/>
  </si>
  <si>
    <t>114/08/08</t>
    <phoneticPr fontId="2" type="noConversion"/>
  </si>
  <si>
    <t>輸水隧道檢測</t>
    <phoneticPr fontId="2" type="noConversion"/>
  </si>
  <si>
    <t>水社壩輸水隧道掃描</t>
    <phoneticPr fontId="2" type="noConversion"/>
  </si>
  <si>
    <t>黎明工程顧問股份有限公司</t>
    <phoneticPr fontId="2" type="noConversion"/>
  </si>
  <si>
    <t>114/08/14</t>
    <phoneticPr fontId="2" type="noConversion"/>
  </si>
  <si>
    <t>水庫安全評估</t>
    <phoneticPr fontId="2" type="noConversion"/>
  </si>
  <si>
    <t>南化水庫第四次安全評估</t>
    <phoneticPr fontId="2" type="noConversion"/>
  </si>
  <si>
    <t>湖山水庫第一次定期安全評估委託技術服務</t>
  </si>
  <si>
    <t>祐鴻+昱緯+建倫</t>
    <phoneticPr fontId="2" type="noConversion"/>
  </si>
  <si>
    <t>中聯資源股份有限公司</t>
  </si>
  <si>
    <t>UAV作業空拍與空域作業申請</t>
  </si>
  <si>
    <t>南屯區春安段255地號建築線測量</t>
  </si>
  <si>
    <t>114/08/28</t>
    <phoneticPr fontId="2" type="noConversion"/>
  </si>
  <si>
    <t>七接天然氣儲槽工程施工放樣及3D光達測量</t>
  </si>
  <si>
    <t>工程測量</t>
    <phoneticPr fontId="2" type="noConversion"/>
  </si>
  <si>
    <t>展泓建設股份有限公司</t>
  </si>
  <si>
    <t>114/09/03</t>
    <phoneticPr fontId="2" type="noConversion"/>
  </si>
  <si>
    <t>東勢區詒福段</t>
    <phoneticPr fontId="2" type="noConversion"/>
  </si>
  <si>
    <t>國際海洋股份有限公司</t>
    <phoneticPr fontId="2" type="noConversion"/>
  </si>
  <si>
    <t>HDD site of land survey</t>
    <phoneticPr fontId="2" type="noConversion"/>
  </si>
  <si>
    <t>114/09/25</t>
    <phoneticPr fontId="2" type="noConversion"/>
  </si>
  <si>
    <t>集水區界線檢核</t>
  </si>
  <si>
    <t>日月潭及明湖下池水庫集水區圖資製作</t>
  </si>
  <si>
    <t>台灣電力公司大觀發電廠</t>
  </si>
  <si>
    <t>114/09/05</t>
    <phoneticPr fontId="2" type="noConversion"/>
  </si>
  <si>
    <t>台灣電力公司明潭發電廠</t>
    <phoneticPr fontId="2" type="noConversion"/>
  </si>
  <si>
    <t>集水區圖資製作</t>
    <phoneticPr fontId="2" type="noConversion"/>
  </si>
  <si>
    <t>新塭滯洪池水面型案場前期作業(測量作業)</t>
    <phoneticPr fontId="2" type="noConversion"/>
  </si>
  <si>
    <t>114/09/10</t>
    <phoneticPr fontId="2" type="noConversion"/>
  </si>
  <si>
    <t>114/09/22</t>
    <phoneticPr fontId="2" type="noConversion"/>
  </si>
  <si>
    <t>桃園龍昌先期規劃測量作業</t>
  </si>
  <si>
    <t>勤典工程行</t>
  </si>
  <si>
    <t>勤典工程行+上升空間資訊股份有限公司</t>
    <phoneticPr fontId="2" type="noConversion"/>
  </si>
  <si>
    <t>台86線向東延伸與182線共線路段道路改善工程委託綜合規劃、測量、地質探查、設計及環境影響評估服務工作</t>
    <phoneticPr fontId="2" type="noConversion"/>
  </si>
  <si>
    <t>林同棪工程顧問股份有限公司</t>
    <phoneticPr fontId="2" type="noConversion"/>
  </si>
  <si>
    <t>114/09/18</t>
    <phoneticPr fontId="2" type="noConversion"/>
  </si>
  <si>
    <t>新烏山嶺隧道3D掃描檢查及成果分析</t>
    <phoneticPr fontId="2" type="noConversion"/>
  </si>
  <si>
    <t>114/09/23</t>
    <phoneticPr fontId="2" type="noConversion"/>
  </si>
  <si>
    <t>新竹縣五峰鄉公所</t>
  </si>
  <si>
    <t>家居建設股份有限公司</t>
    <phoneticPr fontId="2" type="noConversion"/>
  </si>
  <si>
    <t>114/09/26</t>
    <phoneticPr fontId="2" type="noConversion"/>
  </si>
  <si>
    <t>洲際接收站LNG儲槽興建統包工程 測量作業</t>
    <phoneticPr fontId="2" type="noConversion"/>
  </si>
  <si>
    <t>江朝安 組長</t>
  </si>
  <si>
    <t>114/10/12</t>
    <phoneticPr fontId="2" type="noConversion"/>
  </si>
  <si>
    <t>114/10/16</t>
    <phoneticPr fontId="2" type="noConversion"/>
  </si>
  <si>
    <t>賴文魁建築師事務所</t>
  </si>
  <si>
    <t>大雅區科雅段188-4地號航高、砲高及建築線測量</t>
    <phoneticPr fontId="2" type="noConversion"/>
  </si>
  <si>
    <t>嘉64線拓寬改善工程路線錄影空拍作業</t>
    <phoneticPr fontId="2" type="noConversion"/>
  </si>
  <si>
    <t>114/10/23</t>
    <phoneticPr fontId="2" type="noConversion"/>
  </si>
  <si>
    <t>114/11/03</t>
    <phoneticPr fontId="2" type="noConversion"/>
  </si>
  <si>
    <t>五峰鄉花園段地形測量</t>
    <phoneticPr fontId="2" type="noConversion"/>
  </si>
  <si>
    <t>家居璽玉透地雷達掃描</t>
    <phoneticPr fontId="2" type="noConversion"/>
  </si>
  <si>
    <t>四湖鄉三條崙海水浴場周邊環境景觀改善工程</t>
    <phoneticPr fontId="2" type="noConversion"/>
  </si>
  <si>
    <t>天玉街75巷透地雷達掃描</t>
    <phoneticPr fontId="2" type="noConversion"/>
  </si>
  <si>
    <t>梧棲區民權段1643等16筆地號建築線測釘</t>
    <phoneticPr fontId="2" type="noConversion"/>
  </si>
  <si>
    <t>王盟貴建築師事務所</t>
  </si>
  <si>
    <t>114/12/05</t>
    <phoneticPr fontId="2" type="noConversion"/>
  </si>
  <si>
    <t>林宗祺</t>
    <phoneticPr fontId="2" type="noConversion"/>
  </si>
  <si>
    <t>114/11/19</t>
    <phoneticPr fontId="2" type="noConversion"/>
  </si>
  <si>
    <t>新竹尖石鄉義興段義興小段862號地形圖</t>
    <phoneticPr fontId="2" type="noConversion"/>
  </si>
  <si>
    <t>透地雷達測量</t>
    <phoneticPr fontId="2" type="noConversion"/>
  </si>
  <si>
    <t>114/11/27</t>
    <phoneticPr fontId="2" type="noConversion"/>
  </si>
  <si>
    <t>臺中北區賴厝廍段113-139至141地號</t>
    <phoneticPr fontId="2" type="noConversion"/>
  </si>
  <si>
    <t>114/12/01</t>
    <phoneticPr fontId="2" type="noConversion"/>
  </si>
  <si>
    <t>桃園楓樹國小現況測量</t>
    <phoneticPr fontId="2" type="noConversion"/>
  </si>
  <si>
    <t>精摯工程顧問股份有限公司</t>
  </si>
  <si>
    <t>臺中草屯區新富仁段567-26、567-27等2筆地號</t>
    <phoneticPr fontId="2" type="noConversion"/>
  </si>
  <si>
    <t>114/12/02</t>
    <phoneticPr fontId="2" type="noConversion"/>
  </si>
  <si>
    <t>千和工程顧問有限公司</t>
  </si>
  <si>
    <t>114/12/16</t>
    <phoneticPr fontId="2" type="noConversion"/>
  </si>
  <si>
    <t>114/12/11</t>
    <phoneticPr fontId="2" type="noConversion"/>
  </si>
  <si>
    <t>新家華建設有限公司</t>
  </si>
  <si>
    <t>新竹縣芎林鄉金獅段1063、1064、1069及1070地號現況測量與地籍圖套繪</t>
    <phoneticPr fontId="2" type="noConversion"/>
  </si>
  <si>
    <t>115.03.12</t>
    <phoneticPr fontId="2" type="noConversion"/>
  </si>
  <si>
    <t>發票追蹤時間</t>
    <phoneticPr fontId="2" type="noConversion"/>
  </si>
  <si>
    <t>跟雅惠姊確認</t>
    <phoneticPr fontId="2" type="noConversion"/>
  </si>
  <si>
    <t>已開立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</si>
</sst>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76" formatCode="_-&quot;$&quot;* #,##0_-;\-&quot;$&quot;* #,##0_-;_-&quot;$&quot;* &quot;-&quot;??_-;_-@_-"/>
  </numFmts>
  <fonts count="5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sz val="11"/>
      <color theme="0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3">
    <xf numFmtId="0" fontId="0" fillId="0" borderId="0" xfId="0"/>
    <xf numFmtId="0" fontId="3" fillId="2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2" borderId="0" xfId="0" applyFont="1" applyFill="1" applyAlignment="1">
      <alignment horizont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76" fontId="3" fillId="2" borderId="0" xfId="1" applyNumberFormat="1" applyFont="1" applyFill="1" applyAlignment="1">
      <alignment horizontal="center"/>
    </xf>
    <xf numFmtId="176" fontId="3" fillId="0" borderId="0" xfId="1" applyNumberFormat="1" applyFont="1" applyAlignment="1">
      <alignment vertical="center"/>
    </xf>
    <xf numFmtId="176" fontId="3" fillId="0" borderId="0" xfId="1" applyNumberFormat="1" applyFont="1" applyAlignment="1"/>
    <xf numFmtId="0" fontId="4" fillId="3" borderId="0" xfId="0" applyFont="1" applyFill="1" applyAlignment="1">
      <alignment horizontal="center"/>
    </xf>
    <xf numFmtId="176" fontId="4" fillId="3" borderId="0" xfId="1" applyNumberFormat="1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10" fontId="3" fillId="4" borderId="1" xfId="2" applyNumberFormat="1" applyFont="1" applyFill="1" applyBorder="1" applyAlignment="1">
      <alignment horizontal="center"/>
    </xf>
    <xf numFmtId="176" fontId="3" fillId="4" borderId="1" xfId="0" applyNumberFormat="1" applyFont="1" applyFill="1" applyBorder="1" applyAlignment="1">
      <alignment vertical="center"/>
    </xf>
    <xf numFmtId="10" fontId="3" fillId="4" borderId="1" xfId="2" applyNumberFormat="1" applyFont="1" applyFill="1" applyBorder="1" applyAlignment="1">
      <alignment vertical="center"/>
    </xf>
    <xf numFmtId="0" fontId="3" fillId="4" borderId="1" xfId="0" applyFont="1" applyFill="1" applyBorder="1"/>
    <xf numFmtId="10" fontId="3" fillId="4" borderId="1" xfId="2" applyNumberFormat="1" applyFont="1" applyFill="1" applyBorder="1" applyAlignment="1"/>
    <xf numFmtId="0" fontId="3" fillId="5" borderId="0" xfId="0" applyFont="1" applyFill="1" applyAlignment="1">
      <alignment vertical="center"/>
    </xf>
    <xf numFmtId="176" fontId="3" fillId="5" borderId="0" xfId="1" applyNumberFormat="1" applyFont="1" applyFill="1" applyAlignment="1">
      <alignment vertical="center"/>
    </xf>
    <xf numFmtId="176" fontId="3" fillId="5" borderId="1" xfId="0" applyNumberFormat="1" applyFont="1" applyFill="1" applyBorder="1" applyAlignment="1">
      <alignment vertical="center"/>
    </xf>
    <xf numFmtId="10" fontId="3" fillId="5" borderId="1" xfId="2" applyNumberFormat="1" applyFont="1" applyFill="1" applyBorder="1" applyAlignment="1">
      <alignment vertical="center"/>
    </xf>
    <xf numFmtId="0" fontId="3" fillId="5" borderId="0" xfId="0" applyFont="1" applyFill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176" fontId="3" fillId="4" borderId="1" xfId="1" applyNumberFormat="1" applyFont="1" applyFill="1" applyBorder="1" applyAlignment="1">
      <alignment horizontal="center"/>
    </xf>
    <xf numFmtId="176" fontId="3" fillId="4" borderId="1" xfId="1" applyNumberFormat="1" applyFont="1" applyFill="1" applyBorder="1" applyAlignment="1">
      <alignment vertical="center"/>
    </xf>
    <xf numFmtId="176" fontId="3" fillId="5" borderId="1" xfId="1" applyNumberFormat="1" applyFont="1" applyFill="1" applyBorder="1" applyAlignment="1">
      <alignment vertical="center"/>
    </xf>
    <xf numFmtId="176" fontId="3" fillId="4" borderId="1" xfId="1" applyNumberFormat="1" applyFont="1" applyFill="1" applyBorder="1" applyAlignment="1"/>
    <xf numFmtId="176" fontId="3" fillId="2" borderId="0" xfId="1" applyNumberFormat="1" applyFont="1" applyFill="1" applyAlignment="1"/>
    <xf numFmtId="10" fontId="3" fillId="2" borderId="1" xfId="2" applyNumberFormat="1" applyFont="1" applyFill="1" applyBorder="1" applyAlignment="1">
      <alignment vertical="center"/>
    </xf>
  </cellXfs>
  <cellStyles count="3">
    <cellStyle name="一般" xfId="0" builtinId="0"/>
    <cellStyle name="百分比" xfId="2" builtinId="5"/>
    <cellStyle name="貨幣" xfId="1" builtinId="4"/>
  </cellStyles>
  <dxfs count="1"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3"/>
  <sheetViews>
    <sheetView tabSelected="1" zoomScale="85" zoomScaleNormal="85" workbookViewId="0">
      <pane xSplit="7" ySplit="14" topLeftCell="H15" activePane="bottomRight" state="frozen"/>
      <selection pane="topRight" activeCell="H1" sqref="H1"/>
      <selection pane="bottomLeft" activeCell="A15" sqref="A15"/>
      <selection pane="bottomRight" activeCell="C1" sqref="C1"/>
    </sheetView>
  </sheetViews>
  <sheetFormatPr defaultRowHeight="15" x14ac:dyDescent="0.25"/>
  <cols>
    <col min="1" max="1" width="9.140625" style="2"/>
    <col min="2" max="2" width="14.7109375" style="2" customWidth="1"/>
    <col min="3" max="3" width="15.42578125" style="2" customWidth="1"/>
    <col min="4" max="4" width="10.42578125" style="7" customWidth="1"/>
    <col min="5" max="5" width="46.7109375" style="3" customWidth="1"/>
    <col min="6" max="6" width="37.140625" style="2" bestFit="1" customWidth="1"/>
    <col min="7" max="7" width="16.140625" style="8" customWidth="1"/>
    <col min="8" max="9" width="15.42578125" style="11" bestFit="1" customWidth="1"/>
    <col min="10" max="10" width="14.7109375" style="11" customWidth="1"/>
    <col min="11" max="11" width="29.85546875" style="2" bestFit="1" customWidth="1"/>
    <col min="12" max="12" width="12.5703125" style="11" customWidth="1"/>
    <col min="13" max="13" width="10.5703125" style="11" bestFit="1" customWidth="1"/>
    <col min="14" max="14" width="12" style="11" bestFit="1" customWidth="1"/>
    <col min="15" max="15" width="12.5703125" style="11" customWidth="1"/>
    <col min="16" max="16" width="13.42578125" style="19" bestFit="1" customWidth="1"/>
    <col min="17" max="17" width="12" style="20" customWidth="1"/>
    <col min="18" max="18" width="17.28515625" style="30" bestFit="1" customWidth="1"/>
    <col min="19" max="19" width="15.42578125" style="20" bestFit="1" customWidth="1"/>
    <col min="20" max="20" width="14.85546875" style="2" customWidth="1"/>
    <col min="21" max="21" width="18.140625" style="2" customWidth="1"/>
    <col min="22" max="22" width="15.42578125" style="2" bestFit="1" customWidth="1"/>
    <col min="23" max="16384" width="9.140625" style="2"/>
  </cols>
  <sheetData>
    <row r="1" spans="1:22" x14ac:dyDescent="0.25">
      <c r="A1" s="1" t="s">
        <v>0</v>
      </c>
      <c r="B1" s="1" t="s">
        <v>1</v>
      </c>
      <c r="C1" s="1" t="s">
        <v>3</v>
      </c>
      <c r="D1" s="14" t="s">
        <v>49</v>
      </c>
      <c r="E1" s="4" t="s">
        <v>2</v>
      </c>
      <c r="F1" s="1" t="s">
        <v>28</v>
      </c>
      <c r="G1" s="26" t="s">
        <v>44</v>
      </c>
      <c r="H1" s="9" t="s">
        <v>30</v>
      </c>
      <c r="I1" s="9" t="s">
        <v>31</v>
      </c>
      <c r="J1" s="9" t="s">
        <v>32</v>
      </c>
      <c r="K1" s="12" t="s">
        <v>33</v>
      </c>
      <c r="L1" s="13" t="s">
        <v>30</v>
      </c>
      <c r="M1" s="13" t="s">
        <v>34</v>
      </c>
      <c r="N1" s="13" t="s">
        <v>35</v>
      </c>
      <c r="O1" s="13" t="s">
        <v>56</v>
      </c>
      <c r="P1" s="15" t="s">
        <v>36</v>
      </c>
      <c r="Q1" s="16" t="s">
        <v>57</v>
      </c>
      <c r="R1" s="27" t="s">
        <v>80</v>
      </c>
      <c r="S1" s="16" t="s">
        <v>81</v>
      </c>
      <c r="T1" s="1" t="s">
        <v>29</v>
      </c>
      <c r="U1" s="1" t="s">
        <v>37</v>
      </c>
      <c r="V1" s="1" t="s">
        <v>312</v>
      </c>
    </row>
    <row r="2" spans="1:22" s="5" customFormat="1" x14ac:dyDescent="0.25">
      <c r="A2" s="5">
        <v>1</v>
      </c>
      <c r="B2" s="5" t="s">
        <v>4</v>
      </c>
      <c r="C2" s="5" t="s">
        <v>50</v>
      </c>
      <c r="D2" s="7" t="s">
        <v>58</v>
      </c>
      <c r="E2" s="6" t="s">
        <v>59</v>
      </c>
      <c r="F2" s="5" t="s">
        <v>39</v>
      </c>
      <c r="G2" s="8" t="s">
        <v>60</v>
      </c>
      <c r="H2" s="10">
        <v>49000</v>
      </c>
      <c r="I2" s="10">
        <v>0</v>
      </c>
      <c r="J2" s="10">
        <f>H2+I2</f>
        <v>49000</v>
      </c>
      <c r="K2" s="5" t="s">
        <v>62</v>
      </c>
      <c r="L2" s="10">
        <v>10000</v>
      </c>
      <c r="M2" s="10">
        <f>L2*0.05</f>
        <v>500</v>
      </c>
      <c r="N2" s="10">
        <f>L2+M2</f>
        <v>10500</v>
      </c>
      <c r="O2" s="10">
        <f>J2*0.2</f>
        <v>9800</v>
      </c>
      <c r="P2" s="17">
        <f t="shared" ref="P2:P5" si="0">J2-N2-O2</f>
        <v>28700</v>
      </c>
      <c r="Q2" s="18">
        <f>(P2/J2)</f>
        <v>0.58571428571428574</v>
      </c>
      <c r="R2" s="28">
        <f>P2-J2*0.1</f>
        <v>23800</v>
      </c>
      <c r="S2" s="18">
        <f>R2/J2</f>
        <v>0.48571428571428571</v>
      </c>
    </row>
    <row r="3" spans="1:22" s="5" customFormat="1" x14ac:dyDescent="0.25">
      <c r="A3" s="5">
        <v>2</v>
      </c>
      <c r="B3" s="5" t="s">
        <v>5</v>
      </c>
      <c r="C3" s="5" t="s">
        <v>51</v>
      </c>
      <c r="D3" s="25" t="s">
        <v>52</v>
      </c>
      <c r="E3" s="6" t="s">
        <v>63</v>
      </c>
      <c r="F3" s="5" t="s">
        <v>42</v>
      </c>
      <c r="G3" s="8" t="s">
        <v>64</v>
      </c>
      <c r="H3" s="10">
        <v>105000</v>
      </c>
      <c r="I3" s="10">
        <f>H3*0.05</f>
        <v>5250</v>
      </c>
      <c r="J3" s="10">
        <f t="shared" ref="J3:J36" si="1">H3+I3</f>
        <v>110250</v>
      </c>
      <c r="K3" s="21"/>
      <c r="L3" s="22"/>
      <c r="M3" s="22"/>
      <c r="N3" s="22"/>
      <c r="O3" s="22"/>
      <c r="P3" s="23"/>
      <c r="Q3" s="24"/>
      <c r="R3" s="29"/>
      <c r="S3" s="24"/>
    </row>
    <row r="4" spans="1:22" s="5" customFormat="1" x14ac:dyDescent="0.25">
      <c r="A4" s="5">
        <v>3</v>
      </c>
      <c r="B4" s="5" t="s">
        <v>6</v>
      </c>
      <c r="C4" s="5" t="s">
        <v>50</v>
      </c>
      <c r="D4" s="7" t="s">
        <v>58</v>
      </c>
      <c r="E4" s="6" t="s">
        <v>65</v>
      </c>
      <c r="F4" s="5" t="s">
        <v>40</v>
      </c>
      <c r="G4" s="8" t="s">
        <v>66</v>
      </c>
      <c r="H4" s="10">
        <v>40000</v>
      </c>
      <c r="I4" s="10">
        <v>0</v>
      </c>
      <c r="J4" s="10">
        <f t="shared" si="1"/>
        <v>40000</v>
      </c>
      <c r="K4" s="5" t="s">
        <v>68</v>
      </c>
      <c r="L4" s="10"/>
      <c r="M4" s="10"/>
      <c r="N4" s="10"/>
      <c r="O4" s="10">
        <f>J4*0.2</f>
        <v>8000</v>
      </c>
      <c r="P4" s="17">
        <f t="shared" si="0"/>
        <v>32000</v>
      </c>
      <c r="Q4" s="18">
        <f>(P4/J4)</f>
        <v>0.8</v>
      </c>
      <c r="R4" s="28">
        <f>P4-J4*0.1</f>
        <v>28000</v>
      </c>
      <c r="S4" s="18">
        <f>R4/J4</f>
        <v>0.7</v>
      </c>
      <c r="T4" s="5" t="s">
        <v>159</v>
      </c>
    </row>
    <row r="5" spans="1:22" s="5" customFormat="1" ht="30" x14ac:dyDescent="0.25">
      <c r="A5" s="5">
        <v>4</v>
      </c>
      <c r="B5" s="5" t="s">
        <v>7</v>
      </c>
      <c r="C5" s="5" t="s">
        <v>48</v>
      </c>
      <c r="D5" s="7" t="s">
        <v>58</v>
      </c>
      <c r="E5" s="6" t="s">
        <v>46</v>
      </c>
      <c r="F5" s="5" t="s">
        <v>43</v>
      </c>
      <c r="G5" s="8" t="s">
        <v>45</v>
      </c>
      <c r="H5" s="10">
        <v>222048</v>
      </c>
      <c r="I5" s="10">
        <v>0</v>
      </c>
      <c r="J5" s="10">
        <f t="shared" si="1"/>
        <v>222048</v>
      </c>
      <c r="K5" s="5" t="s">
        <v>61</v>
      </c>
      <c r="L5" s="10">
        <v>120000</v>
      </c>
      <c r="M5" s="10">
        <f>L5*0.05</f>
        <v>6000</v>
      </c>
      <c r="N5" s="10">
        <f>L5+M5</f>
        <v>126000</v>
      </c>
      <c r="O5" s="10">
        <f>J5*0.1</f>
        <v>22204.800000000003</v>
      </c>
      <c r="P5" s="17">
        <f t="shared" si="0"/>
        <v>73843.199999999997</v>
      </c>
      <c r="Q5" s="18">
        <f>(P5/J5)</f>
        <v>0.3325551232166018</v>
      </c>
      <c r="R5" s="28">
        <f>P5-J5*0.1</f>
        <v>51638.399999999994</v>
      </c>
      <c r="S5" s="18">
        <f>R5/J5</f>
        <v>0.23255512321660179</v>
      </c>
    </row>
    <row r="6" spans="1:22" s="5" customFormat="1" ht="30" x14ac:dyDescent="0.25">
      <c r="A6" s="5">
        <v>5</v>
      </c>
      <c r="B6" s="5" t="s">
        <v>8</v>
      </c>
      <c r="C6" s="5" t="s">
        <v>50</v>
      </c>
      <c r="D6" s="7" t="s">
        <v>58</v>
      </c>
      <c r="E6" s="6" t="s">
        <v>54</v>
      </c>
      <c r="F6" s="5" t="s">
        <v>53</v>
      </c>
      <c r="G6" s="8" t="s">
        <v>55</v>
      </c>
      <c r="H6" s="10">
        <v>95000</v>
      </c>
      <c r="I6" s="10">
        <f>H6*0.05</f>
        <v>4750</v>
      </c>
      <c r="J6" s="10">
        <f t="shared" si="1"/>
        <v>99750</v>
      </c>
      <c r="K6" s="5" t="s">
        <v>42</v>
      </c>
      <c r="L6" s="10">
        <v>20000</v>
      </c>
      <c r="M6" s="10">
        <v>0</v>
      </c>
      <c r="N6" s="10">
        <f>L6+M6</f>
        <v>20000</v>
      </c>
      <c r="O6" s="10">
        <f>J6*0.2</f>
        <v>19950</v>
      </c>
      <c r="P6" s="17">
        <f>J6-N6-O6</f>
        <v>59800</v>
      </c>
      <c r="Q6" s="18">
        <f>(P6/J6)</f>
        <v>0.59949874686716786</v>
      </c>
      <c r="R6" s="28">
        <f>P6-J6*0.1</f>
        <v>49825</v>
      </c>
      <c r="S6" s="18">
        <f>R6/J6</f>
        <v>0.49949874686716794</v>
      </c>
    </row>
    <row r="7" spans="1:22" s="5" customFormat="1" x14ac:dyDescent="0.25">
      <c r="A7" s="5">
        <v>6</v>
      </c>
      <c r="B7" s="5" t="s">
        <v>9</v>
      </c>
      <c r="C7" s="5" t="s">
        <v>47</v>
      </c>
      <c r="D7" s="25" t="s">
        <v>52</v>
      </c>
      <c r="E7" s="6" t="s">
        <v>69</v>
      </c>
      <c r="G7" s="8"/>
      <c r="H7" s="10"/>
      <c r="I7" s="10"/>
      <c r="J7" s="10">
        <f t="shared" si="1"/>
        <v>0</v>
      </c>
      <c r="K7" s="21"/>
      <c r="L7" s="22"/>
      <c r="M7" s="22"/>
      <c r="N7" s="22"/>
      <c r="O7" s="22"/>
      <c r="P7" s="23"/>
      <c r="Q7" s="24"/>
      <c r="R7" s="29"/>
      <c r="S7" s="24"/>
    </row>
    <row r="8" spans="1:22" s="5" customFormat="1" x14ac:dyDescent="0.25">
      <c r="A8" s="5">
        <v>7</v>
      </c>
      <c r="B8" s="5" t="s">
        <v>10</v>
      </c>
      <c r="C8" s="5" t="s">
        <v>72</v>
      </c>
      <c r="D8" s="25" t="s">
        <v>52</v>
      </c>
      <c r="E8" s="6" t="s">
        <v>73</v>
      </c>
      <c r="F8" s="6" t="s">
        <v>70</v>
      </c>
      <c r="G8" s="8" t="s">
        <v>74</v>
      </c>
      <c r="H8" s="10">
        <v>31500</v>
      </c>
      <c r="I8" s="10">
        <f>H8*0.05</f>
        <v>1575</v>
      </c>
      <c r="J8" s="10">
        <f t="shared" si="1"/>
        <v>33075</v>
      </c>
      <c r="K8" s="21"/>
      <c r="L8" s="22"/>
      <c r="M8" s="22"/>
      <c r="N8" s="22"/>
      <c r="O8" s="22"/>
      <c r="P8" s="23"/>
      <c r="Q8" s="24"/>
      <c r="R8" s="29"/>
      <c r="S8" s="24"/>
    </row>
    <row r="9" spans="1:22" s="5" customFormat="1" x14ac:dyDescent="0.25">
      <c r="A9" s="5">
        <v>8</v>
      </c>
      <c r="B9" s="5" t="s">
        <v>11</v>
      </c>
      <c r="C9" s="5" t="s">
        <v>77</v>
      </c>
      <c r="D9" s="7" t="s">
        <v>58</v>
      </c>
      <c r="E9" s="6" t="s">
        <v>76</v>
      </c>
      <c r="F9" s="5" t="s">
        <v>75</v>
      </c>
      <c r="G9" s="8" t="s">
        <v>78</v>
      </c>
      <c r="H9" s="10">
        <v>35000</v>
      </c>
      <c r="I9" s="10">
        <f>H9*0.05</f>
        <v>1750</v>
      </c>
      <c r="J9" s="10">
        <f t="shared" si="1"/>
        <v>36750</v>
      </c>
      <c r="K9" s="5" t="s">
        <v>79</v>
      </c>
      <c r="L9" s="10">
        <v>15000</v>
      </c>
      <c r="M9" s="10">
        <v>0</v>
      </c>
      <c r="N9" s="10">
        <f>L9+M9</f>
        <v>15000</v>
      </c>
      <c r="O9" s="10">
        <f>J9*0.1</f>
        <v>3675</v>
      </c>
      <c r="P9" s="17">
        <f t="shared" ref="P9:P27" si="2">J9-N9-O9</f>
        <v>18075</v>
      </c>
      <c r="Q9" s="18">
        <f>(P9/J9)</f>
        <v>0.49183673469387756</v>
      </c>
      <c r="R9" s="28">
        <f>P9-J9*0.1</f>
        <v>14400</v>
      </c>
      <c r="S9" s="18">
        <f>R9/J9</f>
        <v>0.39183673469387753</v>
      </c>
      <c r="T9" s="5" t="s">
        <v>149</v>
      </c>
    </row>
    <row r="10" spans="1:22" s="5" customFormat="1" x14ac:dyDescent="0.25">
      <c r="A10" s="5">
        <v>9</v>
      </c>
      <c r="B10" s="5" t="s">
        <v>12</v>
      </c>
      <c r="C10" s="5" t="s">
        <v>83</v>
      </c>
      <c r="D10" s="7" t="s">
        <v>58</v>
      </c>
      <c r="E10" s="6" t="s">
        <v>84</v>
      </c>
      <c r="F10" s="5" t="s">
        <v>40</v>
      </c>
      <c r="G10" s="8" t="s">
        <v>82</v>
      </c>
      <c r="H10" s="10">
        <v>140000</v>
      </c>
      <c r="I10" s="10">
        <v>0</v>
      </c>
      <c r="J10" s="10">
        <f t="shared" si="1"/>
        <v>140000</v>
      </c>
      <c r="K10" s="5" t="s">
        <v>41</v>
      </c>
      <c r="L10" s="10">
        <v>90000</v>
      </c>
      <c r="M10" s="10">
        <f>L10*0.05</f>
        <v>4500</v>
      </c>
      <c r="N10" s="10">
        <f>L10+M10</f>
        <v>94500</v>
      </c>
      <c r="O10" s="10">
        <f>J10*0.1</f>
        <v>14000</v>
      </c>
      <c r="P10" s="17">
        <f t="shared" si="2"/>
        <v>31500</v>
      </c>
      <c r="Q10" s="18">
        <f>(P10/J10)</f>
        <v>0.22500000000000001</v>
      </c>
      <c r="R10" s="28">
        <f>P10-J10*0.1</f>
        <v>17500</v>
      </c>
      <c r="S10" s="18">
        <f>R10/J10</f>
        <v>0.125</v>
      </c>
      <c r="T10" s="5" t="s">
        <v>150</v>
      </c>
    </row>
    <row r="11" spans="1:22" s="5" customFormat="1" x14ac:dyDescent="0.25">
      <c r="A11" s="5">
        <v>10</v>
      </c>
      <c r="B11" s="5" t="s">
        <v>13</v>
      </c>
      <c r="C11" s="5" t="s">
        <v>87</v>
      </c>
      <c r="D11" s="7" t="s">
        <v>58</v>
      </c>
      <c r="E11" s="6" t="s">
        <v>85</v>
      </c>
      <c r="F11" s="5" t="s">
        <v>89</v>
      </c>
      <c r="G11" s="8" t="s">
        <v>90</v>
      </c>
      <c r="H11" s="10">
        <v>17000</v>
      </c>
      <c r="I11" s="10">
        <f t="shared" ref="I11:I25" si="3">H11*0.05</f>
        <v>850</v>
      </c>
      <c r="J11" s="10">
        <f t="shared" si="1"/>
        <v>17850</v>
      </c>
      <c r="K11" s="5" t="s">
        <v>91</v>
      </c>
      <c r="L11" s="10">
        <f>7000+6000</f>
        <v>13000</v>
      </c>
      <c r="M11" s="10">
        <v>0</v>
      </c>
      <c r="N11" s="10">
        <f>L11+M11</f>
        <v>13000</v>
      </c>
      <c r="O11" s="10">
        <f>J11*0.1</f>
        <v>1785</v>
      </c>
      <c r="P11" s="17">
        <f t="shared" si="2"/>
        <v>3065</v>
      </c>
      <c r="Q11" s="18">
        <f>(P11/J11)</f>
        <v>0.17170868347338936</v>
      </c>
      <c r="R11" s="28">
        <f>P11-J11*0.1</f>
        <v>1280</v>
      </c>
      <c r="S11" s="18">
        <f>R11/J11</f>
        <v>7.1708683473389351E-2</v>
      </c>
    </row>
    <row r="12" spans="1:22" s="5" customFormat="1" x14ac:dyDescent="0.25">
      <c r="A12" s="5">
        <v>11</v>
      </c>
      <c r="B12" s="5" t="s">
        <v>14</v>
      </c>
      <c r="C12" s="5" t="s">
        <v>94</v>
      </c>
      <c r="D12" s="25" t="s">
        <v>52</v>
      </c>
      <c r="E12" s="6" t="s">
        <v>93</v>
      </c>
      <c r="F12" s="6" t="s">
        <v>92</v>
      </c>
      <c r="G12" s="8" t="s">
        <v>95</v>
      </c>
      <c r="H12" s="10">
        <v>20000</v>
      </c>
      <c r="I12" s="10">
        <f t="shared" si="3"/>
        <v>1000</v>
      </c>
      <c r="J12" s="10">
        <f t="shared" si="1"/>
        <v>21000</v>
      </c>
      <c r="K12" s="21"/>
      <c r="L12" s="22"/>
      <c r="M12" s="22"/>
      <c r="N12" s="22"/>
      <c r="O12" s="22"/>
      <c r="P12" s="23"/>
      <c r="Q12" s="24"/>
      <c r="R12" s="29"/>
      <c r="S12" s="24"/>
    </row>
    <row r="13" spans="1:22" s="5" customFormat="1" x14ac:dyDescent="0.25">
      <c r="A13" s="5">
        <v>12</v>
      </c>
      <c r="B13" s="5" t="s">
        <v>15</v>
      </c>
      <c r="C13" s="5" t="s">
        <v>50</v>
      </c>
      <c r="D13" s="7" t="s">
        <v>58</v>
      </c>
      <c r="E13" s="6" t="s">
        <v>96</v>
      </c>
      <c r="F13" s="5" t="s">
        <v>111</v>
      </c>
      <c r="G13" s="8" t="s">
        <v>97</v>
      </c>
      <c r="H13" s="10">
        <v>45000</v>
      </c>
      <c r="I13" s="10">
        <f t="shared" si="3"/>
        <v>2250</v>
      </c>
      <c r="J13" s="10">
        <f t="shared" si="1"/>
        <v>47250</v>
      </c>
      <c r="K13" s="5" t="s">
        <v>98</v>
      </c>
      <c r="L13" s="10">
        <v>6000</v>
      </c>
      <c r="M13" s="10">
        <v>0</v>
      </c>
      <c r="N13" s="10">
        <f>L13+M13</f>
        <v>6000</v>
      </c>
      <c r="O13" s="10">
        <f>J13*0.2</f>
        <v>9450</v>
      </c>
      <c r="P13" s="17">
        <f t="shared" si="2"/>
        <v>31800</v>
      </c>
      <c r="Q13" s="18">
        <f>(P13/J13)</f>
        <v>0.67301587301587307</v>
      </c>
      <c r="R13" s="28">
        <f>P13-J13*0.1</f>
        <v>27075</v>
      </c>
      <c r="S13" s="18">
        <f>R13/J13</f>
        <v>0.57301587301587298</v>
      </c>
    </row>
    <row r="14" spans="1:22" s="5" customFormat="1" ht="30" x14ac:dyDescent="0.25">
      <c r="A14" s="5">
        <v>13</v>
      </c>
      <c r="B14" s="5" t="s">
        <v>16</v>
      </c>
      <c r="C14" s="5" t="s">
        <v>86</v>
      </c>
      <c r="D14" s="7" t="s">
        <v>58</v>
      </c>
      <c r="E14" s="6" t="s">
        <v>99</v>
      </c>
      <c r="F14" s="5" t="s">
        <v>88</v>
      </c>
      <c r="G14" s="8" t="s">
        <v>100</v>
      </c>
      <c r="H14" s="10">
        <v>17000</v>
      </c>
      <c r="I14" s="10">
        <f t="shared" si="3"/>
        <v>850</v>
      </c>
      <c r="J14" s="10">
        <f t="shared" si="1"/>
        <v>17850</v>
      </c>
      <c r="K14" s="5" t="s">
        <v>91</v>
      </c>
      <c r="L14" s="10">
        <f>7000+6000</f>
        <v>13000</v>
      </c>
      <c r="M14" s="10">
        <v>0</v>
      </c>
      <c r="N14" s="10">
        <f>L14+M14</f>
        <v>13000</v>
      </c>
      <c r="O14" s="10">
        <f>J14*0.1</f>
        <v>1785</v>
      </c>
      <c r="P14" s="17">
        <f t="shared" si="2"/>
        <v>3065</v>
      </c>
      <c r="Q14" s="18">
        <f>(P14/J14)</f>
        <v>0.17170868347338936</v>
      </c>
      <c r="R14" s="28">
        <f>P14-J14*0.1</f>
        <v>1280</v>
      </c>
      <c r="S14" s="18">
        <f>R14/J14</f>
        <v>7.1708683473389351E-2</v>
      </c>
    </row>
    <row r="15" spans="1:22" s="5" customFormat="1" x14ac:dyDescent="0.25">
      <c r="A15" s="5">
        <v>14</v>
      </c>
      <c r="B15" s="5" t="s">
        <v>17</v>
      </c>
      <c r="C15" s="5" t="s">
        <v>47</v>
      </c>
      <c r="D15" s="7" t="s">
        <v>58</v>
      </c>
      <c r="E15" s="6" t="s">
        <v>102</v>
      </c>
      <c r="F15" s="5" t="s">
        <v>101</v>
      </c>
      <c r="G15" s="8" t="s">
        <v>103</v>
      </c>
      <c r="H15" s="10">
        <v>35000</v>
      </c>
      <c r="I15" s="10">
        <f t="shared" si="3"/>
        <v>1750</v>
      </c>
      <c r="J15" s="10">
        <f t="shared" si="1"/>
        <v>36750</v>
      </c>
      <c r="K15" s="5" t="s">
        <v>61</v>
      </c>
      <c r="L15" s="10">
        <v>20000</v>
      </c>
      <c r="M15" s="10">
        <f>L15*0.05</f>
        <v>1000</v>
      </c>
      <c r="N15" s="10">
        <f>L15+M15</f>
        <v>21000</v>
      </c>
      <c r="O15" s="10">
        <f>J15*0.1</f>
        <v>3675</v>
      </c>
      <c r="P15" s="17">
        <f t="shared" si="2"/>
        <v>12075</v>
      </c>
      <c r="Q15" s="18">
        <f>(P15/J15)</f>
        <v>0.32857142857142857</v>
      </c>
      <c r="R15" s="28">
        <f>P15-J15*0.1</f>
        <v>8400</v>
      </c>
      <c r="S15" s="18">
        <f>R15/J15</f>
        <v>0.22857142857142856</v>
      </c>
      <c r="T15" s="5" t="s">
        <v>311</v>
      </c>
      <c r="V15" s="5" t="s">
        <v>311</v>
      </c>
    </row>
    <row r="16" spans="1:22" s="5" customFormat="1" x14ac:dyDescent="0.25">
      <c r="A16" s="5">
        <v>15</v>
      </c>
      <c r="B16" s="5" t="s">
        <v>18</v>
      </c>
      <c r="C16" s="5" t="s">
        <v>105</v>
      </c>
      <c r="D16" s="25" t="s">
        <v>52</v>
      </c>
      <c r="E16" s="6" t="s">
        <v>107</v>
      </c>
      <c r="F16" s="5" t="s">
        <v>106</v>
      </c>
      <c r="G16" s="8" t="s">
        <v>108</v>
      </c>
      <c r="H16" s="10">
        <v>874000</v>
      </c>
      <c r="I16" s="10">
        <f t="shared" si="3"/>
        <v>43700</v>
      </c>
      <c r="J16" s="10">
        <f t="shared" si="1"/>
        <v>917700</v>
      </c>
      <c r="K16" s="21"/>
      <c r="L16" s="22"/>
      <c r="M16" s="22"/>
      <c r="N16" s="22"/>
      <c r="O16" s="22"/>
      <c r="P16" s="23"/>
      <c r="Q16" s="24"/>
      <c r="R16" s="29"/>
      <c r="S16" s="24"/>
    </row>
    <row r="17" spans="1:20" s="5" customFormat="1" x14ac:dyDescent="0.25">
      <c r="A17" s="5">
        <v>16</v>
      </c>
      <c r="B17" s="5" t="s">
        <v>19</v>
      </c>
      <c r="C17" s="5" t="s">
        <v>50</v>
      </c>
      <c r="D17" s="7" t="s">
        <v>58</v>
      </c>
      <c r="E17" s="6" t="s">
        <v>109</v>
      </c>
      <c r="F17" s="5" t="s">
        <v>112</v>
      </c>
      <c r="G17" s="8" t="s">
        <v>108</v>
      </c>
      <c r="H17" s="10">
        <v>40000</v>
      </c>
      <c r="I17" s="10">
        <f t="shared" si="3"/>
        <v>2000</v>
      </c>
      <c r="J17" s="10">
        <f t="shared" si="1"/>
        <v>42000</v>
      </c>
      <c r="K17" s="5" t="s">
        <v>68</v>
      </c>
      <c r="L17" s="10"/>
      <c r="M17" s="10"/>
      <c r="N17" s="10"/>
      <c r="O17" s="10">
        <f>J17*0.2</f>
        <v>8400</v>
      </c>
      <c r="P17" s="17">
        <f t="shared" si="2"/>
        <v>33600</v>
      </c>
      <c r="Q17" s="18">
        <f>(P17/J17)</f>
        <v>0.8</v>
      </c>
      <c r="R17" s="28">
        <f>P17-J17*0.1</f>
        <v>29400</v>
      </c>
      <c r="S17" s="18">
        <f>R17/J17</f>
        <v>0.7</v>
      </c>
      <c r="T17" s="5" t="s">
        <v>152</v>
      </c>
    </row>
    <row r="18" spans="1:20" s="5" customFormat="1" x14ac:dyDescent="0.25">
      <c r="A18" s="5">
        <v>17</v>
      </c>
      <c r="B18" s="5" t="s">
        <v>115</v>
      </c>
      <c r="C18" s="5" t="s">
        <v>71</v>
      </c>
      <c r="D18" s="7" t="s">
        <v>58</v>
      </c>
      <c r="E18" s="6" t="s">
        <v>118</v>
      </c>
      <c r="F18" s="5" t="s">
        <v>114</v>
      </c>
      <c r="G18" s="8" t="s">
        <v>119</v>
      </c>
      <c r="H18" s="10">
        <v>10000</v>
      </c>
      <c r="I18" s="10">
        <f t="shared" si="3"/>
        <v>500</v>
      </c>
      <c r="J18" s="10">
        <f t="shared" si="1"/>
        <v>10500</v>
      </c>
      <c r="K18" s="5" t="s">
        <v>120</v>
      </c>
      <c r="L18" s="10">
        <v>8000</v>
      </c>
      <c r="M18" s="10">
        <f>L18*0.05</f>
        <v>400</v>
      </c>
      <c r="N18" s="10">
        <f>L18+M18</f>
        <v>8400</v>
      </c>
      <c r="O18" s="10">
        <f>J18*0.1</f>
        <v>1050</v>
      </c>
      <c r="P18" s="17">
        <f t="shared" si="2"/>
        <v>1050</v>
      </c>
      <c r="Q18" s="18">
        <f>(P18/J18)</f>
        <v>0.1</v>
      </c>
      <c r="R18" s="28">
        <f>P18-J18*0.1</f>
        <v>0</v>
      </c>
      <c r="S18" s="18">
        <f>R18/J18</f>
        <v>0</v>
      </c>
      <c r="T18" s="5" t="s">
        <v>313</v>
      </c>
    </row>
    <row r="19" spans="1:20" s="5" customFormat="1" x14ac:dyDescent="0.25">
      <c r="B19" s="5" t="s">
        <v>116</v>
      </c>
      <c r="C19" s="5" t="s">
        <v>71</v>
      </c>
      <c r="D19" s="7" t="s">
        <v>58</v>
      </c>
      <c r="E19" s="6" t="s">
        <v>117</v>
      </c>
      <c r="F19" s="5" t="s">
        <v>113</v>
      </c>
      <c r="G19" s="8" t="s">
        <v>119</v>
      </c>
      <c r="H19" s="10">
        <v>10000</v>
      </c>
      <c r="I19" s="10">
        <f t="shared" si="3"/>
        <v>500</v>
      </c>
      <c r="J19" s="10">
        <f t="shared" si="1"/>
        <v>10500</v>
      </c>
      <c r="K19" s="5" t="s">
        <v>120</v>
      </c>
      <c r="L19" s="10">
        <v>8000</v>
      </c>
      <c r="M19" s="10">
        <f>L19*0.05</f>
        <v>400</v>
      </c>
      <c r="N19" s="10">
        <f>L19+M19</f>
        <v>8400</v>
      </c>
      <c r="O19" s="10">
        <f>J19*0.1</f>
        <v>1050</v>
      </c>
      <c r="P19" s="17">
        <f t="shared" si="2"/>
        <v>1050</v>
      </c>
      <c r="Q19" s="18">
        <f>(P19/J19)</f>
        <v>0.1</v>
      </c>
      <c r="R19" s="28">
        <f>P19-J19*0.1</f>
        <v>0</v>
      </c>
      <c r="S19" s="18">
        <f>R19/J19</f>
        <v>0</v>
      </c>
      <c r="T19" s="5" t="s">
        <v>313</v>
      </c>
    </row>
    <row r="20" spans="1:20" s="5" customFormat="1" x14ac:dyDescent="0.25">
      <c r="A20" s="5">
        <v>18</v>
      </c>
      <c r="B20" s="5" t="s">
        <v>20</v>
      </c>
      <c r="C20" s="5" t="s">
        <v>50</v>
      </c>
      <c r="D20" s="25" t="s">
        <v>52</v>
      </c>
      <c r="E20" s="6" t="s">
        <v>121</v>
      </c>
      <c r="F20" s="5" t="s">
        <v>110</v>
      </c>
      <c r="G20" s="8" t="s">
        <v>122</v>
      </c>
      <c r="H20" s="10">
        <v>174000</v>
      </c>
      <c r="I20" s="10">
        <f t="shared" si="3"/>
        <v>8700</v>
      </c>
      <c r="J20" s="10">
        <f t="shared" si="1"/>
        <v>182700</v>
      </c>
      <c r="K20" s="21"/>
      <c r="L20" s="22"/>
      <c r="M20" s="22"/>
      <c r="N20" s="22"/>
      <c r="O20" s="22"/>
      <c r="P20" s="23"/>
      <c r="Q20" s="24"/>
      <c r="R20" s="29"/>
      <c r="S20" s="24"/>
    </row>
    <row r="21" spans="1:20" s="5" customFormat="1" x14ac:dyDescent="0.25">
      <c r="A21" s="5">
        <v>19</v>
      </c>
      <c r="B21" s="5" t="s">
        <v>21</v>
      </c>
      <c r="C21" s="5" t="s">
        <v>104</v>
      </c>
      <c r="D21" s="25" t="s">
        <v>52</v>
      </c>
      <c r="E21" s="6" t="s">
        <v>123</v>
      </c>
      <c r="F21" s="5" t="s">
        <v>124</v>
      </c>
      <c r="G21" s="8" t="s">
        <v>125</v>
      </c>
      <c r="H21" s="10">
        <v>698000</v>
      </c>
      <c r="I21" s="10">
        <f t="shared" si="3"/>
        <v>34900</v>
      </c>
      <c r="J21" s="10">
        <f t="shared" si="1"/>
        <v>732900</v>
      </c>
      <c r="K21" s="21"/>
      <c r="L21" s="22"/>
      <c r="M21" s="22"/>
      <c r="N21" s="22"/>
      <c r="O21" s="22"/>
      <c r="P21" s="23"/>
      <c r="Q21" s="24"/>
      <c r="R21" s="29"/>
      <c r="S21" s="24"/>
    </row>
    <row r="22" spans="1:20" s="5" customFormat="1" x14ac:dyDescent="0.25">
      <c r="A22" s="5">
        <v>20</v>
      </c>
      <c r="B22" s="5" t="s">
        <v>22</v>
      </c>
      <c r="C22" s="5" t="s">
        <v>71</v>
      </c>
      <c r="D22" s="7" t="s">
        <v>58</v>
      </c>
      <c r="E22" s="6" t="s">
        <v>126</v>
      </c>
      <c r="F22" s="5" t="s">
        <v>40</v>
      </c>
      <c r="G22" s="8" t="s">
        <v>127</v>
      </c>
      <c r="H22" s="10">
        <v>434000</v>
      </c>
      <c r="I22" s="10">
        <f t="shared" si="3"/>
        <v>21700</v>
      </c>
      <c r="J22" s="10">
        <f t="shared" si="1"/>
        <v>455700</v>
      </c>
      <c r="K22" s="5" t="s">
        <v>41</v>
      </c>
      <c r="L22" s="10">
        <v>296000</v>
      </c>
      <c r="M22" s="10">
        <v>0</v>
      </c>
      <c r="N22" s="10">
        <f>L22+M22</f>
        <v>296000</v>
      </c>
      <c r="O22" s="10">
        <f>J22*0.1</f>
        <v>45570</v>
      </c>
      <c r="P22" s="17">
        <f t="shared" ref="P22" si="4">J22-N22-O22</f>
        <v>114130</v>
      </c>
      <c r="Q22" s="18">
        <f t="shared" ref="Q22:Q27" si="5">(P22/J22)</f>
        <v>0.25044985736229974</v>
      </c>
      <c r="R22" s="28">
        <f t="shared" ref="R22:R27" si="6">P22-J22*0.1</f>
        <v>68560</v>
      </c>
      <c r="S22" s="18">
        <f t="shared" ref="S22:S27" si="7">R22/J22</f>
        <v>0.15044985736229977</v>
      </c>
      <c r="T22" s="5" t="s">
        <v>314</v>
      </c>
    </row>
    <row r="23" spans="1:20" s="5" customFormat="1" x14ac:dyDescent="0.25">
      <c r="A23" s="5">
        <v>21</v>
      </c>
      <c r="B23" s="5" t="s">
        <v>23</v>
      </c>
      <c r="C23" s="5" t="s">
        <v>50</v>
      </c>
      <c r="D23" s="7" t="s">
        <v>58</v>
      </c>
      <c r="E23" s="6" t="s">
        <v>128</v>
      </c>
      <c r="F23" s="5" t="s">
        <v>129</v>
      </c>
      <c r="G23" s="8" t="s">
        <v>130</v>
      </c>
      <c r="H23" s="10">
        <v>93000</v>
      </c>
      <c r="I23" s="10">
        <f t="shared" si="3"/>
        <v>4650</v>
      </c>
      <c r="J23" s="10">
        <f t="shared" si="1"/>
        <v>97650</v>
      </c>
      <c r="K23" s="5" t="s">
        <v>67</v>
      </c>
      <c r="L23" s="10"/>
      <c r="M23" s="10"/>
      <c r="N23" s="10"/>
      <c r="O23" s="10">
        <f>J23*0.2</f>
        <v>19530</v>
      </c>
      <c r="P23" s="17">
        <f t="shared" si="2"/>
        <v>78120</v>
      </c>
      <c r="Q23" s="18">
        <f t="shared" si="5"/>
        <v>0.8</v>
      </c>
      <c r="R23" s="28">
        <f t="shared" si="6"/>
        <v>68355</v>
      </c>
      <c r="S23" s="18">
        <f t="shared" si="7"/>
        <v>0.7</v>
      </c>
      <c r="T23" s="5" t="s">
        <v>151</v>
      </c>
    </row>
    <row r="24" spans="1:20" s="5" customFormat="1" x14ac:dyDescent="0.25">
      <c r="A24" s="5">
        <v>22</v>
      </c>
      <c r="B24" s="5" t="s">
        <v>24</v>
      </c>
      <c r="C24" s="5" t="s">
        <v>86</v>
      </c>
      <c r="D24" s="7" t="s">
        <v>58</v>
      </c>
      <c r="E24" s="6" t="s">
        <v>131</v>
      </c>
      <c r="F24" s="5" t="s">
        <v>88</v>
      </c>
      <c r="G24" s="8" t="s">
        <v>132</v>
      </c>
      <c r="H24" s="10">
        <v>17000</v>
      </c>
      <c r="I24" s="10">
        <f t="shared" si="3"/>
        <v>850</v>
      </c>
      <c r="J24" s="10">
        <f t="shared" ref="J24" si="8">H24+I24</f>
        <v>17850</v>
      </c>
      <c r="K24" s="5" t="s">
        <v>91</v>
      </c>
      <c r="L24" s="10">
        <f>7000+6000</f>
        <v>13000</v>
      </c>
      <c r="M24" s="10">
        <v>0</v>
      </c>
      <c r="N24" s="10">
        <f>L24+M24</f>
        <v>13000</v>
      </c>
      <c r="O24" s="10">
        <f>J24*0.1</f>
        <v>1785</v>
      </c>
      <c r="P24" s="17">
        <f t="shared" si="2"/>
        <v>3065</v>
      </c>
      <c r="Q24" s="18">
        <f t="shared" si="5"/>
        <v>0.17170868347338936</v>
      </c>
      <c r="R24" s="28">
        <f t="shared" si="6"/>
        <v>1280</v>
      </c>
      <c r="S24" s="18">
        <f t="shared" si="7"/>
        <v>7.1708683473389351E-2</v>
      </c>
    </row>
    <row r="25" spans="1:20" s="5" customFormat="1" x14ac:dyDescent="0.25">
      <c r="A25" s="5">
        <v>23</v>
      </c>
      <c r="B25" s="5" t="s">
        <v>25</v>
      </c>
      <c r="C25" s="5" t="s">
        <v>71</v>
      </c>
      <c r="D25" s="7" t="s">
        <v>58</v>
      </c>
      <c r="E25" s="6" t="s">
        <v>134</v>
      </c>
      <c r="F25" s="5" t="s">
        <v>133</v>
      </c>
      <c r="G25" s="8" t="s">
        <v>135</v>
      </c>
      <c r="H25" s="10">
        <v>15000</v>
      </c>
      <c r="I25" s="10">
        <f t="shared" si="3"/>
        <v>750</v>
      </c>
      <c r="J25" s="10">
        <f t="shared" si="1"/>
        <v>15750</v>
      </c>
      <c r="K25" s="5" t="s">
        <v>136</v>
      </c>
      <c r="L25" s="10">
        <f>9000*1.1</f>
        <v>9900</v>
      </c>
      <c r="M25" s="10">
        <v>0</v>
      </c>
      <c r="N25" s="10">
        <f>L25+M25</f>
        <v>9900</v>
      </c>
      <c r="O25" s="10">
        <f>J25*0.1</f>
        <v>1575</v>
      </c>
      <c r="P25" s="17">
        <f t="shared" si="2"/>
        <v>4275</v>
      </c>
      <c r="Q25" s="18">
        <f t="shared" si="5"/>
        <v>0.27142857142857141</v>
      </c>
      <c r="R25" s="28">
        <f t="shared" si="6"/>
        <v>2700</v>
      </c>
      <c r="S25" s="18">
        <f t="shared" si="7"/>
        <v>0.17142857142857143</v>
      </c>
      <c r="T25" s="5" t="s">
        <v>158</v>
      </c>
    </row>
    <row r="26" spans="1:20" s="5" customFormat="1" x14ac:dyDescent="0.25">
      <c r="A26" s="5">
        <v>24</v>
      </c>
      <c r="B26" s="5" t="s">
        <v>26</v>
      </c>
      <c r="C26" s="5" t="s">
        <v>50</v>
      </c>
      <c r="D26" s="25" t="s">
        <v>52</v>
      </c>
      <c r="E26" s="6" t="s">
        <v>137</v>
      </c>
      <c r="F26" s="5" t="s">
        <v>40</v>
      </c>
      <c r="G26" s="8" t="s">
        <v>138</v>
      </c>
      <c r="H26" s="10">
        <v>30000</v>
      </c>
      <c r="I26" s="10">
        <v>0</v>
      </c>
      <c r="J26" s="10">
        <f t="shared" si="1"/>
        <v>30000</v>
      </c>
      <c r="K26" s="21"/>
      <c r="L26" s="22"/>
      <c r="M26" s="22"/>
      <c r="N26" s="22"/>
      <c r="O26" s="22"/>
      <c r="P26" s="23"/>
      <c r="Q26" s="24"/>
      <c r="R26" s="29"/>
      <c r="S26" s="24"/>
    </row>
    <row r="27" spans="1:20" s="5" customFormat="1" x14ac:dyDescent="0.25">
      <c r="A27" s="5">
        <v>25</v>
      </c>
      <c r="B27" s="5" t="s">
        <v>27</v>
      </c>
      <c r="C27" s="5" t="s">
        <v>71</v>
      </c>
      <c r="D27" s="7" t="s">
        <v>58</v>
      </c>
      <c r="E27" s="6" t="s">
        <v>139</v>
      </c>
      <c r="F27" s="5" t="s">
        <v>38</v>
      </c>
      <c r="G27" s="8" t="s">
        <v>140</v>
      </c>
      <c r="H27" s="10">
        <v>14000</v>
      </c>
      <c r="I27" s="10">
        <v>0</v>
      </c>
      <c r="J27" s="10">
        <f t="shared" si="1"/>
        <v>14000</v>
      </c>
      <c r="K27" s="5" t="s">
        <v>136</v>
      </c>
      <c r="L27" s="10">
        <f>9000*1.1</f>
        <v>9900</v>
      </c>
      <c r="M27" s="10">
        <v>0</v>
      </c>
      <c r="N27" s="10">
        <f>L27+M27</f>
        <v>9900</v>
      </c>
      <c r="O27" s="10">
        <f>J27*0.1</f>
        <v>1400</v>
      </c>
      <c r="P27" s="17">
        <f t="shared" si="2"/>
        <v>2700</v>
      </c>
      <c r="Q27" s="18">
        <f t="shared" si="5"/>
        <v>0.19285714285714287</v>
      </c>
      <c r="R27" s="28">
        <f t="shared" si="6"/>
        <v>1300</v>
      </c>
      <c r="S27" s="18">
        <f t="shared" si="7"/>
        <v>9.285714285714286E-2</v>
      </c>
    </row>
    <row r="28" spans="1:20" x14ac:dyDescent="0.25">
      <c r="A28" s="2">
        <v>26</v>
      </c>
      <c r="B28" s="5" t="s">
        <v>141</v>
      </c>
      <c r="C28" s="2" t="s">
        <v>142</v>
      </c>
      <c r="D28" s="7" t="s">
        <v>58</v>
      </c>
      <c r="E28" s="3" t="s">
        <v>143</v>
      </c>
      <c r="F28" s="5" t="s">
        <v>144</v>
      </c>
      <c r="G28" s="8" t="s">
        <v>145</v>
      </c>
      <c r="H28" s="11">
        <v>64800</v>
      </c>
      <c r="I28" s="11">
        <v>0</v>
      </c>
      <c r="J28" s="10">
        <f t="shared" si="1"/>
        <v>64800</v>
      </c>
      <c r="K28" s="2" t="s">
        <v>147</v>
      </c>
      <c r="L28" s="11">
        <f>64800*0.89</f>
        <v>57672</v>
      </c>
      <c r="N28" s="10">
        <f>L28+M28</f>
        <v>57672</v>
      </c>
      <c r="O28" s="10">
        <f>J28*0.1</f>
        <v>6480</v>
      </c>
      <c r="P28" s="17">
        <f t="shared" ref="P28:P29" si="9">J28-N28-O28</f>
        <v>648</v>
      </c>
      <c r="Q28" s="18">
        <f t="shared" ref="Q28:Q29" si="10">(P28/J28)</f>
        <v>0.01</v>
      </c>
      <c r="R28" s="28">
        <f t="shared" ref="R28:R29" si="11">P28-J28*0.1</f>
        <v>-5832</v>
      </c>
      <c r="S28" s="18">
        <f t="shared" ref="S28:S29" si="12">R28/J28</f>
        <v>-0.09</v>
      </c>
    </row>
    <row r="29" spans="1:20" x14ac:dyDescent="0.25">
      <c r="A29" s="2">
        <v>27</v>
      </c>
      <c r="B29" s="5" t="s">
        <v>153</v>
      </c>
      <c r="C29" s="2" t="s">
        <v>50</v>
      </c>
      <c r="D29" s="7" t="s">
        <v>58</v>
      </c>
      <c r="E29" s="3" t="s">
        <v>148</v>
      </c>
      <c r="F29" s="5" t="s">
        <v>129</v>
      </c>
      <c r="G29" s="8" t="s">
        <v>146</v>
      </c>
      <c r="H29" s="11">
        <v>120000</v>
      </c>
      <c r="I29" s="11">
        <v>0</v>
      </c>
      <c r="J29" s="10">
        <f t="shared" si="1"/>
        <v>120000</v>
      </c>
      <c r="K29" s="2" t="s">
        <v>67</v>
      </c>
      <c r="O29" s="10">
        <f>J29*0.2</f>
        <v>24000</v>
      </c>
      <c r="P29" s="17">
        <f t="shared" si="9"/>
        <v>96000</v>
      </c>
      <c r="Q29" s="18">
        <f t="shared" si="10"/>
        <v>0.8</v>
      </c>
      <c r="R29" s="28">
        <f t="shared" si="11"/>
        <v>84000</v>
      </c>
      <c r="S29" s="18">
        <f t="shared" si="12"/>
        <v>0.7</v>
      </c>
    </row>
    <row r="30" spans="1:20" x14ac:dyDescent="0.25">
      <c r="A30" s="2">
        <v>28</v>
      </c>
      <c r="B30" s="2" t="s">
        <v>154</v>
      </c>
      <c r="C30" s="2" t="s">
        <v>71</v>
      </c>
      <c r="D30" s="7" t="s">
        <v>58</v>
      </c>
      <c r="E30" s="3" t="s">
        <v>156</v>
      </c>
      <c r="F30" s="3" t="s">
        <v>155</v>
      </c>
      <c r="G30" s="8" t="s">
        <v>157</v>
      </c>
      <c r="H30" s="11">
        <v>30000</v>
      </c>
      <c r="I30" s="11">
        <v>0</v>
      </c>
      <c r="J30" s="10">
        <f t="shared" si="1"/>
        <v>30000</v>
      </c>
      <c r="K30" s="5" t="s">
        <v>61</v>
      </c>
      <c r="L30" s="11">
        <v>15000</v>
      </c>
      <c r="M30" s="11">
        <v>0</v>
      </c>
      <c r="N30" s="10">
        <f>L30+M30</f>
        <v>15000</v>
      </c>
      <c r="O30" s="10">
        <f>J30*0.2</f>
        <v>6000</v>
      </c>
      <c r="P30" s="17">
        <f t="shared" ref="P30" si="13">J30-N30-O30</f>
        <v>9000</v>
      </c>
      <c r="Q30" s="18">
        <f t="shared" ref="Q30" si="14">(P30/J30)</f>
        <v>0.3</v>
      </c>
      <c r="R30" s="28">
        <f t="shared" ref="R30" si="15">P30-J30*0.1</f>
        <v>6000</v>
      </c>
      <c r="S30" s="18">
        <f t="shared" ref="S30" si="16">R30/J30</f>
        <v>0.2</v>
      </c>
    </row>
    <row r="31" spans="1:20" x14ac:dyDescent="0.25">
      <c r="A31" s="2">
        <v>29</v>
      </c>
      <c r="B31" s="2" t="s">
        <v>160</v>
      </c>
      <c r="C31" s="2" t="s">
        <v>50</v>
      </c>
      <c r="D31" s="7" t="s">
        <v>58</v>
      </c>
      <c r="E31" s="3" t="s">
        <v>167</v>
      </c>
      <c r="F31" s="3" t="s">
        <v>165</v>
      </c>
      <c r="G31" s="8" t="s">
        <v>163</v>
      </c>
      <c r="H31" s="11">
        <v>114600</v>
      </c>
      <c r="I31" s="10">
        <f t="shared" ref="I31" si="17">H31*0.05</f>
        <v>5730</v>
      </c>
      <c r="J31" s="10">
        <f t="shared" si="1"/>
        <v>120330</v>
      </c>
      <c r="K31" s="2" t="s">
        <v>67</v>
      </c>
      <c r="N31" s="10"/>
      <c r="O31" s="10"/>
      <c r="P31" s="17">
        <f t="shared" ref="P31:P33" si="18">J31-N31-O31</f>
        <v>120330</v>
      </c>
      <c r="Q31" s="18">
        <f t="shared" ref="Q31:Q33" si="19">(P31/J31)</f>
        <v>1</v>
      </c>
      <c r="R31" s="28">
        <f t="shared" ref="R31:R33" si="20">P31-J31*0.1</f>
        <v>108297</v>
      </c>
      <c r="S31" s="18">
        <f t="shared" ref="S31:S33" si="21">R31/J31</f>
        <v>0.9</v>
      </c>
    </row>
    <row r="32" spans="1:20" x14ac:dyDescent="0.25">
      <c r="A32" s="2">
        <v>30</v>
      </c>
      <c r="B32" s="5" t="s">
        <v>161</v>
      </c>
      <c r="C32" s="2" t="s">
        <v>50</v>
      </c>
      <c r="D32" s="7" t="s">
        <v>58</v>
      </c>
      <c r="E32" s="3" t="s">
        <v>168</v>
      </c>
      <c r="F32" s="2" t="s">
        <v>166</v>
      </c>
      <c r="G32" s="8" t="s">
        <v>163</v>
      </c>
      <c r="H32" s="11">
        <v>60000</v>
      </c>
      <c r="I32" s="11">
        <v>0</v>
      </c>
      <c r="J32" s="10">
        <f t="shared" si="1"/>
        <v>60000</v>
      </c>
      <c r="K32" s="2" t="s">
        <v>67</v>
      </c>
      <c r="P32" s="17"/>
      <c r="Q32" s="18"/>
      <c r="R32" s="28"/>
      <c r="S32" s="18"/>
    </row>
    <row r="33" spans="1:19" ht="30" x14ac:dyDescent="0.25">
      <c r="A33" s="2">
        <v>31</v>
      </c>
      <c r="B33" s="5" t="s">
        <v>162</v>
      </c>
      <c r="C33" s="2" t="s">
        <v>50</v>
      </c>
      <c r="D33" s="7" t="s">
        <v>58</v>
      </c>
      <c r="E33" s="3" t="s">
        <v>177</v>
      </c>
      <c r="F33" s="5" t="s">
        <v>40</v>
      </c>
      <c r="G33" s="8" t="s">
        <v>164</v>
      </c>
      <c r="H33" s="10">
        <v>60000</v>
      </c>
      <c r="I33" s="11">
        <v>0</v>
      </c>
      <c r="J33" s="10">
        <f t="shared" si="1"/>
        <v>60000</v>
      </c>
      <c r="K33" s="5" t="s">
        <v>67</v>
      </c>
      <c r="L33" s="10"/>
      <c r="M33" s="10"/>
      <c r="N33" s="10"/>
      <c r="O33" s="10"/>
      <c r="P33" s="17">
        <f t="shared" si="18"/>
        <v>60000</v>
      </c>
      <c r="Q33" s="18">
        <f t="shared" si="19"/>
        <v>1</v>
      </c>
      <c r="R33" s="28">
        <f t="shared" si="20"/>
        <v>54000</v>
      </c>
      <c r="S33" s="18">
        <f t="shared" si="21"/>
        <v>0.9</v>
      </c>
    </row>
    <row r="34" spans="1:19" ht="30" x14ac:dyDescent="0.25">
      <c r="A34" s="2">
        <v>32</v>
      </c>
      <c r="B34" s="2" t="s">
        <v>169</v>
      </c>
      <c r="C34" s="2" t="s">
        <v>71</v>
      </c>
      <c r="D34" s="7" t="s">
        <v>58</v>
      </c>
      <c r="E34" s="3" t="s">
        <v>178</v>
      </c>
      <c r="F34" s="5" t="s">
        <v>179</v>
      </c>
      <c r="G34" s="8" t="s">
        <v>180</v>
      </c>
      <c r="H34" s="10">
        <v>10000</v>
      </c>
      <c r="I34" s="11">
        <v>0</v>
      </c>
      <c r="J34" s="10">
        <f t="shared" si="1"/>
        <v>10000</v>
      </c>
      <c r="K34" s="5" t="s">
        <v>61</v>
      </c>
      <c r="L34" s="10">
        <v>7000</v>
      </c>
      <c r="M34" s="10">
        <v>0</v>
      </c>
      <c r="N34" s="10"/>
      <c r="O34" s="10"/>
      <c r="P34" s="17">
        <f t="shared" ref="P34:P39" si="22">J34-N34-O34</f>
        <v>10000</v>
      </c>
      <c r="Q34" s="18">
        <f t="shared" ref="Q34:Q39" si="23">(P34/J34)</f>
        <v>1</v>
      </c>
      <c r="R34" s="28">
        <f t="shared" ref="R34:R39" si="24">P34-J34*0.1</f>
        <v>9000</v>
      </c>
      <c r="S34" s="18">
        <f t="shared" ref="S34:S39" si="25">R34/J34</f>
        <v>0.9</v>
      </c>
    </row>
    <row r="35" spans="1:19" x14ac:dyDescent="0.25">
      <c r="A35" s="2">
        <v>33</v>
      </c>
      <c r="B35" s="5" t="s">
        <v>170</v>
      </c>
      <c r="C35" s="2" t="s">
        <v>71</v>
      </c>
      <c r="D35" s="7" t="s">
        <v>58</v>
      </c>
      <c r="E35" s="3" t="s">
        <v>190</v>
      </c>
      <c r="F35" s="2" t="s">
        <v>189</v>
      </c>
      <c r="G35" s="8" t="s">
        <v>191</v>
      </c>
      <c r="H35" s="11">
        <v>12000</v>
      </c>
      <c r="I35" s="10">
        <f t="shared" ref="I35:I44" si="26">H35*0.05</f>
        <v>600</v>
      </c>
      <c r="J35" s="10">
        <f t="shared" si="1"/>
        <v>12600</v>
      </c>
      <c r="K35" s="5" t="s">
        <v>61</v>
      </c>
      <c r="M35" s="10"/>
      <c r="N35" s="10"/>
      <c r="O35" s="10"/>
      <c r="P35" s="17"/>
      <c r="Q35" s="18"/>
      <c r="R35" s="28"/>
      <c r="S35" s="18"/>
    </row>
    <row r="36" spans="1:19" x14ac:dyDescent="0.25">
      <c r="A36" s="2">
        <v>34</v>
      </c>
      <c r="B36" s="5" t="s">
        <v>172</v>
      </c>
      <c r="C36" s="2" t="s">
        <v>175</v>
      </c>
      <c r="D36" s="7" t="s">
        <v>58</v>
      </c>
      <c r="E36" s="3" t="s">
        <v>193</v>
      </c>
      <c r="F36" s="2" t="s">
        <v>192</v>
      </c>
      <c r="G36" s="8" t="s">
        <v>194</v>
      </c>
      <c r="H36" s="11">
        <v>100000</v>
      </c>
      <c r="I36" s="10">
        <f t="shared" si="26"/>
        <v>5000</v>
      </c>
      <c r="J36" s="10">
        <f t="shared" si="1"/>
        <v>105000</v>
      </c>
      <c r="K36" s="2" t="s">
        <v>67</v>
      </c>
      <c r="M36" s="10"/>
      <c r="N36" s="10"/>
      <c r="O36" s="10"/>
      <c r="P36" s="17">
        <f t="shared" si="22"/>
        <v>105000</v>
      </c>
      <c r="Q36" s="18">
        <f t="shared" si="23"/>
        <v>1</v>
      </c>
      <c r="R36" s="28">
        <f t="shared" si="24"/>
        <v>94500</v>
      </c>
      <c r="S36" s="18">
        <f t="shared" si="25"/>
        <v>0.9</v>
      </c>
    </row>
    <row r="37" spans="1:19" x14ac:dyDescent="0.25">
      <c r="A37" s="2">
        <v>35</v>
      </c>
      <c r="B37" s="5" t="s">
        <v>171</v>
      </c>
      <c r="C37" s="2" t="s">
        <v>50</v>
      </c>
      <c r="D37" s="7" t="s">
        <v>58</v>
      </c>
      <c r="E37" s="3" t="s">
        <v>181</v>
      </c>
      <c r="F37" s="2" t="s">
        <v>182</v>
      </c>
      <c r="G37" s="8" t="s">
        <v>183</v>
      </c>
      <c r="H37" s="11">
        <v>40000</v>
      </c>
      <c r="I37" s="10">
        <f t="shared" si="26"/>
        <v>2000</v>
      </c>
      <c r="J37" s="10">
        <f t="shared" ref="J37:J44" si="27">H37+I37</f>
        <v>42000</v>
      </c>
      <c r="K37" s="2" t="s">
        <v>67</v>
      </c>
      <c r="M37" s="10"/>
      <c r="N37" s="10"/>
      <c r="O37" s="10">
        <f>J37*0.2</f>
        <v>8400</v>
      </c>
      <c r="P37" s="17">
        <f t="shared" si="22"/>
        <v>33600</v>
      </c>
      <c r="Q37" s="18">
        <f t="shared" si="23"/>
        <v>0.8</v>
      </c>
      <c r="R37" s="28">
        <f t="shared" si="24"/>
        <v>29400</v>
      </c>
      <c r="S37" s="18">
        <f t="shared" si="25"/>
        <v>0.7</v>
      </c>
    </row>
    <row r="38" spans="1:19" x14ac:dyDescent="0.25">
      <c r="A38" s="2">
        <v>36</v>
      </c>
      <c r="B38" s="5" t="s">
        <v>173</v>
      </c>
      <c r="C38" s="2" t="s">
        <v>86</v>
      </c>
      <c r="D38" s="7" t="s">
        <v>58</v>
      </c>
      <c r="E38" s="3" t="s">
        <v>184</v>
      </c>
      <c r="F38" s="2" t="s">
        <v>88</v>
      </c>
      <c r="G38" s="8" t="s">
        <v>185</v>
      </c>
      <c r="H38" s="11">
        <v>17000</v>
      </c>
      <c r="I38" s="10">
        <f t="shared" si="26"/>
        <v>850</v>
      </c>
      <c r="J38" s="10">
        <f t="shared" si="27"/>
        <v>17850</v>
      </c>
      <c r="K38" s="5" t="s">
        <v>91</v>
      </c>
      <c r="L38" s="10">
        <f>7000+6000</f>
        <v>13000</v>
      </c>
      <c r="M38" s="10">
        <v>0</v>
      </c>
      <c r="N38" s="10">
        <f>L38+M38</f>
        <v>13000</v>
      </c>
      <c r="O38" s="10">
        <f>J38*0.1</f>
        <v>1785</v>
      </c>
      <c r="P38" s="17">
        <f t="shared" si="22"/>
        <v>3065</v>
      </c>
      <c r="Q38" s="18">
        <f t="shared" si="23"/>
        <v>0.17170868347338936</v>
      </c>
      <c r="R38" s="28">
        <f t="shared" si="24"/>
        <v>1280</v>
      </c>
      <c r="S38" s="18">
        <f t="shared" si="25"/>
        <v>7.1708683473389351E-2</v>
      </c>
    </row>
    <row r="39" spans="1:19" x14ac:dyDescent="0.25">
      <c r="A39" s="2">
        <v>37</v>
      </c>
      <c r="B39" s="5" t="s">
        <v>174</v>
      </c>
      <c r="C39" s="2" t="s">
        <v>176</v>
      </c>
      <c r="D39" s="7" t="s">
        <v>58</v>
      </c>
      <c r="E39" s="3" t="s">
        <v>186</v>
      </c>
      <c r="F39" s="2" t="s">
        <v>75</v>
      </c>
      <c r="G39" s="8" t="s">
        <v>187</v>
      </c>
      <c r="H39" s="11">
        <v>25000</v>
      </c>
      <c r="I39" s="10">
        <f t="shared" si="26"/>
        <v>1250</v>
      </c>
      <c r="J39" s="10">
        <f t="shared" si="27"/>
        <v>26250</v>
      </c>
      <c r="K39" s="2" t="s">
        <v>188</v>
      </c>
      <c r="L39" s="11">
        <v>10000</v>
      </c>
      <c r="M39" s="10">
        <v>0</v>
      </c>
      <c r="N39" s="10">
        <f>L39+M39</f>
        <v>10000</v>
      </c>
      <c r="O39" s="10">
        <f>J39*0.1</f>
        <v>2625</v>
      </c>
      <c r="P39" s="17">
        <f t="shared" si="22"/>
        <v>13625</v>
      </c>
      <c r="Q39" s="18">
        <f t="shared" si="23"/>
        <v>0.51904761904761909</v>
      </c>
      <c r="R39" s="28">
        <f t="shared" si="24"/>
        <v>11000</v>
      </c>
      <c r="S39" s="18">
        <f t="shared" si="25"/>
        <v>0.41904761904761906</v>
      </c>
    </row>
    <row r="40" spans="1:19" ht="15.75" x14ac:dyDescent="0.25">
      <c r="A40" s="2">
        <v>38</v>
      </c>
      <c r="B40" s="5" t="s">
        <v>195</v>
      </c>
      <c r="C40" s="2" t="s">
        <v>228</v>
      </c>
      <c r="D40" s="7" t="s">
        <v>58</v>
      </c>
      <c r="E40" s="3" t="s">
        <v>229</v>
      </c>
      <c r="F40" t="s">
        <v>230</v>
      </c>
      <c r="G40" s="8" t="s">
        <v>231</v>
      </c>
      <c r="H40" s="11">
        <v>750000</v>
      </c>
      <c r="I40" s="10">
        <f t="shared" si="26"/>
        <v>37500</v>
      </c>
      <c r="J40" s="10">
        <f t="shared" si="27"/>
        <v>787500</v>
      </c>
      <c r="K40" s="2" t="s">
        <v>232</v>
      </c>
      <c r="L40" s="11">
        <f>45000+20000+67500+22500+240000</f>
        <v>395000</v>
      </c>
      <c r="M40" s="10">
        <f>L40*0.05</f>
        <v>19750</v>
      </c>
      <c r="N40" s="10">
        <f>L40+M40</f>
        <v>414750</v>
      </c>
      <c r="O40" s="10">
        <f>J40*0.1</f>
        <v>78750</v>
      </c>
      <c r="P40" s="17">
        <f t="shared" ref="P40" si="28">J40-N40-O40</f>
        <v>294000</v>
      </c>
      <c r="Q40" s="18">
        <f t="shared" ref="Q40" si="29">(P40/J40)</f>
        <v>0.37333333333333335</v>
      </c>
      <c r="R40" s="28">
        <f t="shared" ref="R40" si="30">P40-J40*0.1</f>
        <v>215250</v>
      </c>
      <c r="S40" s="18">
        <f t="shared" ref="S40" si="31">R40/J40</f>
        <v>0.27333333333333332</v>
      </c>
    </row>
    <row r="41" spans="1:19" x14ac:dyDescent="0.25">
      <c r="A41" s="2">
        <v>39</v>
      </c>
      <c r="B41" s="5" t="s">
        <v>196</v>
      </c>
      <c r="C41" s="2" t="s">
        <v>71</v>
      </c>
      <c r="D41" s="7" t="s">
        <v>58</v>
      </c>
      <c r="E41" s="3" t="s">
        <v>233</v>
      </c>
      <c r="F41" s="2" t="s">
        <v>88</v>
      </c>
      <c r="G41" s="8" t="s">
        <v>234</v>
      </c>
      <c r="H41" s="11">
        <v>10000</v>
      </c>
      <c r="I41" s="10">
        <f t="shared" si="26"/>
        <v>500</v>
      </c>
      <c r="J41" s="10">
        <f t="shared" si="27"/>
        <v>10500</v>
      </c>
      <c r="K41" s="2" t="s">
        <v>235</v>
      </c>
      <c r="L41" s="11">
        <v>7000</v>
      </c>
      <c r="M41" s="10">
        <v>0</v>
      </c>
      <c r="N41" s="10">
        <f>L41+M41</f>
        <v>7000</v>
      </c>
      <c r="O41" s="10">
        <f>J41*0.1</f>
        <v>1050</v>
      </c>
      <c r="P41" s="17">
        <f t="shared" ref="P41" si="32">J41-N41-O41</f>
        <v>2450</v>
      </c>
      <c r="Q41" s="18">
        <f t="shared" ref="Q41" si="33">(P41/J41)</f>
        <v>0.23333333333333334</v>
      </c>
      <c r="R41" s="28">
        <f t="shared" ref="R41" si="34">P41-J41*0.1</f>
        <v>1400</v>
      </c>
      <c r="S41" s="18">
        <f t="shared" ref="S41" si="35">R41/J41</f>
        <v>0.13333333333333333</v>
      </c>
    </row>
    <row r="42" spans="1:19" x14ac:dyDescent="0.25">
      <c r="A42" s="2">
        <v>40</v>
      </c>
      <c r="B42" s="5" t="s">
        <v>197</v>
      </c>
      <c r="C42" s="2" t="s">
        <v>236</v>
      </c>
      <c r="D42" s="25" t="s">
        <v>52</v>
      </c>
      <c r="E42" s="3" t="s">
        <v>237</v>
      </c>
      <c r="F42" s="5" t="s">
        <v>144</v>
      </c>
      <c r="G42" s="8" t="s">
        <v>238</v>
      </c>
      <c r="H42" s="11">
        <v>88560</v>
      </c>
      <c r="I42" s="10">
        <v>0</v>
      </c>
      <c r="J42" s="10">
        <f t="shared" si="27"/>
        <v>88560</v>
      </c>
      <c r="K42" s="21"/>
      <c r="L42" s="22"/>
      <c r="M42" s="22"/>
      <c r="N42" s="22"/>
      <c r="O42" s="22"/>
      <c r="P42" s="23"/>
      <c r="Q42" s="24"/>
      <c r="R42" s="29"/>
      <c r="S42" s="24"/>
    </row>
    <row r="43" spans="1:19" x14ac:dyDescent="0.25">
      <c r="A43" s="2">
        <v>41</v>
      </c>
      <c r="B43" s="5" t="s">
        <v>198</v>
      </c>
      <c r="C43" s="2" t="s">
        <v>239</v>
      </c>
      <c r="D43" s="25" t="s">
        <v>52</v>
      </c>
      <c r="E43" s="3" t="s">
        <v>240</v>
      </c>
      <c r="F43" s="2" t="s">
        <v>241</v>
      </c>
      <c r="G43" s="8" t="s">
        <v>242</v>
      </c>
      <c r="H43" s="11">
        <v>197000</v>
      </c>
      <c r="I43" s="10">
        <v>0</v>
      </c>
      <c r="J43" s="10">
        <f t="shared" si="27"/>
        <v>197000</v>
      </c>
      <c r="K43" s="21"/>
      <c r="L43" s="22"/>
      <c r="M43" s="22"/>
      <c r="N43" s="22"/>
      <c r="O43" s="22"/>
      <c r="P43" s="23"/>
      <c r="Q43" s="24"/>
      <c r="R43" s="29"/>
      <c r="S43" s="24"/>
    </row>
    <row r="44" spans="1:19" x14ac:dyDescent="0.25">
      <c r="A44" s="2">
        <v>42</v>
      </c>
      <c r="B44" s="5" t="s">
        <v>199</v>
      </c>
      <c r="C44" s="2" t="s">
        <v>243</v>
      </c>
      <c r="D44" s="25" t="s">
        <v>52</v>
      </c>
      <c r="E44" s="3" t="s">
        <v>244</v>
      </c>
      <c r="F44" s="2" t="s">
        <v>241</v>
      </c>
      <c r="G44" s="8" t="s">
        <v>242</v>
      </c>
      <c r="H44" s="11">
        <v>800000</v>
      </c>
      <c r="I44" s="10">
        <f t="shared" si="26"/>
        <v>40000</v>
      </c>
      <c r="J44" s="10">
        <f t="shared" si="27"/>
        <v>840000</v>
      </c>
      <c r="K44" s="21"/>
      <c r="L44" s="22"/>
      <c r="M44" s="22"/>
      <c r="N44" s="22"/>
      <c r="O44" s="22"/>
      <c r="P44" s="23"/>
      <c r="Q44" s="24"/>
      <c r="R44" s="29"/>
      <c r="S44" s="24"/>
    </row>
    <row r="45" spans="1:19" x14ac:dyDescent="0.25">
      <c r="A45" s="2">
        <v>43</v>
      </c>
      <c r="B45" s="5" t="s">
        <v>200</v>
      </c>
      <c r="C45" s="2" t="s">
        <v>239</v>
      </c>
      <c r="D45" s="7" t="s">
        <v>58</v>
      </c>
      <c r="E45" s="3" t="s">
        <v>245</v>
      </c>
      <c r="F45" s="2" t="s">
        <v>241</v>
      </c>
      <c r="G45" s="8" t="s">
        <v>242</v>
      </c>
      <c r="H45" s="11">
        <v>945000</v>
      </c>
      <c r="I45" s="10">
        <f t="shared" ref="I45:I51" si="36">H45*0.05</f>
        <v>47250</v>
      </c>
      <c r="J45" s="10">
        <f t="shared" ref="J45:J51" si="37">H45+I45</f>
        <v>992250</v>
      </c>
      <c r="K45" s="2" t="s">
        <v>246</v>
      </c>
      <c r="L45" s="11">
        <f>H45*0.6</f>
        <v>567000</v>
      </c>
      <c r="M45" s="10">
        <f>L45*0.05</f>
        <v>28350</v>
      </c>
      <c r="N45" s="10">
        <f>L45+M45</f>
        <v>595350</v>
      </c>
      <c r="O45" s="10">
        <f>J45*0.05</f>
        <v>49612.5</v>
      </c>
      <c r="P45" s="17">
        <f t="shared" ref="P45" si="38">J45-N45-O45</f>
        <v>347287.5</v>
      </c>
      <c r="Q45" s="18">
        <f t="shared" ref="Q45" si="39">(P45/J45)</f>
        <v>0.35</v>
      </c>
      <c r="R45" s="28">
        <f t="shared" ref="R45" si="40">P45-J45*0.1</f>
        <v>248062.5</v>
      </c>
      <c r="S45" s="18">
        <f t="shared" ref="S45" si="41">R45/J45</f>
        <v>0.25</v>
      </c>
    </row>
    <row r="46" spans="1:19" x14ac:dyDescent="0.25">
      <c r="A46" s="2">
        <v>44</v>
      </c>
      <c r="B46" s="5" t="s">
        <v>201</v>
      </c>
      <c r="C46" s="2" t="s">
        <v>176</v>
      </c>
      <c r="D46" s="25" t="s">
        <v>52</v>
      </c>
      <c r="E46" s="3" t="s">
        <v>248</v>
      </c>
      <c r="F46" s="2" t="s">
        <v>247</v>
      </c>
      <c r="H46" s="11">
        <v>200000</v>
      </c>
      <c r="I46" s="10">
        <f t="shared" si="36"/>
        <v>10000</v>
      </c>
      <c r="J46" s="10">
        <f t="shared" si="37"/>
        <v>210000</v>
      </c>
      <c r="K46" s="21"/>
      <c r="L46" s="22"/>
      <c r="M46" s="22"/>
      <c r="N46" s="22"/>
      <c r="O46" s="22"/>
      <c r="P46" s="23"/>
      <c r="Q46" s="24"/>
      <c r="R46" s="29"/>
      <c r="S46" s="24"/>
    </row>
    <row r="47" spans="1:19" x14ac:dyDescent="0.25">
      <c r="A47" s="2">
        <v>45</v>
      </c>
      <c r="B47" s="5" t="s">
        <v>202</v>
      </c>
      <c r="C47" s="2" t="s">
        <v>86</v>
      </c>
      <c r="D47" s="7" t="s">
        <v>58</v>
      </c>
      <c r="E47" s="3" t="s">
        <v>249</v>
      </c>
      <c r="F47" s="5" t="s">
        <v>89</v>
      </c>
      <c r="G47" s="8" t="s">
        <v>250</v>
      </c>
      <c r="H47" s="11">
        <v>17000</v>
      </c>
      <c r="I47" s="10">
        <f t="shared" si="36"/>
        <v>850</v>
      </c>
      <c r="J47" s="10">
        <f t="shared" si="37"/>
        <v>17850</v>
      </c>
      <c r="K47" s="5" t="s">
        <v>91</v>
      </c>
      <c r="L47" s="10">
        <f>7000+6000</f>
        <v>13000</v>
      </c>
      <c r="M47" s="10">
        <v>0</v>
      </c>
      <c r="N47" s="10">
        <f>L47+M47</f>
        <v>13000</v>
      </c>
      <c r="O47" s="10">
        <f>J47*0.1</f>
        <v>1785</v>
      </c>
      <c r="P47" s="17">
        <f t="shared" ref="P47" si="42">J47-N47-O47</f>
        <v>3065</v>
      </c>
      <c r="Q47" s="18">
        <f t="shared" ref="Q47" si="43">(P47/J47)</f>
        <v>0.17170868347338936</v>
      </c>
      <c r="R47" s="28">
        <f t="shared" ref="R47" si="44">P47-J47*0.1</f>
        <v>1280</v>
      </c>
      <c r="S47" s="18">
        <f t="shared" ref="S47" si="45">R47/J47</f>
        <v>7.1708683473389351E-2</v>
      </c>
    </row>
    <row r="48" spans="1:19" x14ac:dyDescent="0.25">
      <c r="A48" s="2">
        <v>46</v>
      </c>
      <c r="B48" s="5" t="s">
        <v>203</v>
      </c>
      <c r="C48" s="2" t="s">
        <v>252</v>
      </c>
      <c r="D48" s="25" t="s">
        <v>52</v>
      </c>
      <c r="E48" s="3" t="s">
        <v>251</v>
      </c>
      <c r="F48" s="2" t="s">
        <v>253</v>
      </c>
      <c r="G48" s="8" t="s">
        <v>254</v>
      </c>
      <c r="H48" s="11">
        <v>7120000</v>
      </c>
      <c r="I48" s="10">
        <f t="shared" si="36"/>
        <v>356000</v>
      </c>
      <c r="J48" s="10">
        <f t="shared" si="37"/>
        <v>7476000</v>
      </c>
      <c r="K48" s="21"/>
      <c r="L48" s="22"/>
      <c r="M48" s="22"/>
      <c r="N48" s="22"/>
      <c r="O48" s="22"/>
      <c r="P48" s="23"/>
      <c r="Q48" s="24"/>
      <c r="R48" s="29"/>
      <c r="S48" s="24"/>
    </row>
    <row r="49" spans="1:19" x14ac:dyDescent="0.25">
      <c r="A49" s="2">
        <v>47</v>
      </c>
      <c r="B49" s="5" t="s">
        <v>204</v>
      </c>
      <c r="C49" s="2" t="s">
        <v>86</v>
      </c>
      <c r="D49" s="7" t="s">
        <v>58</v>
      </c>
      <c r="E49" s="3" t="s">
        <v>255</v>
      </c>
      <c r="I49" s="10"/>
      <c r="J49" s="10"/>
      <c r="M49" s="10"/>
      <c r="N49" s="10"/>
      <c r="O49" s="10"/>
      <c r="P49" s="17"/>
      <c r="Q49" s="18"/>
      <c r="R49" s="28"/>
      <c r="S49" s="18"/>
    </row>
    <row r="50" spans="1:19" x14ac:dyDescent="0.25">
      <c r="A50" s="2">
        <v>48</v>
      </c>
      <c r="B50" s="5" t="s">
        <v>205</v>
      </c>
      <c r="C50" s="2" t="s">
        <v>252</v>
      </c>
      <c r="D50" s="7" t="s">
        <v>58</v>
      </c>
      <c r="E50" s="3" t="s">
        <v>257</v>
      </c>
      <c r="F50" s="3" t="s">
        <v>256</v>
      </c>
      <c r="G50" s="8" t="s">
        <v>258</v>
      </c>
      <c r="H50" s="11">
        <v>323200</v>
      </c>
      <c r="I50" s="10">
        <f t="shared" si="36"/>
        <v>16160</v>
      </c>
      <c r="J50" s="10">
        <f t="shared" si="37"/>
        <v>339360</v>
      </c>
      <c r="K50" s="5" t="s">
        <v>61</v>
      </c>
      <c r="L50" s="11">
        <v>162000</v>
      </c>
      <c r="M50" s="10">
        <v>0</v>
      </c>
      <c r="N50" s="10">
        <f>L50+M50</f>
        <v>162000</v>
      </c>
      <c r="O50" s="10">
        <f>J50*0.1</f>
        <v>33936</v>
      </c>
      <c r="P50" s="17">
        <f t="shared" ref="P50" si="46">J50-N50-O50</f>
        <v>143424</v>
      </c>
      <c r="Q50" s="18">
        <f t="shared" ref="Q50" si="47">(P50/J50)</f>
        <v>0.42263083451202266</v>
      </c>
      <c r="R50" s="28">
        <f t="shared" ref="R50" si="48">P50-J50*0.1</f>
        <v>109488</v>
      </c>
      <c r="S50" s="18">
        <f t="shared" ref="S50" si="49">R50/J50</f>
        <v>0.32263083451202262</v>
      </c>
    </row>
    <row r="51" spans="1:19" x14ac:dyDescent="0.25">
      <c r="A51" s="2">
        <v>49</v>
      </c>
      <c r="B51" s="5" t="s">
        <v>206</v>
      </c>
      <c r="C51" s="2" t="s">
        <v>259</v>
      </c>
      <c r="D51" s="7" t="s">
        <v>58</v>
      </c>
      <c r="E51" s="3" t="s">
        <v>260</v>
      </c>
      <c r="F51" s="2" t="s">
        <v>261</v>
      </c>
      <c r="G51" s="8" t="s">
        <v>262</v>
      </c>
      <c r="H51" s="11">
        <v>90000</v>
      </c>
      <c r="I51" s="10">
        <f t="shared" si="36"/>
        <v>4500</v>
      </c>
      <c r="J51" s="10">
        <f t="shared" si="37"/>
        <v>94500</v>
      </c>
      <c r="K51" s="5" t="s">
        <v>68</v>
      </c>
      <c r="M51" s="10"/>
      <c r="N51" s="10"/>
      <c r="O51" s="10">
        <f t="shared" ref="O51:O52" si="50">J51*0.1</f>
        <v>9450</v>
      </c>
      <c r="P51" s="17">
        <f t="shared" ref="P51:P52" si="51">J51-N51-O51</f>
        <v>85050</v>
      </c>
      <c r="Q51" s="18">
        <f t="shared" ref="Q51:Q52" si="52">(P51/J51)</f>
        <v>0.9</v>
      </c>
      <c r="R51" s="28">
        <f t="shared" ref="R51:R52" si="53">P51-J51*0.1</f>
        <v>75600</v>
      </c>
      <c r="S51" s="18">
        <f t="shared" ref="S51:S52" si="54">R51/J51</f>
        <v>0.8</v>
      </c>
    </row>
    <row r="52" spans="1:19" x14ac:dyDescent="0.25">
      <c r="A52" s="2">
        <v>50</v>
      </c>
      <c r="B52" s="5" t="s">
        <v>207</v>
      </c>
      <c r="C52" s="2" t="s">
        <v>259</v>
      </c>
      <c r="D52" s="7" t="s">
        <v>58</v>
      </c>
      <c r="E52" s="3" t="s">
        <v>264</v>
      </c>
      <c r="F52" s="2" t="s">
        <v>263</v>
      </c>
      <c r="G52" s="8" t="s">
        <v>262</v>
      </c>
      <c r="H52" s="11">
        <v>90000</v>
      </c>
      <c r="I52" s="10">
        <f t="shared" ref="I52:I64" si="55">H52*0.05</f>
        <v>4500</v>
      </c>
      <c r="J52" s="10">
        <f t="shared" ref="J52:J64" si="56">H52+I52</f>
        <v>94500</v>
      </c>
      <c r="K52" s="5" t="s">
        <v>68</v>
      </c>
      <c r="M52" s="10"/>
      <c r="N52" s="10"/>
      <c r="O52" s="10">
        <f t="shared" si="50"/>
        <v>9450</v>
      </c>
      <c r="P52" s="17">
        <f t="shared" si="51"/>
        <v>85050</v>
      </c>
      <c r="Q52" s="18">
        <f t="shared" si="52"/>
        <v>0.9</v>
      </c>
      <c r="R52" s="28">
        <f t="shared" si="53"/>
        <v>75600</v>
      </c>
      <c r="S52" s="18">
        <f t="shared" si="54"/>
        <v>0.8</v>
      </c>
    </row>
    <row r="53" spans="1:19" x14ac:dyDescent="0.25">
      <c r="A53" s="2">
        <v>51</v>
      </c>
      <c r="B53" s="5" t="s">
        <v>208</v>
      </c>
      <c r="C53" s="2" t="s">
        <v>252</v>
      </c>
      <c r="D53" s="25" t="s">
        <v>52</v>
      </c>
      <c r="E53" s="3" t="s">
        <v>265</v>
      </c>
      <c r="F53" s="2" t="s">
        <v>189</v>
      </c>
      <c r="G53" s="8" t="s">
        <v>266</v>
      </c>
      <c r="H53" s="11">
        <v>1230000</v>
      </c>
      <c r="I53" s="10">
        <f t="shared" si="55"/>
        <v>61500</v>
      </c>
      <c r="J53" s="10">
        <f t="shared" si="56"/>
        <v>1291500</v>
      </c>
      <c r="K53" s="21"/>
      <c r="L53" s="22"/>
      <c r="M53" s="22"/>
      <c r="N53" s="22"/>
      <c r="O53" s="22"/>
      <c r="P53" s="23"/>
      <c r="Q53" s="24"/>
      <c r="R53" s="29"/>
      <c r="S53" s="24"/>
    </row>
    <row r="54" spans="1:19" x14ac:dyDescent="0.25">
      <c r="A54" s="2">
        <v>52</v>
      </c>
      <c r="B54" s="5" t="s">
        <v>209</v>
      </c>
      <c r="C54" s="2" t="s">
        <v>252</v>
      </c>
      <c r="D54" s="7" t="s">
        <v>58</v>
      </c>
      <c r="E54" s="3" t="s">
        <v>268</v>
      </c>
      <c r="F54" s="5" t="s">
        <v>39</v>
      </c>
      <c r="G54" s="8" t="s">
        <v>267</v>
      </c>
      <c r="H54" s="11">
        <v>220000</v>
      </c>
      <c r="I54" s="10">
        <v>0</v>
      </c>
      <c r="J54" s="10">
        <f t="shared" si="56"/>
        <v>220000</v>
      </c>
      <c r="K54" s="2" t="s">
        <v>269</v>
      </c>
      <c r="L54" s="11">
        <v>120000</v>
      </c>
      <c r="M54" s="10">
        <v>0</v>
      </c>
      <c r="N54" s="10">
        <f>L54+M54</f>
        <v>120000</v>
      </c>
      <c r="O54" s="10">
        <f>J54*0.05</f>
        <v>11000</v>
      </c>
      <c r="P54" s="17">
        <f t="shared" ref="P54" si="57">J54-N54-O54</f>
        <v>89000</v>
      </c>
      <c r="Q54" s="18">
        <f t="shared" ref="Q54" si="58">(P54/J54)</f>
        <v>0.40454545454545454</v>
      </c>
      <c r="R54" s="28">
        <f t="shared" ref="R54" si="59">P54-J54*0.1</f>
        <v>67000</v>
      </c>
      <c r="S54" s="18">
        <f t="shared" ref="S54" si="60">R54/J54</f>
        <v>0.30454545454545456</v>
      </c>
    </row>
    <row r="55" spans="1:19" s="5" customFormat="1" ht="45" x14ac:dyDescent="0.25">
      <c r="A55" s="5">
        <v>53</v>
      </c>
      <c r="B55" s="5" t="s">
        <v>210</v>
      </c>
      <c r="C55" s="5" t="s">
        <v>252</v>
      </c>
      <c r="D55" s="7" t="s">
        <v>58</v>
      </c>
      <c r="E55" s="6" t="s">
        <v>271</v>
      </c>
      <c r="F55" s="5" t="s">
        <v>272</v>
      </c>
      <c r="G55" s="8" t="s">
        <v>273</v>
      </c>
      <c r="H55" s="10">
        <v>2300000</v>
      </c>
      <c r="I55" s="10">
        <v>0</v>
      </c>
      <c r="J55" s="10">
        <f t="shared" si="56"/>
        <v>2300000</v>
      </c>
      <c r="K55" s="6" t="s">
        <v>270</v>
      </c>
      <c r="L55" s="10"/>
      <c r="M55" s="10"/>
      <c r="N55" s="10"/>
      <c r="O55" s="10"/>
      <c r="P55" s="17"/>
      <c r="Q55" s="18"/>
      <c r="R55" s="28"/>
      <c r="S55" s="18"/>
    </row>
    <row r="56" spans="1:19" x14ac:dyDescent="0.25">
      <c r="A56" s="2">
        <v>54</v>
      </c>
      <c r="B56" s="5" t="s">
        <v>211</v>
      </c>
      <c r="C56" s="2" t="s">
        <v>239</v>
      </c>
      <c r="D56" s="25" t="s">
        <v>52</v>
      </c>
      <c r="E56" s="6" t="s">
        <v>274</v>
      </c>
      <c r="F56" s="2" t="s">
        <v>241</v>
      </c>
      <c r="G56" s="8" t="s">
        <v>275</v>
      </c>
      <c r="H56" s="11">
        <v>1588160</v>
      </c>
      <c r="I56" s="10">
        <f t="shared" si="55"/>
        <v>79408</v>
      </c>
      <c r="J56" s="10">
        <f t="shared" si="56"/>
        <v>1667568</v>
      </c>
      <c r="K56" s="21"/>
      <c r="L56" s="22"/>
      <c r="M56" s="22"/>
      <c r="N56" s="22"/>
      <c r="O56" s="22"/>
      <c r="P56" s="23"/>
      <c r="Q56" s="24"/>
      <c r="R56" s="29"/>
      <c r="S56" s="24"/>
    </row>
    <row r="57" spans="1:19" x14ac:dyDescent="0.25">
      <c r="A57" s="2">
        <v>55</v>
      </c>
      <c r="B57" s="5" t="s">
        <v>212</v>
      </c>
      <c r="C57" s="5" t="s">
        <v>252</v>
      </c>
      <c r="D57" s="7" t="s">
        <v>58</v>
      </c>
      <c r="E57" s="6" t="s">
        <v>288</v>
      </c>
      <c r="F57" s="2" t="s">
        <v>276</v>
      </c>
      <c r="G57" s="8" t="s">
        <v>267</v>
      </c>
      <c r="H57" s="11">
        <v>120000</v>
      </c>
      <c r="I57" s="10">
        <f t="shared" si="55"/>
        <v>6000</v>
      </c>
      <c r="J57" s="10">
        <f t="shared" si="56"/>
        <v>126000</v>
      </c>
      <c r="K57" s="5" t="s">
        <v>61</v>
      </c>
      <c r="L57" s="11">
        <v>40000</v>
      </c>
      <c r="M57" s="10">
        <f>L57*0.05</f>
        <v>2000</v>
      </c>
      <c r="N57" s="10">
        <f>L57+M57</f>
        <v>42000</v>
      </c>
      <c r="O57" s="10">
        <f>J57*0.05</f>
        <v>6300</v>
      </c>
      <c r="P57" s="17">
        <f t="shared" ref="P57" si="61">J57-N57-O57</f>
        <v>77700</v>
      </c>
      <c r="Q57" s="18">
        <f t="shared" ref="Q57" si="62">(P57/J57)</f>
        <v>0.6166666666666667</v>
      </c>
      <c r="R57" s="28">
        <f t="shared" ref="R57" si="63">P57-J57*0.1</f>
        <v>65100</v>
      </c>
      <c r="S57" s="18">
        <f t="shared" ref="S57" si="64">R57/J57</f>
        <v>0.51666666666666672</v>
      </c>
    </row>
    <row r="58" spans="1:19" x14ac:dyDescent="0.25">
      <c r="A58" s="2">
        <v>56</v>
      </c>
      <c r="B58" s="5" t="s">
        <v>213</v>
      </c>
      <c r="C58" s="2" t="s">
        <v>50</v>
      </c>
      <c r="D58" s="25" t="s">
        <v>52</v>
      </c>
      <c r="E58" s="6" t="s">
        <v>289</v>
      </c>
      <c r="F58" s="3" t="s">
        <v>277</v>
      </c>
      <c r="G58" s="8" t="s">
        <v>231</v>
      </c>
      <c r="H58" s="11">
        <v>324400</v>
      </c>
      <c r="I58" s="10">
        <f t="shared" si="55"/>
        <v>16220</v>
      </c>
      <c r="J58" s="10">
        <f t="shared" si="56"/>
        <v>340620</v>
      </c>
      <c r="K58" s="21"/>
      <c r="L58" s="22"/>
      <c r="M58" s="22"/>
      <c r="N58" s="22"/>
      <c r="O58" s="22"/>
      <c r="P58" s="23"/>
      <c r="Q58" s="24"/>
      <c r="R58" s="29"/>
      <c r="S58" s="24"/>
    </row>
    <row r="59" spans="1:19" x14ac:dyDescent="0.25">
      <c r="A59" s="2">
        <v>57</v>
      </c>
      <c r="B59" s="5" t="s">
        <v>214</v>
      </c>
      <c r="C59" s="5" t="s">
        <v>47</v>
      </c>
      <c r="D59" s="25" t="s">
        <v>52</v>
      </c>
      <c r="E59" s="6" t="s">
        <v>290</v>
      </c>
      <c r="F59" s="2" t="s">
        <v>101</v>
      </c>
      <c r="G59" s="8" t="s">
        <v>278</v>
      </c>
      <c r="H59" s="11">
        <v>240000</v>
      </c>
      <c r="I59" s="10">
        <f t="shared" si="55"/>
        <v>12000</v>
      </c>
      <c r="J59" s="10">
        <f t="shared" si="56"/>
        <v>252000</v>
      </c>
      <c r="K59" s="21"/>
      <c r="L59" s="22"/>
      <c r="M59" s="22"/>
      <c r="N59" s="22"/>
      <c r="O59" s="22"/>
      <c r="P59" s="23"/>
      <c r="Q59" s="24"/>
      <c r="R59" s="29"/>
      <c r="S59" s="24"/>
    </row>
    <row r="60" spans="1:19" x14ac:dyDescent="0.25">
      <c r="A60" s="2">
        <v>58</v>
      </c>
      <c r="B60" s="5" t="s">
        <v>215</v>
      </c>
      <c r="C60" s="5" t="s">
        <v>252</v>
      </c>
      <c r="D60" s="25" t="s">
        <v>52</v>
      </c>
      <c r="E60" s="6" t="s">
        <v>279</v>
      </c>
      <c r="F60" s="2" t="s">
        <v>280</v>
      </c>
      <c r="G60" s="8" t="s">
        <v>281</v>
      </c>
      <c r="H60" s="11">
        <v>340000</v>
      </c>
      <c r="I60" s="10">
        <f t="shared" si="55"/>
        <v>17000</v>
      </c>
      <c r="J60" s="10">
        <f t="shared" si="56"/>
        <v>357000</v>
      </c>
      <c r="K60" s="21"/>
      <c r="L60" s="22"/>
      <c r="M60" s="22"/>
      <c r="N60" s="22"/>
      <c r="O60" s="22"/>
      <c r="P60" s="23"/>
      <c r="Q60" s="24"/>
      <c r="R60" s="29"/>
      <c r="S60" s="24"/>
    </row>
    <row r="61" spans="1:19" s="5" customFormat="1" ht="30" x14ac:dyDescent="0.25">
      <c r="A61" s="5">
        <v>59</v>
      </c>
      <c r="B61" s="5" t="s">
        <v>216</v>
      </c>
      <c r="C61" s="5" t="s">
        <v>87</v>
      </c>
      <c r="D61" s="25" t="s">
        <v>52</v>
      </c>
      <c r="E61" s="6" t="s">
        <v>284</v>
      </c>
      <c r="F61" s="5" t="s">
        <v>283</v>
      </c>
      <c r="G61" s="8" t="s">
        <v>282</v>
      </c>
      <c r="H61" s="10">
        <v>54000</v>
      </c>
      <c r="I61" s="10">
        <f t="shared" si="55"/>
        <v>2700</v>
      </c>
      <c r="J61" s="10">
        <f t="shared" si="56"/>
        <v>56700</v>
      </c>
      <c r="K61" s="21"/>
      <c r="L61" s="22"/>
      <c r="M61" s="22"/>
      <c r="N61" s="22"/>
      <c r="O61" s="22"/>
      <c r="P61" s="23"/>
      <c r="Q61" s="24"/>
      <c r="R61" s="29"/>
      <c r="S61" s="24"/>
    </row>
    <row r="62" spans="1:19" x14ac:dyDescent="0.25">
      <c r="A62" s="2">
        <v>60</v>
      </c>
      <c r="B62" s="5" t="s">
        <v>217</v>
      </c>
      <c r="C62" s="5" t="s">
        <v>47</v>
      </c>
      <c r="D62" s="7" t="s">
        <v>58</v>
      </c>
      <c r="E62" s="6" t="s">
        <v>285</v>
      </c>
      <c r="F62" s="2" t="s">
        <v>101</v>
      </c>
      <c r="G62" s="8" t="s">
        <v>286</v>
      </c>
      <c r="H62" s="11">
        <v>50000</v>
      </c>
      <c r="I62" s="10">
        <f t="shared" si="55"/>
        <v>2500</v>
      </c>
      <c r="J62" s="10">
        <f t="shared" si="56"/>
        <v>52500</v>
      </c>
      <c r="K62" s="5" t="s">
        <v>61</v>
      </c>
      <c r="L62" s="11">
        <v>30000</v>
      </c>
      <c r="M62" s="10">
        <f>L62*0.05</f>
        <v>1500</v>
      </c>
      <c r="N62" s="10">
        <f>L62+M62</f>
        <v>31500</v>
      </c>
      <c r="O62" s="10">
        <f>J62*0.05</f>
        <v>2625</v>
      </c>
      <c r="P62" s="17">
        <f t="shared" ref="P62" si="65">J62-N62-O62</f>
        <v>18375</v>
      </c>
      <c r="Q62" s="18">
        <f t="shared" ref="Q62" si="66">(P62/J62)</f>
        <v>0.35</v>
      </c>
      <c r="R62" s="28">
        <f t="shared" ref="R62" si="67">P62-J62*0.1</f>
        <v>13125</v>
      </c>
      <c r="S62" s="18">
        <f t="shared" ref="S62" si="68">R62/J62</f>
        <v>0.25</v>
      </c>
    </row>
    <row r="63" spans="1:19" x14ac:dyDescent="0.25">
      <c r="A63" s="2">
        <v>61</v>
      </c>
      <c r="B63" s="5" t="s">
        <v>218</v>
      </c>
      <c r="C63" s="2" t="s">
        <v>50</v>
      </c>
      <c r="D63" s="25" t="s">
        <v>52</v>
      </c>
      <c r="E63" s="6" t="s">
        <v>291</v>
      </c>
      <c r="F63" s="2" t="s">
        <v>40</v>
      </c>
      <c r="G63" s="8" t="s">
        <v>287</v>
      </c>
      <c r="H63" s="11">
        <v>53000</v>
      </c>
      <c r="I63" s="10">
        <f t="shared" si="55"/>
        <v>2650</v>
      </c>
      <c r="J63" s="10">
        <f t="shared" si="56"/>
        <v>55650</v>
      </c>
      <c r="K63" s="21"/>
      <c r="L63" s="22"/>
      <c r="M63" s="22"/>
      <c r="N63" s="22"/>
      <c r="O63" s="22"/>
      <c r="P63" s="23"/>
      <c r="Q63" s="24"/>
      <c r="R63" s="29"/>
      <c r="S63" s="24"/>
    </row>
    <row r="64" spans="1:19" x14ac:dyDescent="0.25">
      <c r="A64" s="2">
        <v>62</v>
      </c>
      <c r="B64" s="5" t="s">
        <v>219</v>
      </c>
      <c r="C64" s="5" t="s">
        <v>87</v>
      </c>
      <c r="D64" s="7" t="s">
        <v>58</v>
      </c>
      <c r="E64" s="6" t="s">
        <v>292</v>
      </c>
      <c r="F64" s="2" t="s">
        <v>293</v>
      </c>
      <c r="G64" s="8" t="s">
        <v>294</v>
      </c>
      <c r="H64" s="11">
        <v>16000</v>
      </c>
      <c r="I64" s="10">
        <f t="shared" si="55"/>
        <v>800</v>
      </c>
      <c r="J64" s="10">
        <f t="shared" si="56"/>
        <v>16800</v>
      </c>
      <c r="K64" s="2" t="s">
        <v>235</v>
      </c>
      <c r="L64" s="11">
        <f>H64*0.7</f>
        <v>11200</v>
      </c>
      <c r="M64" s="10">
        <v>0</v>
      </c>
      <c r="N64" s="10">
        <f>L64+M64</f>
        <v>11200</v>
      </c>
      <c r="O64" s="10">
        <f>J64*0.05</f>
        <v>840</v>
      </c>
      <c r="P64" s="17">
        <f t="shared" ref="P64" si="69">J64-N64-O64</f>
        <v>4760</v>
      </c>
      <c r="Q64" s="18">
        <f t="shared" ref="Q64" si="70">(P64/J64)</f>
        <v>0.28333333333333333</v>
      </c>
      <c r="R64" s="28">
        <f t="shared" ref="R64" si="71">P64-J64*0.1</f>
        <v>3080</v>
      </c>
      <c r="S64" s="18">
        <f t="shared" ref="S64" si="72">R64/J64</f>
        <v>0.18333333333333332</v>
      </c>
    </row>
    <row r="65" spans="1:19" x14ac:dyDescent="0.25">
      <c r="A65" s="2">
        <v>63</v>
      </c>
      <c r="B65" s="5" t="s">
        <v>220</v>
      </c>
      <c r="C65" s="2" t="s">
        <v>104</v>
      </c>
      <c r="D65" s="25" t="s">
        <v>52</v>
      </c>
      <c r="I65" s="10"/>
      <c r="J65" s="10"/>
      <c r="K65" s="21"/>
      <c r="L65" s="22"/>
      <c r="M65" s="22"/>
      <c r="N65" s="22"/>
      <c r="O65" s="22"/>
      <c r="P65" s="23"/>
      <c r="Q65" s="24"/>
      <c r="R65" s="29"/>
      <c r="S65" s="24"/>
    </row>
    <row r="66" spans="1:19" x14ac:dyDescent="0.25">
      <c r="A66" s="2">
        <v>64</v>
      </c>
      <c r="B66" s="5" t="s">
        <v>221</v>
      </c>
      <c r="C66" s="5" t="s">
        <v>252</v>
      </c>
      <c r="D66" s="7" t="s">
        <v>58</v>
      </c>
      <c r="E66" s="3" t="s">
        <v>297</v>
      </c>
      <c r="F66" s="2" t="s">
        <v>295</v>
      </c>
      <c r="G66" s="8" t="s">
        <v>296</v>
      </c>
      <c r="H66" s="11">
        <v>12000</v>
      </c>
      <c r="I66" s="10">
        <f t="shared" ref="I66:I72" si="73">H66*0.05</f>
        <v>600</v>
      </c>
      <c r="J66" s="10">
        <f t="shared" ref="J66:J72" si="74">H66+I66</f>
        <v>12600</v>
      </c>
      <c r="K66" s="5" t="s">
        <v>61</v>
      </c>
      <c r="L66" s="11">
        <v>10000</v>
      </c>
      <c r="M66" s="10">
        <f>L66*0.05</f>
        <v>500</v>
      </c>
      <c r="N66" s="10">
        <f>L66+M66</f>
        <v>10500</v>
      </c>
      <c r="O66" s="10">
        <f>J66*0.05</f>
        <v>630</v>
      </c>
      <c r="P66" s="17">
        <f t="shared" ref="P66" si="75">J66-N66-O66</f>
        <v>1470</v>
      </c>
      <c r="Q66" s="18">
        <f t="shared" ref="Q66" si="76">(P66/J66)</f>
        <v>0.11666666666666667</v>
      </c>
      <c r="R66" s="28">
        <f t="shared" ref="R66" si="77">P66-J66*0.1</f>
        <v>210</v>
      </c>
      <c r="S66" s="18">
        <f t="shared" ref="S66" si="78">R66/J66</f>
        <v>1.6666666666666666E-2</v>
      </c>
    </row>
    <row r="67" spans="1:19" x14ac:dyDescent="0.25">
      <c r="A67" s="2">
        <v>65</v>
      </c>
      <c r="B67" s="5" t="s">
        <v>222</v>
      </c>
      <c r="C67" s="2" t="s">
        <v>50</v>
      </c>
      <c r="D67" s="7" t="s">
        <v>58</v>
      </c>
      <c r="E67" s="3" t="s">
        <v>298</v>
      </c>
      <c r="F67" s="2" t="s">
        <v>110</v>
      </c>
      <c r="G67" s="8" t="s">
        <v>299</v>
      </c>
      <c r="H67" s="11">
        <v>76200</v>
      </c>
      <c r="I67" s="10">
        <f t="shared" si="73"/>
        <v>3810</v>
      </c>
      <c r="J67" s="10">
        <f t="shared" si="74"/>
        <v>80010</v>
      </c>
      <c r="K67" s="5" t="s">
        <v>68</v>
      </c>
      <c r="L67" s="11">
        <v>0</v>
      </c>
      <c r="M67" s="10">
        <f>L67*0.05</f>
        <v>0</v>
      </c>
      <c r="N67" s="10">
        <f>L67+M67</f>
        <v>0</v>
      </c>
      <c r="O67" s="10">
        <f>J67*0.05</f>
        <v>4000.5</v>
      </c>
      <c r="P67" s="17">
        <f t="shared" ref="P67" si="79">J67-N67-O67</f>
        <v>76009.5</v>
      </c>
      <c r="Q67" s="18">
        <f t="shared" ref="Q67" si="80">(P67/J67)</f>
        <v>0.95</v>
      </c>
      <c r="R67" s="28">
        <f t="shared" ref="R67" si="81">P67-J67*0.1</f>
        <v>68008.5</v>
      </c>
      <c r="S67" s="18">
        <f t="shared" ref="S67" si="82">R67/J67</f>
        <v>0.85</v>
      </c>
    </row>
    <row r="68" spans="1:19" x14ac:dyDescent="0.25">
      <c r="A68" s="2">
        <v>66</v>
      </c>
      <c r="B68" s="5" t="s">
        <v>223</v>
      </c>
      <c r="C68" s="2" t="s">
        <v>71</v>
      </c>
      <c r="D68" s="25" t="s">
        <v>52</v>
      </c>
      <c r="E68" s="3" t="s">
        <v>300</v>
      </c>
      <c r="F68" s="2" t="s">
        <v>113</v>
      </c>
      <c r="G68" s="8" t="s">
        <v>301</v>
      </c>
      <c r="H68" s="11">
        <v>12000</v>
      </c>
      <c r="I68" s="10">
        <f t="shared" si="73"/>
        <v>600</v>
      </c>
      <c r="J68" s="10">
        <f t="shared" si="74"/>
        <v>12600</v>
      </c>
      <c r="K68" s="21"/>
      <c r="L68" s="22"/>
      <c r="M68" s="22"/>
      <c r="N68" s="22"/>
      <c r="O68" s="22"/>
      <c r="P68" s="23"/>
      <c r="Q68" s="24"/>
      <c r="R68" s="29"/>
      <c r="S68" s="24"/>
    </row>
    <row r="69" spans="1:19" x14ac:dyDescent="0.25">
      <c r="A69" s="2">
        <v>67</v>
      </c>
      <c r="B69" s="5" t="s">
        <v>224</v>
      </c>
      <c r="C69" s="2" t="s">
        <v>71</v>
      </c>
      <c r="D69" s="7" t="s">
        <v>58</v>
      </c>
      <c r="E69" s="3" t="s">
        <v>302</v>
      </c>
      <c r="F69" s="2" t="s">
        <v>303</v>
      </c>
      <c r="G69" s="8" t="s">
        <v>301</v>
      </c>
      <c r="H69" s="11">
        <v>15000</v>
      </c>
      <c r="I69" s="10">
        <f t="shared" si="73"/>
        <v>750</v>
      </c>
      <c r="J69" s="10">
        <f t="shared" si="74"/>
        <v>15750</v>
      </c>
      <c r="K69" s="2" t="s">
        <v>269</v>
      </c>
      <c r="L69" s="11">
        <v>10000</v>
      </c>
      <c r="M69" s="10">
        <v>0</v>
      </c>
      <c r="N69" s="10">
        <f>L69+M69</f>
        <v>10000</v>
      </c>
      <c r="O69" s="10">
        <f>J69*0.05</f>
        <v>787.5</v>
      </c>
      <c r="P69" s="17">
        <f t="shared" ref="P69" si="83">J69-N69-O69</f>
        <v>4962.5</v>
      </c>
      <c r="Q69" s="18">
        <f t="shared" ref="Q69" si="84">(P69/J69)</f>
        <v>0.31507936507936507</v>
      </c>
      <c r="R69" s="28">
        <f t="shared" ref="R69" si="85">P69-J69*0.1</f>
        <v>3387.5</v>
      </c>
      <c r="S69" s="18">
        <f t="shared" ref="S69" si="86">R69/J69</f>
        <v>0.21507936507936509</v>
      </c>
    </row>
    <row r="70" spans="1:19" s="5" customFormat="1" ht="30" x14ac:dyDescent="0.25">
      <c r="A70" s="5">
        <v>68</v>
      </c>
      <c r="B70" s="5" t="s">
        <v>225</v>
      </c>
      <c r="C70" s="5" t="s">
        <v>71</v>
      </c>
      <c r="D70" s="7" t="s">
        <v>58</v>
      </c>
      <c r="E70" s="6" t="s">
        <v>304</v>
      </c>
      <c r="F70" s="5" t="s">
        <v>113</v>
      </c>
      <c r="G70" s="8" t="s">
        <v>305</v>
      </c>
      <c r="H70" s="10">
        <v>15000</v>
      </c>
      <c r="I70" s="10">
        <f t="shared" si="73"/>
        <v>750</v>
      </c>
      <c r="J70" s="10">
        <f t="shared" si="74"/>
        <v>15750</v>
      </c>
      <c r="K70" s="5" t="s">
        <v>306</v>
      </c>
      <c r="L70" s="10">
        <v>12000</v>
      </c>
      <c r="M70" s="10">
        <f>L70*0.05</f>
        <v>600</v>
      </c>
      <c r="N70" s="10">
        <f>L70+M70</f>
        <v>12600</v>
      </c>
      <c r="O70" s="10">
        <f>J70*0.05</f>
        <v>787.5</v>
      </c>
      <c r="P70" s="17">
        <f t="shared" ref="P70:P71" si="87">J70-N70-O70</f>
        <v>2362.5</v>
      </c>
      <c r="Q70" s="18">
        <f t="shared" ref="Q70:Q71" si="88">(P70/J70)</f>
        <v>0.15</v>
      </c>
      <c r="R70" s="28">
        <f t="shared" ref="R70:R71" si="89">P70-J70*0.1</f>
        <v>787.5</v>
      </c>
      <c r="S70" s="18">
        <f t="shared" ref="S70:S71" si="90">R70/J70</f>
        <v>0.05</v>
      </c>
    </row>
    <row r="71" spans="1:19" x14ac:dyDescent="0.25">
      <c r="A71" s="2">
        <v>69</v>
      </c>
      <c r="B71" s="5" t="s">
        <v>226</v>
      </c>
      <c r="C71" s="5" t="s">
        <v>77</v>
      </c>
      <c r="D71" s="7" t="s">
        <v>58</v>
      </c>
      <c r="E71" s="6" t="s">
        <v>76</v>
      </c>
      <c r="F71" s="5" t="s">
        <v>75</v>
      </c>
      <c r="G71" s="8" t="s">
        <v>307</v>
      </c>
      <c r="H71" s="11">
        <v>35000</v>
      </c>
      <c r="I71" s="10">
        <f t="shared" si="73"/>
        <v>1750</v>
      </c>
      <c r="J71" s="10">
        <f t="shared" si="74"/>
        <v>36750</v>
      </c>
      <c r="K71" s="2" t="s">
        <v>188</v>
      </c>
      <c r="L71" s="11">
        <v>20000</v>
      </c>
      <c r="M71" s="10">
        <v>0</v>
      </c>
      <c r="N71" s="10">
        <f>L71+M71</f>
        <v>20000</v>
      </c>
      <c r="O71" s="10">
        <f>J71*0.05</f>
        <v>1837.5</v>
      </c>
      <c r="P71" s="17">
        <f t="shared" si="87"/>
        <v>14912.5</v>
      </c>
      <c r="Q71" s="18">
        <f t="shared" si="88"/>
        <v>0.40578231292517009</v>
      </c>
      <c r="R71" s="28">
        <f t="shared" si="89"/>
        <v>11237.5</v>
      </c>
      <c r="S71" s="18">
        <f t="shared" si="90"/>
        <v>0.30578231292517005</v>
      </c>
    </row>
    <row r="72" spans="1:19" s="5" customFormat="1" ht="30" x14ac:dyDescent="0.25">
      <c r="A72" s="5">
        <v>70</v>
      </c>
      <c r="B72" s="5" t="s">
        <v>227</v>
      </c>
      <c r="C72" s="5" t="s">
        <v>252</v>
      </c>
      <c r="D72" s="7" t="s">
        <v>58</v>
      </c>
      <c r="E72" s="6" t="s">
        <v>310</v>
      </c>
      <c r="F72" s="5" t="s">
        <v>309</v>
      </c>
      <c r="G72" s="8" t="s">
        <v>308</v>
      </c>
      <c r="H72" s="10">
        <v>15000</v>
      </c>
      <c r="I72" s="10">
        <f t="shared" si="73"/>
        <v>750</v>
      </c>
      <c r="J72" s="10">
        <f t="shared" si="74"/>
        <v>15750</v>
      </c>
      <c r="K72" s="5" t="s">
        <v>61</v>
      </c>
      <c r="L72" s="10">
        <v>12000</v>
      </c>
      <c r="M72" s="10">
        <f>L72*0.05</f>
        <v>600</v>
      </c>
      <c r="N72" s="10">
        <f>L72+M72</f>
        <v>12600</v>
      </c>
      <c r="O72" s="10">
        <f>J72*0.05</f>
        <v>787.5</v>
      </c>
      <c r="P72" s="17">
        <f t="shared" ref="P72" si="91">J72-N72-O72</f>
        <v>2362.5</v>
      </c>
      <c r="Q72" s="18">
        <f t="shared" ref="Q72" si="92">(P72/J72)</f>
        <v>0.15</v>
      </c>
      <c r="R72" s="28">
        <f t="shared" ref="R72" si="93">P72-J72*0.1</f>
        <v>787.5</v>
      </c>
      <c r="S72" s="18">
        <f t="shared" ref="S72" si="94">R72/J72</f>
        <v>0.05</v>
      </c>
    </row>
    <row r="73" spans="1:19" x14ac:dyDescent="0.25">
      <c r="J73" s="31">
        <f>SUM(J2:J72)-$J$16-$J$20-$J$21-$J$12-$J$8-$J$26</f>
        <v>20223846</v>
      </c>
      <c r="P73" s="31">
        <f>SUM(P2:P72)</f>
        <v>2235422.2000000002</v>
      </c>
      <c r="Q73" s="32">
        <f t="shared" ref="Q73" si="95">(P73/J73)</f>
        <v>0.11053398052971726</v>
      </c>
      <c r="R73" s="31">
        <f>SUM(R2:R72)</f>
        <v>1745842.4</v>
      </c>
      <c r="S73" s="32">
        <f t="shared" ref="S73" si="96">R73/J73</f>
        <v>8.6325934246136951E-2</v>
      </c>
    </row>
  </sheetData>
  <autoFilter ref="D1:D29" xr:uid="{00000000-0001-0000-0000-000000000000}"/>
  <phoneticPr fontId="2" type="noConversion"/>
  <conditionalFormatting sqref="D1:D1048576">
    <cfRule type="containsText" dxfId="0" priority="1" operator="containsText" text="是">
      <formula>NOT(ISERROR(SEARCH("是",D1)))</formula>
    </cfRule>
  </conditionalFormatting>
  <dataValidations count="3">
    <dataValidation type="list" allowBlank="1" showInputMessage="1" showErrorMessage="1" sqref="F1:F7 F9:F11 F13:F29 F32:F39 F41:F49 F51:F57 F59:F1048576" xr:uid="{93B300E6-B152-4432-8D8F-2FCF5E49179C}">
      <formula1>$F:$F</formula1>
    </dataValidation>
    <dataValidation type="list" allowBlank="1" showInputMessage="1" showErrorMessage="1" sqref="C1:C1048576" xr:uid="{D5297682-5A2C-48E3-B5C2-028CBFE5CAE4}">
      <formula1>$C:$C</formula1>
    </dataValidation>
    <dataValidation type="list" allowBlank="1" showInputMessage="1" showErrorMessage="1" sqref="K1:K1048576" xr:uid="{AFAA35D4-0338-4749-9959-C5C8C418D238}">
      <formula1>$K:$K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駿穠 王</cp:lastModifiedBy>
  <dcterms:created xsi:type="dcterms:W3CDTF">2015-06-05T18:19:34Z</dcterms:created>
  <dcterms:modified xsi:type="dcterms:W3CDTF">2026-03-18T01:13:05Z</dcterms:modified>
</cp:coreProperties>
</file>