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邱元宏update\測量技師執業\公司財務\"/>
    </mc:Choice>
  </mc:AlternateContent>
  <xr:revisionPtr revIDLastSave="0" documentId="13_ncr:1_{281BE26C-7BD5-42E3-95A0-C36FDE4F99F0}" xr6:coauthVersionLast="47" xr6:coauthVersionMax="47" xr10:uidLastSave="{00000000-0000-0000-0000-000000000000}"/>
  <bookViews>
    <workbookView xWindow="-110" yWindow="-110" windowWidth="19420" windowHeight="12220" xr2:uid="{2D821056-C74D-41D5-A51D-3C44B90E6E91}"/>
  </bookViews>
  <sheets>
    <sheet name="建物標示圖" sheetId="2" r:id="rId1"/>
    <sheet name="客戶分析" sheetId="3" r:id="rId2"/>
    <sheet name="工作表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" i="2" l="1"/>
  <c r="Q17" i="2"/>
  <c r="P17" i="2"/>
  <c r="Q11" i="2" l="1"/>
  <c r="P11" i="2"/>
  <c r="A12" i="2"/>
  <c r="A11" i="2"/>
  <c r="Q12" i="2"/>
  <c r="Q10" i="2"/>
  <c r="Q9" i="2"/>
  <c r="Q8" i="2"/>
  <c r="Q7" i="2"/>
  <c r="Q6" i="2"/>
  <c r="Q5" i="2"/>
  <c r="Q4" i="2"/>
  <c r="Q3" i="2"/>
  <c r="Q2" i="2"/>
  <c r="P12" i="2"/>
  <c r="P10" i="2"/>
  <c r="P9" i="2"/>
  <c r="P8" i="2"/>
  <c r="P7" i="2"/>
  <c r="P6" i="2"/>
  <c r="O15" i="2"/>
  <c r="N15" i="2"/>
  <c r="M15" i="2"/>
  <c r="L15" i="2"/>
  <c r="K15" i="2"/>
  <c r="Q15" i="2" l="1"/>
  <c r="P5" i="2" l="1"/>
  <c r="P4" i="2"/>
  <c r="P3" i="2"/>
  <c r="P2" i="2"/>
  <c r="P15" i="2" s="1"/>
  <c r="A3" i="2" l="1"/>
  <c r="A4" i="2" s="1"/>
  <c r="A5" i="2" s="1"/>
  <c r="A6" i="2" s="1"/>
  <c r="A7" i="2" s="1"/>
  <c r="A8" i="2" s="1"/>
  <c r="A9" i="2" s="1"/>
  <c r="A10" i="2" s="1"/>
  <c r="N39" i="3" l="1"/>
  <c r="M39" i="3"/>
  <c r="Q39" i="3" s="1"/>
  <c r="L39" i="3"/>
  <c r="P39" i="3" s="1"/>
  <c r="K39" i="3"/>
  <c r="N36" i="3"/>
  <c r="M36" i="3"/>
  <c r="Q36" i="3" s="1"/>
  <c r="L36" i="3"/>
  <c r="P36" i="3" s="1"/>
  <c r="K36" i="3"/>
  <c r="N33" i="3"/>
  <c r="M33" i="3"/>
  <c r="Q33" i="3" s="1"/>
  <c r="L33" i="3"/>
  <c r="P33" i="3" s="1"/>
  <c r="K33" i="3"/>
  <c r="N26" i="3"/>
  <c r="M26" i="3"/>
  <c r="Q26" i="3" s="1"/>
  <c r="L26" i="3"/>
  <c r="K26" i="3"/>
  <c r="N7" i="3"/>
  <c r="M7" i="3"/>
  <c r="Q7" i="3" s="1"/>
  <c r="L7" i="3"/>
  <c r="P7" i="3" s="1"/>
  <c r="K7" i="3"/>
  <c r="P46" i="1"/>
  <c r="R46" i="1"/>
  <c r="Q46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P26" i="3" l="1"/>
</calcChain>
</file>

<file path=xl/sharedStrings.xml><?xml version="1.0" encoding="utf-8"?>
<sst xmlns="http://schemas.openxmlformats.org/spreadsheetml/2006/main" count="959" uniqueCount="399">
  <si>
    <t>流水號</t>
    <phoneticPr fontId="1" type="noConversion"/>
  </si>
  <si>
    <t>接洽日期</t>
    <phoneticPr fontId="1" type="noConversion"/>
  </si>
  <si>
    <t>客戶</t>
    <phoneticPr fontId="1" type="noConversion"/>
  </si>
  <si>
    <t>聯絡人</t>
    <phoneticPr fontId="1" type="noConversion"/>
  </si>
  <si>
    <t>聯絡電話</t>
    <phoneticPr fontId="1" type="noConversion"/>
  </si>
  <si>
    <t>計畫名稱(工作內容)</t>
    <phoneticPr fontId="1" type="noConversion"/>
  </si>
  <si>
    <t>標的</t>
    <phoneticPr fontId="1" type="noConversion"/>
  </si>
  <si>
    <t>報價</t>
    <phoneticPr fontId="1" type="noConversion"/>
  </si>
  <si>
    <t>是否結案</t>
    <phoneticPr fontId="1" type="noConversion"/>
  </si>
  <si>
    <t>縣市</t>
    <phoneticPr fontId="1" type="noConversion"/>
  </si>
  <si>
    <t>鄉鎮市區</t>
    <phoneticPr fontId="1" type="noConversion"/>
  </si>
  <si>
    <t>地段</t>
    <phoneticPr fontId="1" type="noConversion"/>
  </si>
  <si>
    <t>地號</t>
    <phoneticPr fontId="1" type="noConversion"/>
  </si>
  <si>
    <t>報價單編號</t>
    <phoneticPr fontId="1" type="noConversion"/>
  </si>
  <si>
    <t>回傳日期</t>
    <phoneticPr fontId="1" type="noConversion"/>
  </si>
  <si>
    <t>測量員</t>
    <phoneticPr fontId="1" type="noConversion"/>
  </si>
  <si>
    <t>測量日期</t>
    <phoneticPr fontId="1" type="noConversion"/>
  </si>
  <si>
    <t>繪圖</t>
    <phoneticPr fontId="1" type="noConversion"/>
  </si>
  <si>
    <t>簽證</t>
    <phoneticPr fontId="1" type="noConversion"/>
  </si>
  <si>
    <t>113.08.13</t>
    <phoneticPr fontId="1" type="noConversion"/>
  </si>
  <si>
    <t>詹承硯</t>
    <phoneticPr fontId="1" type="noConversion"/>
  </si>
  <si>
    <t>0935080181</t>
    <phoneticPr fontId="1" type="noConversion"/>
  </si>
  <si>
    <t>地形圖測量</t>
    <phoneticPr fontId="1" type="noConversion"/>
  </si>
  <si>
    <t>臺中市</t>
    <phoneticPr fontId="1" type="noConversion"/>
  </si>
  <si>
    <t>和平區</t>
    <phoneticPr fontId="1" type="noConversion"/>
  </si>
  <si>
    <t>南勢段</t>
    <phoneticPr fontId="1" type="noConversion"/>
  </si>
  <si>
    <t>B113-B041-0</t>
    <phoneticPr fontId="1" type="noConversion"/>
  </si>
  <si>
    <t>113.08.14</t>
    <phoneticPr fontId="1" type="noConversion"/>
  </si>
  <si>
    <t>陳明瑜</t>
    <phoneticPr fontId="1" type="noConversion"/>
  </si>
  <si>
    <t>113.08.19</t>
    <phoneticPr fontId="1" type="noConversion"/>
  </si>
  <si>
    <t>V</t>
    <phoneticPr fontId="1" type="noConversion"/>
  </si>
  <si>
    <t>113.09.10</t>
    <phoneticPr fontId="1" type="noConversion"/>
  </si>
  <si>
    <t>申請指定建築線</t>
    <phoneticPr fontId="1" type="noConversion"/>
  </si>
  <si>
    <t>B113-C011-0(補)</t>
    <phoneticPr fontId="1" type="noConversion"/>
  </si>
  <si>
    <t>114.01.16補</t>
    <phoneticPr fontId="1" type="noConversion"/>
  </si>
  <si>
    <t>113.11.06</t>
    <phoneticPr fontId="1" type="noConversion"/>
  </si>
  <si>
    <t>申請指定建築線(第二次申請)</t>
    <phoneticPr fontId="1" type="noConversion"/>
  </si>
  <si>
    <t>B113-C010-0</t>
    <phoneticPr fontId="1" type="noConversion"/>
  </si>
  <si>
    <t>114.01.13</t>
    <phoneticPr fontId="1" type="noConversion"/>
  </si>
  <si>
    <t>立昌</t>
    <phoneticPr fontId="1" type="noConversion"/>
  </si>
  <si>
    <t>白湘苓</t>
    <phoneticPr fontId="1" type="noConversion"/>
  </si>
  <si>
    <t>0958935835</t>
    <phoneticPr fontId="1" type="noConversion"/>
  </si>
  <si>
    <t>雙橡園：建物地籍測繪</t>
    <phoneticPr fontId="1" type="noConversion"/>
  </si>
  <si>
    <t xml:space="preserve">西屯區 </t>
    <phoneticPr fontId="1" type="noConversion"/>
  </si>
  <si>
    <t>龍富段</t>
    <phoneticPr fontId="1" type="noConversion"/>
  </si>
  <si>
    <t>77-1,78,80</t>
    <phoneticPr fontId="1" type="noConversion"/>
  </si>
  <si>
    <t>B113-B043-0</t>
    <phoneticPr fontId="1" type="noConversion"/>
  </si>
  <si>
    <t>113.08.21</t>
    <phoneticPr fontId="1" type="noConversion"/>
  </si>
  <si>
    <t>劉坤明</t>
    <phoneticPr fontId="1" type="noConversion"/>
  </si>
  <si>
    <t>113.08.26</t>
    <phoneticPr fontId="1" type="noConversion"/>
  </si>
  <si>
    <t>113.09.13</t>
    <phoneticPr fontId="1" type="noConversion"/>
  </si>
  <si>
    <t>蔡斌碩地政士</t>
    <phoneticPr fontId="1" type="noConversion"/>
  </si>
  <si>
    <t>蔡斌碩</t>
  </si>
  <si>
    <t>line</t>
    <phoneticPr fontId="1" type="noConversion"/>
  </si>
  <si>
    <t>使用現況面積測量</t>
    <phoneticPr fontId="1" type="noConversion"/>
  </si>
  <si>
    <t>東勢區</t>
    <phoneticPr fontId="1" type="noConversion"/>
  </si>
  <si>
    <t>石圍牆段石圍牆小段</t>
    <phoneticPr fontId="1" type="noConversion"/>
  </si>
  <si>
    <t>135-3</t>
    <phoneticPr fontId="1" type="noConversion"/>
  </si>
  <si>
    <t>B113-B050-0</t>
    <phoneticPr fontId="1" type="noConversion"/>
  </si>
  <si>
    <t>直接連絡慶忠</t>
    <phoneticPr fontId="1" type="noConversion"/>
  </si>
  <si>
    <t>楊長燁</t>
    <phoneticPr fontId="1" type="noConversion"/>
  </si>
  <si>
    <t>113.10.11</t>
    <phoneticPr fontId="1" type="noConversion"/>
  </si>
  <si>
    <t>113.10.18</t>
    <phoneticPr fontId="1" type="noConversion"/>
  </si>
  <si>
    <t>113.10.01</t>
    <phoneticPr fontId="1" type="noConversion"/>
  </si>
  <si>
    <t>南悅建設</t>
    <phoneticPr fontId="1" type="noConversion"/>
  </si>
  <si>
    <t>倪慶忠</t>
    <phoneticPr fontId="1" type="noConversion"/>
  </si>
  <si>
    <t>0912040599</t>
    <phoneticPr fontId="1" type="noConversion"/>
  </si>
  <si>
    <t>建物標示圖</t>
    <phoneticPr fontId="1" type="noConversion"/>
  </si>
  <si>
    <t>北屯區</t>
    <phoneticPr fontId="1" type="noConversion"/>
  </si>
  <si>
    <t>平田段、仁平段</t>
    <phoneticPr fontId="1" type="noConversion"/>
  </si>
  <si>
    <t>958,380</t>
    <phoneticPr fontId="1" type="noConversion"/>
  </si>
  <si>
    <t>B113-C001-4</t>
    <phoneticPr fontId="1" type="noConversion"/>
  </si>
  <si>
    <t>113.11.18</t>
    <phoneticPr fontId="1" type="noConversion"/>
  </si>
  <si>
    <t>me修</t>
    <phoneticPr fontId="1" type="noConversion"/>
  </si>
  <si>
    <t>114年領使照</t>
    <phoneticPr fontId="1" type="noConversion"/>
  </si>
  <si>
    <t>分管協議位置測量</t>
    <phoneticPr fontId="1" type="noConversion"/>
  </si>
  <si>
    <t>達觀段</t>
    <phoneticPr fontId="1" type="noConversion"/>
  </si>
  <si>
    <t>206</t>
    <phoneticPr fontId="1" type="noConversion"/>
  </si>
  <si>
    <t>B113-C002-0</t>
    <phoneticPr fontId="1" type="noConversion"/>
  </si>
  <si>
    <t>113.10.25</t>
    <phoneticPr fontId="1" type="noConversion"/>
  </si>
  <si>
    <t>113.10.30</t>
    <phoneticPr fontId="1" type="noConversion"/>
  </si>
  <si>
    <t>奕信</t>
    <phoneticPr fontId="1" type="noConversion"/>
  </si>
  <si>
    <t>劉焜城</t>
    <phoneticPr fontId="1" type="noConversion"/>
  </si>
  <si>
    <t>0932540164</t>
    <phoneticPr fontId="1" type="noConversion"/>
  </si>
  <si>
    <t>建物標示圖(只有繪圖)</t>
    <phoneticPr fontId="1" type="noConversion"/>
  </si>
  <si>
    <t>彰化縣</t>
    <phoneticPr fontId="1" type="noConversion"/>
  </si>
  <si>
    <t>花壇鄉</t>
    <phoneticPr fontId="1" type="noConversion"/>
  </si>
  <si>
    <t>溪南段</t>
    <phoneticPr fontId="1" type="noConversion"/>
  </si>
  <si>
    <t>1803等8筆</t>
    <phoneticPr fontId="1" type="noConversion"/>
  </si>
  <si>
    <t>劉董開立</t>
    <phoneticPr fontId="1" type="noConversion"/>
  </si>
  <si>
    <t>-</t>
    <phoneticPr fontId="1" type="noConversion"/>
  </si>
  <si>
    <t>me</t>
    <phoneticPr fontId="1" type="noConversion"/>
  </si>
  <si>
    <t>奕信</t>
  </si>
  <si>
    <t>溪湖鎮</t>
    <phoneticPr fontId="1" type="noConversion"/>
  </si>
  <si>
    <t>三興段</t>
    <phoneticPr fontId="1" type="noConversion"/>
  </si>
  <si>
    <t>688等13筆</t>
    <phoneticPr fontId="1" type="noConversion"/>
  </si>
  <si>
    <t>楊淑珍</t>
    <phoneticPr fontId="1" type="noConversion"/>
  </si>
  <si>
    <t>0926358369</t>
    <phoneticPr fontId="1" type="noConversion"/>
  </si>
  <si>
    <t>湖北段</t>
    <phoneticPr fontId="1" type="noConversion"/>
  </si>
  <si>
    <t>1218</t>
    <phoneticPr fontId="1" type="noConversion"/>
  </si>
  <si>
    <t>B113-C006-0</t>
    <phoneticPr fontId="1" type="noConversion"/>
  </si>
  <si>
    <t>113.11.01</t>
    <phoneticPr fontId="1" type="noConversion"/>
  </si>
  <si>
    <t>業主：昇鴻國際開發股份有限公司</t>
    <phoneticPr fontId="1" type="noConversion"/>
  </si>
  <si>
    <t>沙鹿區</t>
    <phoneticPr fontId="1" type="noConversion"/>
  </si>
  <si>
    <t>紅竹段</t>
    <phoneticPr fontId="1" type="noConversion"/>
  </si>
  <si>
    <t>1163</t>
    <phoneticPr fontId="1" type="noConversion"/>
  </si>
  <si>
    <t>B113-C007-0</t>
    <phoneticPr fontId="1" type="noConversion"/>
  </si>
  <si>
    <t>113.11.05</t>
    <phoneticPr fontId="1" type="noConversion"/>
  </si>
  <si>
    <t>芬園鄉</t>
    <phoneticPr fontId="1" type="noConversion"/>
  </si>
  <si>
    <t>嘉興段</t>
    <phoneticPr fontId="1" type="noConversion"/>
  </si>
  <si>
    <t>476-1等8筆</t>
    <phoneticPr fontId="1" type="noConversion"/>
  </si>
  <si>
    <t>113.11.11</t>
    <phoneticPr fontId="1" type="noConversion"/>
  </si>
  <si>
    <t>BC-220</t>
    <phoneticPr fontId="1" type="noConversion"/>
  </si>
  <si>
    <t>繪圖每戶800元；簽證基準戶+公設(8+1)每戶1000元、同質戶40戶每戶900元</t>
    <phoneticPr fontId="1" type="noConversion"/>
  </si>
  <si>
    <t>113.11.19</t>
    <phoneticPr fontId="1" type="noConversion"/>
  </si>
  <si>
    <t>陳秋嫚</t>
    <phoneticPr fontId="1" type="noConversion"/>
  </si>
  <si>
    <t>0936959319</t>
    <phoneticPr fontId="1" type="noConversion"/>
  </si>
  <si>
    <t>現況測量</t>
    <phoneticPr fontId="1" type="noConversion"/>
  </si>
  <si>
    <t>慶福段</t>
    <phoneticPr fontId="1" type="noConversion"/>
  </si>
  <si>
    <t>928</t>
    <phoneticPr fontId="1" type="noConversion"/>
  </si>
  <si>
    <t>B113-C009-0</t>
    <phoneticPr fontId="1" type="noConversion"/>
  </si>
  <si>
    <t>113.11.21</t>
    <phoneticPr fontId="1" type="noConversion"/>
  </si>
  <si>
    <t>113.12.09</t>
    <phoneticPr fontId="1" type="noConversion"/>
  </si>
  <si>
    <t>113.11.28</t>
    <phoneticPr fontId="1" type="noConversion"/>
  </si>
  <si>
    <t>呂麗燕</t>
    <phoneticPr fontId="1" type="noConversion"/>
  </si>
  <si>
    <t>0936973948</t>
    <phoneticPr fontId="1" type="noConversion"/>
  </si>
  <si>
    <t>分區面積計算(成果簽證)</t>
    <phoneticPr fontId="1" type="noConversion"/>
  </si>
  <si>
    <t>神岡區</t>
    <phoneticPr fontId="1" type="noConversion"/>
  </si>
  <si>
    <t>溪洲段</t>
    <phoneticPr fontId="1" type="noConversion"/>
  </si>
  <si>
    <t>8,61</t>
    <phoneticPr fontId="1" type="noConversion"/>
  </si>
  <si>
    <t>B113-C012-0</t>
    <phoneticPr fontId="1" type="noConversion"/>
  </si>
  <si>
    <t>113.12.02</t>
    <phoneticPr fontId="1" type="noConversion"/>
  </si>
  <si>
    <t>霧峰區</t>
    <phoneticPr fontId="1" type="noConversion"/>
  </si>
  <si>
    <t>四德段</t>
    <phoneticPr fontId="1" type="noConversion"/>
  </si>
  <si>
    <t>226</t>
    <phoneticPr fontId="1" type="noConversion"/>
  </si>
  <si>
    <t>B113-C013-0</t>
    <phoneticPr fontId="1" type="noConversion"/>
  </si>
  <si>
    <t>113.12.03</t>
    <phoneticPr fontId="1" type="noConversion"/>
  </si>
  <si>
    <t>113.12.20</t>
    <phoneticPr fontId="1" type="noConversion"/>
  </si>
  <si>
    <t>X</t>
    <phoneticPr fontId="1" type="noConversion"/>
  </si>
  <si>
    <t>代書請本公司提供cad檔，已提供。(後續先不主動聯繫)</t>
    <phoneticPr fontId="1" type="noConversion"/>
  </si>
  <si>
    <t>徐佳瑜</t>
    <phoneticPr fontId="1" type="noConversion"/>
  </si>
  <si>
    <t>22517075</t>
    <phoneticPr fontId="1" type="noConversion"/>
  </si>
  <si>
    <t>建物標示圖(只有簽證)</t>
    <phoneticPr fontId="1" type="noConversion"/>
  </si>
  <si>
    <t>龍井區</t>
    <phoneticPr fontId="1" type="noConversion"/>
  </si>
  <si>
    <t>東海段</t>
    <phoneticPr fontId="1" type="noConversion"/>
  </si>
  <si>
    <t>98-16</t>
    <phoneticPr fontId="1" type="noConversion"/>
  </si>
  <si>
    <t>B113-C014-0</t>
    <phoneticPr fontId="1" type="noConversion"/>
  </si>
  <si>
    <t>BF-225</t>
    <phoneticPr fontId="1" type="noConversion"/>
  </si>
  <si>
    <t>113.12.24</t>
    <phoneticPr fontId="1" type="noConversion"/>
  </si>
  <si>
    <t>113.12.05</t>
    <phoneticPr fontId="1" type="noConversion"/>
  </si>
  <si>
    <t>彰化市</t>
    <phoneticPr fontId="1" type="noConversion"/>
  </si>
  <si>
    <t>南郭小段</t>
    <phoneticPr fontId="1" type="noConversion"/>
  </si>
  <si>
    <t>525等3筆</t>
    <phoneticPr fontId="1" type="noConversion"/>
  </si>
  <si>
    <t>113.12.13</t>
    <phoneticPr fontId="1" type="noConversion"/>
  </si>
  <si>
    <t>埔心鄉</t>
    <phoneticPr fontId="1" type="noConversion"/>
  </si>
  <si>
    <t>瓦窯中段</t>
    <phoneticPr fontId="1" type="noConversion"/>
  </si>
  <si>
    <t>1308</t>
    <phoneticPr fontId="1" type="noConversion"/>
  </si>
  <si>
    <t>113.12.17</t>
    <phoneticPr fontId="1" type="noConversion"/>
  </si>
  <si>
    <t>埔鹽鄉</t>
    <phoneticPr fontId="1" type="noConversion"/>
  </si>
  <si>
    <t>成功段</t>
    <phoneticPr fontId="1" type="noConversion"/>
  </si>
  <si>
    <t>482等10筆</t>
    <phoneticPr fontId="1" type="noConversion"/>
  </si>
  <si>
    <t>113.12.18</t>
    <phoneticPr fontId="1" type="noConversion"/>
  </si>
  <si>
    <t>04-22517075</t>
    <phoneticPr fontId="1" type="noConversion"/>
  </si>
  <si>
    <t>捐贈地現況測量</t>
    <phoneticPr fontId="1" type="noConversion"/>
  </si>
  <si>
    <t>694等3筆</t>
    <phoneticPr fontId="1" type="noConversion"/>
  </si>
  <si>
    <t>B113-C015-1</t>
    <phoneticPr fontId="1" type="noConversion"/>
  </si>
  <si>
    <t>113.12.19</t>
    <phoneticPr fontId="1" type="noConversion"/>
  </si>
  <si>
    <t>鑫新平段</t>
    <phoneticPr fontId="1" type="noConversion"/>
  </si>
  <si>
    <t>260,261</t>
    <phoneticPr fontId="1" type="noConversion"/>
  </si>
  <si>
    <t>B113-C016-0</t>
    <phoneticPr fontId="1" type="noConversion"/>
  </si>
  <si>
    <t>114.03.17</t>
    <phoneticPr fontId="1" type="noConversion"/>
  </si>
  <si>
    <t>石岡區</t>
    <phoneticPr fontId="1" type="noConversion"/>
  </si>
  <si>
    <t>新萬興段</t>
    <phoneticPr fontId="1" type="noConversion"/>
  </si>
  <si>
    <t>534</t>
    <phoneticPr fontId="1" type="noConversion"/>
  </si>
  <si>
    <t>B114-C001-1</t>
    <phoneticPr fontId="1" type="noConversion"/>
  </si>
  <si>
    <t>114.01.17</t>
    <phoneticPr fontId="1" type="noConversion"/>
  </si>
  <si>
    <t>114.03.10</t>
    <phoneticPr fontId="1" type="noConversion"/>
  </si>
  <si>
    <t>114.01.08</t>
    <phoneticPr fontId="1" type="noConversion"/>
  </si>
  <si>
    <t>口庄段</t>
    <phoneticPr fontId="1" type="noConversion"/>
  </si>
  <si>
    <t>1029</t>
    <phoneticPr fontId="1" type="noConversion"/>
  </si>
  <si>
    <t>田中鎮</t>
    <phoneticPr fontId="1" type="noConversion"/>
  </si>
  <si>
    <t>新民段</t>
    <phoneticPr fontId="1" type="noConversion"/>
  </si>
  <si>
    <t>1291</t>
    <phoneticPr fontId="1" type="noConversion"/>
  </si>
  <si>
    <t>114.01.14</t>
    <phoneticPr fontId="1" type="noConversion"/>
  </si>
  <si>
    <t>114.02.04</t>
    <phoneticPr fontId="1" type="noConversion"/>
  </si>
  <si>
    <t>理仁建設</t>
    <phoneticPr fontId="1" type="noConversion"/>
  </si>
  <si>
    <t>西屯區</t>
    <phoneticPr fontId="1" type="noConversion"/>
  </si>
  <si>
    <t>惠來厝段</t>
    <phoneticPr fontId="1" type="noConversion"/>
  </si>
  <si>
    <t>787</t>
    <phoneticPr fontId="1" type="noConversion"/>
  </si>
  <si>
    <t>B114-C002-1</t>
    <phoneticPr fontId="1" type="noConversion"/>
  </si>
  <si>
    <t>114.02.18</t>
    <phoneticPr fontId="1" type="noConversion"/>
  </si>
  <si>
    <t>惠宇建設</t>
    <phoneticPr fontId="1" type="noConversion"/>
  </si>
  <si>
    <t>周淑暖</t>
    <phoneticPr fontId="1" type="noConversion"/>
  </si>
  <si>
    <t>0955597123</t>
    <phoneticPr fontId="1" type="noConversion"/>
  </si>
  <si>
    <t>南區</t>
    <phoneticPr fontId="1" type="noConversion"/>
  </si>
  <si>
    <t>大慶段</t>
    <phoneticPr fontId="1" type="noConversion"/>
  </si>
  <si>
    <t>223</t>
    <phoneticPr fontId="1" type="noConversion"/>
  </si>
  <si>
    <t>B114-C003-0</t>
    <phoneticPr fontId="1" type="noConversion"/>
  </si>
  <si>
    <t>114.02.21</t>
    <phoneticPr fontId="1" type="noConversion"/>
  </si>
  <si>
    <t>龜</t>
    <phoneticPr fontId="1" type="noConversion"/>
  </si>
  <si>
    <t>114.02.20</t>
    <phoneticPr fontId="1" type="noConversion"/>
  </si>
  <si>
    <t>采縈開發</t>
    <phoneticPr fontId="1" type="noConversion"/>
  </si>
  <si>
    <t>徐瑛宜</t>
    <phoneticPr fontId="1" type="noConversion"/>
  </si>
  <si>
    <t>04-23756998</t>
    <phoneticPr fontId="1" type="noConversion"/>
  </si>
  <si>
    <t>大雅區</t>
    <phoneticPr fontId="1" type="noConversion"/>
  </si>
  <si>
    <t>科雅段</t>
    <phoneticPr fontId="1" type="noConversion"/>
  </si>
  <si>
    <t>74等4筆</t>
    <phoneticPr fontId="1" type="noConversion"/>
  </si>
  <si>
    <t>B114-C004-0</t>
    <phoneticPr fontId="1" type="noConversion"/>
  </si>
  <si>
    <t>114.02.26</t>
    <phoneticPr fontId="1" type="noConversion"/>
  </si>
  <si>
    <t>114.02.24</t>
    <phoneticPr fontId="1" type="noConversion"/>
  </si>
  <si>
    <t>劉清露</t>
    <phoneticPr fontId="1" type="noConversion"/>
  </si>
  <si>
    <t>0919524264</t>
    <phoneticPr fontId="1" type="noConversion"/>
  </si>
  <si>
    <t>大安區</t>
    <phoneticPr fontId="1" type="noConversion"/>
  </si>
  <si>
    <t>安港段</t>
    <phoneticPr fontId="1" type="noConversion"/>
  </si>
  <si>
    <t>68</t>
    <phoneticPr fontId="1" type="noConversion"/>
  </si>
  <si>
    <t>B114-C005-0</t>
    <phoneticPr fontId="1" type="noConversion"/>
  </si>
  <si>
    <t>114.03.04</t>
    <phoneticPr fontId="1" type="noConversion"/>
  </si>
  <si>
    <t>董淑英</t>
    <phoneticPr fontId="1" type="noConversion"/>
  </si>
  <si>
    <t>0955-907029</t>
    <phoneticPr fontId="1" type="noConversion"/>
  </si>
  <si>
    <t>長安段</t>
    <phoneticPr fontId="1" type="noConversion"/>
  </si>
  <si>
    <t>264</t>
    <phoneticPr fontId="1" type="noConversion"/>
  </si>
  <si>
    <t>B114-C006-0</t>
    <phoneticPr fontId="1" type="noConversion"/>
  </si>
  <si>
    <t>114.03.05</t>
    <phoneticPr fontId="1" type="noConversion"/>
  </si>
  <si>
    <t>李秋齡</t>
  </si>
  <si>
    <t>0963-188199</t>
    <phoneticPr fontId="1" type="noConversion"/>
  </si>
  <si>
    <t>界址測量</t>
    <phoneticPr fontId="1" type="noConversion"/>
  </si>
  <si>
    <t>員林市</t>
    <phoneticPr fontId="1" type="noConversion"/>
  </si>
  <si>
    <t>新林厝段</t>
    <phoneticPr fontId="1" type="noConversion"/>
  </si>
  <si>
    <t>405-4</t>
    <phoneticPr fontId="1" type="noConversion"/>
  </si>
  <si>
    <t>B114-C007-0</t>
  </si>
  <si>
    <t>白沅青</t>
  </si>
  <si>
    <t>社南段</t>
    <phoneticPr fontId="1" type="noConversion"/>
  </si>
  <si>
    <t>523</t>
  </si>
  <si>
    <t>B114-C008-1</t>
    <phoneticPr fontId="1" type="noConversion"/>
  </si>
  <si>
    <t>君</t>
    <phoneticPr fontId="1" type="noConversion"/>
  </si>
  <si>
    <t>114.03.20</t>
    <phoneticPr fontId="1" type="noConversion"/>
  </si>
  <si>
    <t>114.03.03</t>
    <phoneticPr fontId="1" type="noConversion"/>
  </si>
  <si>
    <t>薛宏裕</t>
    <phoneticPr fontId="1" type="noConversion"/>
  </si>
  <si>
    <t>0935-265228</t>
    <phoneticPr fontId="1" type="noConversion"/>
  </si>
  <si>
    <t>地形測量</t>
    <phoneticPr fontId="1" type="noConversion"/>
  </si>
  <si>
    <t>豐原、石岡</t>
    <phoneticPr fontId="1" type="noConversion"/>
  </si>
  <si>
    <t>(東豐自行車道)</t>
    <phoneticPr fontId="1" type="noConversion"/>
  </si>
  <si>
    <t>－</t>
    <phoneticPr fontId="1" type="noConversion"/>
  </si>
  <si>
    <t>B114-C009-0</t>
    <phoneticPr fontId="1" type="noConversion"/>
  </si>
  <si>
    <t>114.03.09</t>
    <phoneticPr fontId="1" type="noConversion"/>
  </si>
  <si>
    <t>徐佳瑜</t>
  </si>
  <si>
    <t>福安段</t>
    <phoneticPr fontId="1" type="noConversion"/>
  </si>
  <si>
    <t>308等3筆</t>
    <phoneticPr fontId="1" type="noConversion"/>
  </si>
  <si>
    <t>B114-C010-1</t>
    <phoneticPr fontId="1" type="noConversion"/>
  </si>
  <si>
    <t>114.03.12</t>
    <phoneticPr fontId="1" type="noConversion"/>
  </si>
  <si>
    <t>697</t>
    <phoneticPr fontId="1" type="noConversion"/>
  </si>
  <si>
    <t>延和段</t>
    <phoneticPr fontId="1" type="noConversion"/>
  </si>
  <si>
    <t>488等2筆</t>
    <phoneticPr fontId="1" type="noConversion"/>
  </si>
  <si>
    <t>外埔區</t>
    <phoneticPr fontId="1" type="noConversion"/>
  </si>
  <si>
    <t>大同段</t>
    <phoneticPr fontId="1" type="noConversion"/>
  </si>
  <si>
    <t>688等26筆</t>
    <phoneticPr fontId="1" type="noConversion"/>
  </si>
  <si>
    <t>LB</t>
    <phoneticPr fontId="1" type="noConversion"/>
  </si>
  <si>
    <t>114.03.11</t>
    <phoneticPr fontId="1" type="noConversion"/>
  </si>
  <si>
    <t>華南段</t>
    <phoneticPr fontId="1" type="noConversion"/>
  </si>
  <si>
    <t>464等24筆</t>
    <phoneticPr fontId="1" type="noConversion"/>
  </si>
  <si>
    <t>林玫君</t>
    <phoneticPr fontId="1" type="noConversion"/>
  </si>
  <si>
    <t>后里區</t>
    <phoneticPr fontId="1" type="noConversion"/>
  </si>
  <si>
    <t>泰安段</t>
    <phoneticPr fontId="1" type="noConversion"/>
  </si>
  <si>
    <t>1008</t>
    <phoneticPr fontId="1" type="noConversion"/>
  </si>
  <si>
    <t>B114-C011-0</t>
    <phoneticPr fontId="1" type="noConversion"/>
  </si>
  <si>
    <t>bld</t>
    <phoneticPr fontId="1" type="noConversion"/>
  </si>
  <si>
    <t>南郭段南郭小段</t>
    <phoneticPr fontId="1" type="noConversion"/>
  </si>
  <si>
    <t>576-50等3筆</t>
    <phoneticPr fontId="1" type="noConversion"/>
  </si>
  <si>
    <t>周碧華</t>
    <phoneticPr fontId="1" type="noConversion"/>
  </si>
  <si>
    <t>三條段</t>
    <phoneticPr fontId="1" type="noConversion"/>
  </si>
  <si>
    <t>887-1</t>
    <phoneticPr fontId="1" type="noConversion"/>
  </si>
  <si>
    <t>114.03.13</t>
    <phoneticPr fontId="1" type="noConversion"/>
  </si>
  <si>
    <t>興富發+潤隆建設</t>
    <phoneticPr fontId="1" type="noConversion"/>
  </si>
  <si>
    <t>林世佑</t>
    <phoneticPr fontId="1" type="noConversion"/>
  </si>
  <si>
    <t>0937-729595</t>
    <phoneticPr fontId="1" type="noConversion"/>
  </si>
  <si>
    <t>惠安段</t>
    <phoneticPr fontId="1" type="noConversion"/>
  </si>
  <si>
    <t>B114-C012-0</t>
    <phoneticPr fontId="1" type="noConversion"/>
  </si>
  <si>
    <t>227</t>
    <phoneticPr fontId="1" type="noConversion"/>
  </si>
  <si>
    <t>順天建設</t>
    <phoneticPr fontId="1" type="noConversion"/>
  </si>
  <si>
    <t>南屯區</t>
    <phoneticPr fontId="1" type="noConversion"/>
  </si>
  <si>
    <t>永春段</t>
    <phoneticPr fontId="1" type="noConversion"/>
  </si>
  <si>
    <t>105等35筆</t>
    <phoneticPr fontId="1" type="noConversion"/>
  </si>
  <si>
    <t>B114-C014-0</t>
    <phoneticPr fontId="1" type="noConversion"/>
  </si>
  <si>
    <t>114.03.27</t>
    <phoneticPr fontId="1" type="noConversion"/>
  </si>
  <si>
    <t>達麗建設</t>
    <phoneticPr fontId="1" type="noConversion"/>
  </si>
  <si>
    <t>廖廷駪</t>
    <phoneticPr fontId="1" type="noConversion"/>
  </si>
  <si>
    <t>0988-627095</t>
    <phoneticPr fontId="1" type="noConversion"/>
  </si>
  <si>
    <t>北區</t>
    <phoneticPr fontId="1" type="noConversion"/>
  </si>
  <si>
    <t>錦村段等3處</t>
    <phoneticPr fontId="1" type="noConversion"/>
  </si>
  <si>
    <t>102等</t>
    <phoneticPr fontId="1" type="noConversion"/>
  </si>
  <si>
    <t>B114-C015-0</t>
    <phoneticPr fontId="1" type="noConversion"/>
  </si>
  <si>
    <t>114.03.28</t>
    <phoneticPr fontId="1" type="noConversion"/>
  </si>
  <si>
    <t>大學段</t>
    <phoneticPr fontId="1" type="noConversion"/>
  </si>
  <si>
    <t>276</t>
    <phoneticPr fontId="1" type="noConversion"/>
  </si>
  <si>
    <t>B114-C016-0</t>
    <phoneticPr fontId="1" type="noConversion"/>
  </si>
  <si>
    <t>114.03.31</t>
    <phoneticPr fontId="1" type="noConversion"/>
  </si>
  <si>
    <t>總費用</t>
    <phoneticPr fontId="1" type="noConversion"/>
  </si>
  <si>
    <t>費用(繪圖)</t>
    <phoneticPr fontId="1" type="noConversion"/>
  </si>
  <si>
    <t>費用(簽證)</t>
    <phoneticPr fontId="1" type="noConversion"/>
  </si>
  <si>
    <t>113.10.29</t>
    <phoneticPr fontId="1" type="noConversion"/>
  </si>
  <si>
    <t>遠雄建設</t>
    <phoneticPr fontId="1" type="noConversion"/>
  </si>
  <si>
    <t>徐瑛宜</t>
  </si>
  <si>
    <t>位置測量</t>
    <phoneticPr fontId="1" type="noConversion"/>
  </si>
  <si>
    <t>114.03.25</t>
    <phoneticPr fontId="1" type="noConversion"/>
  </si>
  <si>
    <t>國泰建設</t>
    <phoneticPr fontId="1" type="noConversion"/>
  </si>
  <si>
    <t>張幼琳</t>
    <phoneticPr fontId="1" type="noConversion"/>
  </si>
  <si>
    <t>惠義段</t>
    <phoneticPr fontId="1" type="noConversion"/>
  </si>
  <si>
    <t>戶數</t>
    <phoneticPr fontId="1" type="noConversion"/>
  </si>
  <si>
    <t>梧棲區</t>
    <phoneticPr fontId="1" type="noConversion"/>
  </si>
  <si>
    <t>市鎮南段</t>
    <phoneticPr fontId="1" type="noConversion"/>
  </si>
  <si>
    <t>114.04.07</t>
    <phoneticPr fontId="1" type="noConversion"/>
  </si>
  <si>
    <t>麗晨建設</t>
    <phoneticPr fontId="1" type="noConversion"/>
  </si>
  <si>
    <t>福德段</t>
    <phoneticPr fontId="1" type="noConversion"/>
  </si>
  <si>
    <t>111</t>
    <phoneticPr fontId="1" type="noConversion"/>
  </si>
  <si>
    <t>日期</t>
    <phoneticPr fontId="1" type="noConversion"/>
  </si>
  <si>
    <t>代書</t>
    <phoneticPr fontId="1" type="noConversion"/>
  </si>
  <si>
    <t>電話</t>
    <phoneticPr fontId="1" type="noConversion"/>
  </si>
  <si>
    <t>作業內容</t>
    <phoneticPr fontId="1" type="noConversion"/>
  </si>
  <si>
    <t>行政區</t>
    <phoneticPr fontId="1" type="noConversion"/>
  </si>
  <si>
    <t>編號</t>
    <phoneticPr fontId="1" type="noConversion"/>
  </si>
  <si>
    <t>立昌合計</t>
    <phoneticPr fontId="1" type="noConversion"/>
  </si>
  <si>
    <t>5案</t>
    <phoneticPr fontId="1" type="noConversion"/>
  </si>
  <si>
    <t>侑峰國際開發</t>
    <phoneticPr fontId="1" type="noConversion"/>
  </si>
  <si>
    <t>奕信合計</t>
    <phoneticPr fontId="1" type="noConversion"/>
  </si>
  <si>
    <t>13案</t>
    <phoneticPr fontId="1" type="noConversion"/>
  </si>
  <si>
    <t>倪慶忠合計</t>
    <phoneticPr fontId="1" type="noConversion"/>
  </si>
  <si>
    <t>徐瑛宜合計</t>
    <phoneticPr fontId="1" type="noConversion"/>
  </si>
  <si>
    <t>2案</t>
    <phoneticPr fontId="1" type="noConversion"/>
  </si>
  <si>
    <t>營業額</t>
    <phoneticPr fontId="1" type="noConversion"/>
  </si>
  <si>
    <t>淨收入</t>
    <phoneticPr fontId="1" type="noConversion"/>
  </si>
  <si>
    <t>林世佑合計</t>
    <phoneticPr fontId="1" type="noConversion"/>
  </si>
  <si>
    <t>1案</t>
    <phoneticPr fontId="1" type="noConversion"/>
  </si>
  <si>
    <t>其他</t>
    <phoneticPr fontId="1" type="noConversion"/>
  </si>
  <si>
    <t>仁平段</t>
    <phoneticPr fontId="1" type="noConversion"/>
  </si>
  <si>
    <t>黃怡臻</t>
    <phoneticPr fontId="1" type="noConversion"/>
  </si>
  <si>
    <t>0953-666222</t>
    <phoneticPr fontId="1" type="noConversion"/>
  </si>
  <si>
    <t>115.01.02</t>
    <phoneticPr fontId="1" type="noConversion"/>
  </si>
  <si>
    <t>磐鈺建設</t>
    <phoneticPr fontId="1" type="noConversion"/>
  </si>
  <si>
    <t>0912-040599</t>
    <phoneticPr fontId="1" type="noConversion"/>
  </si>
  <si>
    <t>民安段</t>
    <phoneticPr fontId="1" type="noConversion"/>
  </si>
  <si>
    <t>1890</t>
    <phoneticPr fontId="1" type="noConversion"/>
  </si>
  <si>
    <t>115.01.05</t>
    <phoneticPr fontId="1" type="noConversion"/>
  </si>
  <si>
    <t>萬寶資產管理</t>
    <phoneticPr fontId="1" type="noConversion"/>
  </si>
  <si>
    <t>邱柏瑞</t>
    <phoneticPr fontId="1" type="noConversion"/>
  </si>
  <si>
    <t>0911-689911</t>
    <phoneticPr fontId="1" type="noConversion"/>
  </si>
  <si>
    <t>大富段</t>
    <phoneticPr fontId="1" type="noConversion"/>
  </si>
  <si>
    <t>96-180</t>
    <phoneticPr fontId="1" type="noConversion"/>
  </si>
  <si>
    <t>115.01.06</t>
    <phoneticPr fontId="1" type="noConversion"/>
  </si>
  <si>
    <t>勤易建設</t>
    <phoneticPr fontId="1" type="noConversion"/>
  </si>
  <si>
    <t>錦村段</t>
    <phoneticPr fontId="1" type="noConversion"/>
  </si>
  <si>
    <t>267-17</t>
    <phoneticPr fontId="1" type="noConversion"/>
  </si>
  <si>
    <t>立昌/生活制造</t>
    <phoneticPr fontId="1" type="noConversion"/>
  </si>
  <si>
    <t>75</t>
    <phoneticPr fontId="1" type="noConversion"/>
  </si>
  <si>
    <t>115.01.09</t>
    <phoneticPr fontId="1" type="noConversion"/>
  </si>
  <si>
    <t>林美建設</t>
  </si>
  <si>
    <t>林麗璋</t>
    <phoneticPr fontId="1" type="noConversion"/>
  </si>
  <si>
    <t>04-7120122</t>
    <phoneticPr fontId="1" type="noConversion"/>
  </si>
  <si>
    <t>建物地籍測繪資料</t>
    <phoneticPr fontId="1" type="noConversion"/>
  </si>
  <si>
    <t>伸港鄉</t>
    <phoneticPr fontId="1" type="noConversion"/>
  </si>
  <si>
    <t>全興段</t>
    <phoneticPr fontId="1" type="noConversion"/>
  </si>
  <si>
    <t>115.01.12</t>
    <phoneticPr fontId="1" type="noConversion"/>
  </si>
  <si>
    <t>余文元</t>
    <phoneticPr fontId="1" type="noConversion"/>
  </si>
  <si>
    <t>0932-540164</t>
    <phoneticPr fontId="1" type="noConversion"/>
  </si>
  <si>
    <t>福興鄉</t>
    <phoneticPr fontId="1" type="noConversion"/>
  </si>
  <si>
    <t>新厝段</t>
    <phoneticPr fontId="1" type="noConversion"/>
  </si>
  <si>
    <t>90-3</t>
    <phoneticPr fontId="1" type="noConversion"/>
  </si>
  <si>
    <t>115.01.19</t>
    <phoneticPr fontId="1" type="noConversion"/>
  </si>
  <si>
    <t>永靖鄉</t>
    <phoneticPr fontId="1" type="noConversion"/>
  </si>
  <si>
    <t>永美段</t>
    <phoneticPr fontId="1" type="noConversion"/>
  </si>
  <si>
    <t>701</t>
    <phoneticPr fontId="1" type="noConversion"/>
  </si>
  <si>
    <t>115.01.26</t>
    <phoneticPr fontId="1" type="noConversion"/>
  </si>
  <si>
    <t>魏錦銘</t>
    <phoneticPr fontId="1" type="noConversion"/>
  </si>
  <si>
    <t>蔣俊彥</t>
  </si>
  <si>
    <t>04-22360096</t>
    <phoneticPr fontId="1" type="noConversion"/>
  </si>
  <si>
    <t>占用面積測量</t>
    <phoneticPr fontId="1" type="noConversion"/>
  </si>
  <si>
    <t>南投縣</t>
    <phoneticPr fontId="1" type="noConversion"/>
  </si>
  <si>
    <t>南投市</t>
    <phoneticPr fontId="1" type="noConversion"/>
  </si>
  <si>
    <t>南投段</t>
    <phoneticPr fontId="1" type="noConversion"/>
  </si>
  <si>
    <t>115.01.27</t>
    <phoneticPr fontId="1" type="noConversion"/>
  </si>
  <si>
    <t>宸堡建設</t>
    <phoneticPr fontId="1" type="noConversion"/>
  </si>
  <si>
    <t>劉芳珍</t>
    <phoneticPr fontId="1" type="noConversion"/>
  </si>
  <si>
    <t>0939-255205</t>
    <phoneticPr fontId="1" type="noConversion"/>
  </si>
  <si>
    <t>大里區</t>
    <phoneticPr fontId="1" type="noConversion"/>
  </si>
  <si>
    <t>東湖段</t>
    <phoneticPr fontId="1" type="noConversion"/>
  </si>
  <si>
    <t>115.01.31</t>
    <phoneticPr fontId="1" type="noConversion"/>
  </si>
  <si>
    <t>順源建設</t>
    <phoneticPr fontId="1" type="noConversion"/>
  </si>
  <si>
    <t>朱冠綸</t>
    <phoneticPr fontId="1" type="noConversion"/>
  </si>
  <si>
    <t>0933-527529</t>
    <phoneticPr fontId="1" type="noConversion"/>
  </si>
  <si>
    <t>太平區</t>
    <phoneticPr fontId="1" type="noConversion"/>
  </si>
  <si>
    <t>洪厝段</t>
    <phoneticPr fontId="1" type="noConversion"/>
  </si>
  <si>
    <t>303-3</t>
    <phoneticPr fontId="1" type="noConversion"/>
  </si>
  <si>
    <t>869</t>
    <phoneticPr fontId="1" type="noConversion"/>
  </si>
  <si>
    <t>360</t>
    <phoneticPr fontId="1" type="noConversion"/>
  </si>
  <si>
    <t>115年Q1合計</t>
    <phoneticPr fontId="1" type="noConversion"/>
  </si>
  <si>
    <t>115年合計</t>
    <phoneticPr fontId="1" type="noConversion"/>
  </si>
  <si>
    <t>115.01.29</t>
    <phoneticPr fontId="1" type="noConversion"/>
  </si>
  <si>
    <t>大墩段</t>
    <phoneticPr fontId="1" type="noConversion"/>
  </si>
  <si>
    <t>339</t>
    <phoneticPr fontId="1" type="noConversion"/>
  </si>
  <si>
    <t>淨利比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</si>
</sst>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 tint="-0.249977111117893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>
      <alignment vertical="center"/>
    </xf>
    <xf numFmtId="49" fontId="0" fillId="3" borderId="0" xfId="0" applyNumberFormat="1" applyFill="1" applyAlignment="1">
      <alignment horizontal="center" vertical="center"/>
    </xf>
    <xf numFmtId="49" fontId="3" fillId="0" borderId="0" xfId="0" applyNumberFormat="1" applyFont="1">
      <alignment vertical="center"/>
    </xf>
    <xf numFmtId="49" fontId="0" fillId="3" borderId="0" xfId="0" applyNumberFormat="1" applyFill="1">
      <alignment vertical="center"/>
    </xf>
    <xf numFmtId="49" fontId="0" fillId="0" borderId="0" xfId="0" quotePrefix="1" applyNumberFormat="1">
      <alignment vertical="center"/>
    </xf>
    <xf numFmtId="49" fontId="4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176" fontId="0" fillId="3" borderId="0" xfId="0" applyNumberFormat="1" applyFill="1">
      <alignment vertical="center"/>
    </xf>
    <xf numFmtId="176" fontId="0" fillId="0" borderId="0" xfId="0" applyNumberFormat="1" applyAlignment="1">
      <alignment horizontal="right" vertical="center"/>
    </xf>
    <xf numFmtId="0" fontId="0" fillId="4" borderId="0" xfId="0" applyFill="1">
      <alignment vertical="center"/>
    </xf>
    <xf numFmtId="49" fontId="0" fillId="4" borderId="0" xfId="0" applyNumberFormat="1" applyFill="1">
      <alignment vertical="center"/>
    </xf>
    <xf numFmtId="176" fontId="0" fillId="4" borderId="0" xfId="0" applyNumberFormat="1" applyFill="1" applyAlignment="1">
      <alignment horizontal="right" vertical="center"/>
    </xf>
    <xf numFmtId="49" fontId="0" fillId="4" borderId="0" xfId="0" quotePrefix="1" applyNumberFormat="1" applyFill="1">
      <alignment vertical="center"/>
    </xf>
    <xf numFmtId="176" fontId="0" fillId="4" borderId="0" xfId="0" applyNumberFormat="1" applyFill="1">
      <alignment vertical="center"/>
    </xf>
    <xf numFmtId="0" fontId="0" fillId="5" borderId="0" xfId="0" applyFill="1">
      <alignment vertical="center"/>
    </xf>
    <xf numFmtId="49" fontId="0" fillId="5" borderId="0" xfId="0" applyNumberFormat="1" applyFill="1">
      <alignment vertical="center"/>
    </xf>
    <xf numFmtId="176" fontId="0" fillId="5" borderId="0" xfId="0" applyNumberFormat="1" applyFill="1">
      <alignment vertical="center"/>
    </xf>
    <xf numFmtId="49" fontId="5" fillId="4" borderId="0" xfId="0" applyNumberFormat="1" applyFont="1" applyFill="1">
      <alignment vertical="center"/>
    </xf>
    <xf numFmtId="49" fontId="6" fillId="4" borderId="0" xfId="0" applyNumberFormat="1" applyFont="1" applyFill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>
      <alignment vertical="center"/>
    </xf>
    <xf numFmtId="3" fontId="0" fillId="4" borderId="0" xfId="0" applyNumberFormat="1" applyFill="1">
      <alignment vertical="center"/>
    </xf>
    <xf numFmtId="0" fontId="5" fillId="6" borderId="0" xfId="0" applyFont="1" applyFill="1" applyAlignment="1">
      <alignment horizontal="right" vertical="center"/>
    </xf>
    <xf numFmtId="9" fontId="6" fillId="6" borderId="0" xfId="1" applyFont="1" applyFill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D7D3-BEEB-46E1-B8B8-444E4DB416E6}">
  <dimension ref="A1:Q19"/>
  <sheetViews>
    <sheetView tabSelected="1" zoomScale="80" zoomScaleNormal="80" workbookViewId="0">
      <pane ySplit="1" topLeftCell="A2" activePane="bottomLeft" state="frozen"/>
      <selection activeCell="J1" sqref="J1"/>
      <selection pane="bottomLeft" activeCell="Q19" sqref="Q19"/>
    </sheetView>
  </sheetViews>
  <sheetFormatPr defaultRowHeight="17" x14ac:dyDescent="0.4"/>
  <cols>
    <col min="1" max="1" width="13.54296875" bestFit="1" customWidth="1"/>
    <col min="2" max="2" width="9.36328125" bestFit="1" customWidth="1"/>
    <col min="3" max="3" width="18.36328125" bestFit="1" customWidth="1"/>
    <col min="5" max="5" width="12.7265625" bestFit="1" customWidth="1"/>
    <col min="6" max="6" width="23.36328125" bestFit="1" customWidth="1"/>
    <col min="9" max="9" width="17.08984375" bestFit="1" customWidth="1"/>
    <col min="10" max="10" width="11.453125" style="2" bestFit="1" customWidth="1"/>
    <col min="11" max="11" width="11.453125" customWidth="1"/>
    <col min="12" max="13" width="9.90625" bestFit="1" customWidth="1"/>
    <col min="14" max="14" width="10.1796875" bestFit="1" customWidth="1"/>
    <col min="15" max="15" width="8.90625" bestFit="1" customWidth="1"/>
    <col min="16" max="17" width="9.6328125" style="18" bestFit="1" customWidth="1"/>
  </cols>
  <sheetData>
    <row r="1" spans="1:17" x14ac:dyDescent="0.4">
      <c r="A1" t="s">
        <v>319</v>
      </c>
      <c r="B1" t="s">
        <v>314</v>
      </c>
      <c r="C1" t="s">
        <v>2</v>
      </c>
      <c r="D1" t="s">
        <v>315</v>
      </c>
      <c r="E1" t="s">
        <v>316</v>
      </c>
      <c r="F1" t="s">
        <v>317</v>
      </c>
      <c r="G1" t="s">
        <v>9</v>
      </c>
      <c r="H1" t="s">
        <v>318</v>
      </c>
      <c r="I1" t="s">
        <v>11</v>
      </c>
      <c r="J1" s="2" t="s">
        <v>12</v>
      </c>
      <c r="K1" t="s">
        <v>307</v>
      </c>
      <c r="L1" s="2" t="s">
        <v>17</v>
      </c>
      <c r="M1" s="2" t="s">
        <v>18</v>
      </c>
      <c r="N1" s="2" t="s">
        <v>302</v>
      </c>
      <c r="O1" s="2" t="s">
        <v>332</v>
      </c>
      <c r="P1" s="26" t="s">
        <v>328</v>
      </c>
      <c r="Q1" s="27" t="s">
        <v>329</v>
      </c>
    </row>
    <row r="2" spans="1:17" x14ac:dyDescent="0.4">
      <c r="A2">
        <v>1</v>
      </c>
      <c r="B2" s="2" t="s">
        <v>336</v>
      </c>
      <c r="C2" s="2" t="s">
        <v>337</v>
      </c>
      <c r="D2" s="2" t="s">
        <v>65</v>
      </c>
      <c r="E2" s="2" t="s">
        <v>338</v>
      </c>
      <c r="F2" s="2" t="s">
        <v>67</v>
      </c>
      <c r="G2" s="2" t="s">
        <v>23</v>
      </c>
      <c r="H2" s="2" t="s">
        <v>186</v>
      </c>
      <c r="I2" s="2" t="s">
        <v>339</v>
      </c>
      <c r="J2" s="2" t="s">
        <v>340</v>
      </c>
      <c r="K2">
        <v>95</v>
      </c>
      <c r="L2">
        <v>67714</v>
      </c>
      <c r="M2">
        <v>68000</v>
      </c>
      <c r="P2" s="30">
        <f>L2+M2+N2+O2</f>
        <v>135714</v>
      </c>
      <c r="Q2" s="30">
        <f>M2+(N2+O2)*0.3</f>
        <v>68000</v>
      </c>
    </row>
    <row r="3" spans="1:17" x14ac:dyDescent="0.4">
      <c r="A3">
        <f>A2+1</f>
        <v>2</v>
      </c>
      <c r="B3" s="2" t="s">
        <v>341</v>
      </c>
      <c r="C3" s="2" t="s">
        <v>342</v>
      </c>
      <c r="D3" s="2" t="s">
        <v>343</v>
      </c>
      <c r="E3" s="2" t="s">
        <v>344</v>
      </c>
      <c r="F3" s="2" t="s">
        <v>67</v>
      </c>
      <c r="G3" s="2" t="s">
        <v>23</v>
      </c>
      <c r="H3" s="2" t="s">
        <v>68</v>
      </c>
      <c r="I3" s="2" t="s">
        <v>345</v>
      </c>
      <c r="J3" s="2" t="s">
        <v>346</v>
      </c>
      <c r="K3">
        <v>3</v>
      </c>
      <c r="L3">
        <v>9000</v>
      </c>
      <c r="M3">
        <v>4500</v>
      </c>
      <c r="N3">
        <v>12000</v>
      </c>
      <c r="P3" s="30">
        <f>L3+M3+N3+O3</f>
        <v>25500</v>
      </c>
      <c r="Q3" s="30">
        <f t="shared" ref="Q3:Q12" si="0">M3+(N3+O3)*0.3</f>
        <v>8100</v>
      </c>
    </row>
    <row r="4" spans="1:17" x14ac:dyDescent="0.4">
      <c r="A4">
        <f>A3+1</f>
        <v>3</v>
      </c>
      <c r="B4" s="2" t="s">
        <v>347</v>
      </c>
      <c r="C4" s="2" t="s">
        <v>348</v>
      </c>
      <c r="D4" s="2" t="s">
        <v>334</v>
      </c>
      <c r="E4" s="2" t="s">
        <v>335</v>
      </c>
      <c r="F4" s="2" t="s">
        <v>142</v>
      </c>
      <c r="G4" s="2" t="s">
        <v>23</v>
      </c>
      <c r="H4" s="2" t="s">
        <v>68</v>
      </c>
      <c r="I4" s="2" t="s">
        <v>349</v>
      </c>
      <c r="J4" s="2" t="s">
        <v>350</v>
      </c>
      <c r="K4">
        <v>6</v>
      </c>
      <c r="M4">
        <v>4800</v>
      </c>
      <c r="N4">
        <v>4000</v>
      </c>
      <c r="P4" s="30">
        <f>L4+M4+N4+O4</f>
        <v>8800</v>
      </c>
      <c r="Q4" s="30">
        <f t="shared" si="0"/>
        <v>6000</v>
      </c>
    </row>
    <row r="5" spans="1:17" x14ac:dyDescent="0.4">
      <c r="A5">
        <f>A4+1</f>
        <v>4</v>
      </c>
      <c r="B5" s="2" t="s">
        <v>347</v>
      </c>
      <c r="C5" s="2" t="s">
        <v>351</v>
      </c>
      <c r="D5" s="2" t="s">
        <v>140</v>
      </c>
      <c r="E5" s="9" t="s">
        <v>162</v>
      </c>
      <c r="F5" s="2" t="s">
        <v>142</v>
      </c>
      <c r="G5" s="2" t="s">
        <v>23</v>
      </c>
      <c r="H5" s="2" t="s">
        <v>68</v>
      </c>
      <c r="I5" s="2" t="s">
        <v>333</v>
      </c>
      <c r="J5" s="2" t="s">
        <v>352</v>
      </c>
      <c r="K5">
        <v>31</v>
      </c>
      <c r="M5">
        <v>37200</v>
      </c>
      <c r="P5" s="30">
        <f>L5+M5+N5+O5</f>
        <v>37200</v>
      </c>
      <c r="Q5" s="30">
        <f t="shared" si="0"/>
        <v>37200</v>
      </c>
    </row>
    <row r="6" spans="1:17" x14ac:dyDescent="0.4">
      <c r="A6">
        <f>A5+1</f>
        <v>5</v>
      </c>
      <c r="B6" s="2" t="s">
        <v>353</v>
      </c>
      <c r="C6" s="2" t="s">
        <v>354</v>
      </c>
      <c r="D6" s="2" t="s">
        <v>355</v>
      </c>
      <c r="E6" s="2" t="s">
        <v>356</v>
      </c>
      <c r="F6" s="2" t="s">
        <v>357</v>
      </c>
      <c r="G6" s="2" t="s">
        <v>85</v>
      </c>
      <c r="H6" s="2" t="s">
        <v>358</v>
      </c>
      <c r="I6" s="2" t="s">
        <v>359</v>
      </c>
      <c r="J6" s="2">
        <v>421</v>
      </c>
      <c r="K6">
        <v>2</v>
      </c>
      <c r="N6">
        <v>22000</v>
      </c>
      <c r="P6" s="30">
        <f>L6+M6+N6+O6</f>
        <v>22000</v>
      </c>
      <c r="Q6" s="30">
        <f t="shared" si="0"/>
        <v>6600</v>
      </c>
    </row>
    <row r="7" spans="1:17" x14ac:dyDescent="0.4">
      <c r="A7">
        <f>A6+1</f>
        <v>6</v>
      </c>
      <c r="B7" s="29" t="s">
        <v>360</v>
      </c>
      <c r="C7" s="29" t="s">
        <v>361</v>
      </c>
      <c r="D7" s="29" t="s">
        <v>82</v>
      </c>
      <c r="E7" s="29" t="s">
        <v>362</v>
      </c>
      <c r="F7" s="29" t="s">
        <v>67</v>
      </c>
      <c r="G7" s="29" t="s">
        <v>85</v>
      </c>
      <c r="H7" s="29" t="s">
        <v>363</v>
      </c>
      <c r="I7" s="29" t="s">
        <v>364</v>
      </c>
      <c r="J7" s="2" t="s">
        <v>365</v>
      </c>
      <c r="K7">
        <v>1</v>
      </c>
      <c r="L7">
        <v>1000</v>
      </c>
      <c r="M7">
        <v>1000</v>
      </c>
      <c r="P7" s="30">
        <f>L7+M7+N7+O7</f>
        <v>2000</v>
      </c>
      <c r="Q7" s="30">
        <f t="shared" si="0"/>
        <v>1000</v>
      </c>
    </row>
    <row r="8" spans="1:17" x14ac:dyDescent="0.4">
      <c r="A8">
        <f>A7+1</f>
        <v>7</v>
      </c>
      <c r="B8" s="29" t="s">
        <v>366</v>
      </c>
      <c r="C8" s="29" t="s">
        <v>361</v>
      </c>
      <c r="D8" s="29" t="s">
        <v>82</v>
      </c>
      <c r="E8" s="29" t="s">
        <v>362</v>
      </c>
      <c r="F8" s="29" t="s">
        <v>84</v>
      </c>
      <c r="G8" s="29" t="s">
        <v>85</v>
      </c>
      <c r="H8" s="29" t="s">
        <v>367</v>
      </c>
      <c r="I8" s="29" t="s">
        <v>368</v>
      </c>
      <c r="J8" s="2" t="s">
        <v>369</v>
      </c>
      <c r="K8">
        <v>10</v>
      </c>
      <c r="L8">
        <v>10000</v>
      </c>
      <c r="P8" s="30">
        <f>L8+M8+N8+O8</f>
        <v>10000</v>
      </c>
      <c r="Q8" s="30">
        <f t="shared" si="0"/>
        <v>0</v>
      </c>
    </row>
    <row r="9" spans="1:17" x14ac:dyDescent="0.4">
      <c r="A9">
        <f t="shared" ref="A9:A12" si="1">A8+1</f>
        <v>8</v>
      </c>
      <c r="B9" s="2" t="s">
        <v>370</v>
      </c>
      <c r="C9" s="2" t="s">
        <v>371</v>
      </c>
      <c r="D9" s="2" t="s">
        <v>372</v>
      </c>
      <c r="E9" s="2" t="s">
        <v>373</v>
      </c>
      <c r="F9" s="2" t="s">
        <v>374</v>
      </c>
      <c r="G9" s="2" t="s">
        <v>375</v>
      </c>
      <c r="H9" s="2" t="s">
        <v>376</v>
      </c>
      <c r="I9" s="2" t="s">
        <v>377</v>
      </c>
      <c r="J9" s="2" t="s">
        <v>390</v>
      </c>
      <c r="K9">
        <v>4</v>
      </c>
      <c r="O9">
        <v>18000</v>
      </c>
      <c r="P9" s="30">
        <f>L9+M9+N9+O9</f>
        <v>18000</v>
      </c>
      <c r="Q9" s="30">
        <f t="shared" si="0"/>
        <v>5400</v>
      </c>
    </row>
    <row r="10" spans="1:17" x14ac:dyDescent="0.4">
      <c r="A10">
        <f t="shared" si="1"/>
        <v>9</v>
      </c>
      <c r="B10" s="2" t="s">
        <v>378</v>
      </c>
      <c r="C10" s="2" t="s">
        <v>379</v>
      </c>
      <c r="D10" s="2" t="s">
        <v>380</v>
      </c>
      <c r="E10" s="2" t="s">
        <v>381</v>
      </c>
      <c r="F10" s="2" t="s">
        <v>142</v>
      </c>
      <c r="G10" s="2" t="s">
        <v>23</v>
      </c>
      <c r="H10" s="2" t="s">
        <v>382</v>
      </c>
      <c r="I10" s="2" t="s">
        <v>383</v>
      </c>
      <c r="J10" s="2" t="s">
        <v>391</v>
      </c>
      <c r="K10">
        <v>70</v>
      </c>
      <c r="M10">
        <v>51480</v>
      </c>
      <c r="N10">
        <v>4000</v>
      </c>
      <c r="P10" s="30">
        <f>L10+M10+N10+O10</f>
        <v>55480</v>
      </c>
      <c r="Q10" s="30">
        <f t="shared" si="0"/>
        <v>52680</v>
      </c>
    </row>
    <row r="11" spans="1:17" x14ac:dyDescent="0.4">
      <c r="A11">
        <f t="shared" si="1"/>
        <v>10</v>
      </c>
      <c r="B11" s="2" t="s">
        <v>395</v>
      </c>
      <c r="C11" s="2" t="s">
        <v>185</v>
      </c>
      <c r="D11" s="2" t="s">
        <v>65</v>
      </c>
      <c r="E11" s="2" t="s">
        <v>338</v>
      </c>
      <c r="F11" s="2" t="s">
        <v>67</v>
      </c>
      <c r="G11" s="2" t="s">
        <v>23</v>
      </c>
      <c r="H11" s="2" t="s">
        <v>186</v>
      </c>
      <c r="I11" s="2" t="s">
        <v>396</v>
      </c>
      <c r="J11" s="2" t="s">
        <v>397</v>
      </c>
      <c r="K11">
        <v>160</v>
      </c>
      <c r="L11">
        <v>80000</v>
      </c>
      <c r="M11">
        <v>118080</v>
      </c>
      <c r="N11">
        <v>16200</v>
      </c>
      <c r="P11" s="30">
        <f>L11+M11+N11+O11</f>
        <v>214280</v>
      </c>
      <c r="Q11" s="30">
        <f t="shared" ref="Q11" si="2">M11+(N11+O11)*0.3</f>
        <v>122940</v>
      </c>
    </row>
    <row r="12" spans="1:17" x14ac:dyDescent="0.4">
      <c r="A12">
        <f t="shared" si="1"/>
        <v>11</v>
      </c>
      <c r="B12" s="2" t="s">
        <v>384</v>
      </c>
      <c r="C12" s="2" t="s">
        <v>385</v>
      </c>
      <c r="D12" s="2" t="s">
        <v>386</v>
      </c>
      <c r="E12" s="2" t="s">
        <v>387</v>
      </c>
      <c r="F12" s="2" t="s">
        <v>67</v>
      </c>
      <c r="G12" s="2" t="s">
        <v>23</v>
      </c>
      <c r="H12" s="2" t="s">
        <v>388</v>
      </c>
      <c r="I12" s="2" t="s">
        <v>389</v>
      </c>
      <c r="J12" s="2" t="s">
        <v>392</v>
      </c>
      <c r="K12">
        <v>40</v>
      </c>
      <c r="L12">
        <v>32000</v>
      </c>
      <c r="M12">
        <v>32000</v>
      </c>
      <c r="N12">
        <v>4000</v>
      </c>
      <c r="P12" s="30">
        <f>L12+M12+N12+O12</f>
        <v>68000</v>
      </c>
      <c r="Q12" s="30">
        <f t="shared" si="0"/>
        <v>33200</v>
      </c>
    </row>
    <row r="15" spans="1:17" s="18" customFormat="1" x14ac:dyDescent="0.4">
      <c r="A15" s="18" t="s">
        <v>393</v>
      </c>
      <c r="J15" s="19"/>
      <c r="K15" s="18">
        <f>SUM(K2:K12)</f>
        <v>422</v>
      </c>
      <c r="L15" s="30">
        <f>SUM(L2:L12)</f>
        <v>199714</v>
      </c>
      <c r="M15" s="30">
        <f>SUM(M2:M12)</f>
        <v>317060</v>
      </c>
      <c r="N15" s="30">
        <f>SUM(N2:N12)</f>
        <v>62200</v>
      </c>
      <c r="O15" s="30">
        <f>SUM(O2:O12)</f>
        <v>18000</v>
      </c>
      <c r="P15" s="30">
        <f>SUM(P2:P12)</f>
        <v>596974</v>
      </c>
      <c r="Q15" s="30">
        <f>SUM(Q2:Q12)</f>
        <v>341120</v>
      </c>
    </row>
    <row r="17" spans="1:17" s="18" customFormat="1" x14ac:dyDescent="0.4">
      <c r="A17" s="18" t="s">
        <v>394</v>
      </c>
      <c r="J17" s="19"/>
      <c r="P17" s="30">
        <f>P15</f>
        <v>596974</v>
      </c>
      <c r="Q17" s="30">
        <f>Q15</f>
        <v>341120</v>
      </c>
    </row>
    <row r="19" spans="1:17" x14ac:dyDescent="0.4">
      <c r="P19" s="31" t="s">
        <v>398</v>
      </c>
      <c r="Q19" s="32">
        <f>Q17/P17</f>
        <v>0.57141517050993851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J7" twoDigitTextYear="1"/>
    <ignoredError sqref="J5 J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E07E-77E7-44F6-8519-60C7211C5703}">
  <dimension ref="A1:Q46"/>
  <sheetViews>
    <sheetView zoomScale="70" zoomScaleNormal="70" workbookViewId="0">
      <selection activeCell="F50" sqref="F50"/>
    </sheetView>
  </sheetViews>
  <sheetFormatPr defaultRowHeight="17" x14ac:dyDescent="0.4"/>
  <cols>
    <col min="1" max="1" width="12.36328125" bestFit="1" customWidth="1"/>
    <col min="2" max="2" width="9.36328125" bestFit="1" customWidth="1"/>
    <col min="3" max="3" width="18.36328125" bestFit="1" customWidth="1"/>
    <col min="5" max="5" width="11.36328125" bestFit="1" customWidth="1"/>
    <col min="6" max="6" width="23.36328125" bestFit="1" customWidth="1"/>
    <col min="9" max="9" width="17.08984375" bestFit="1" customWidth="1"/>
    <col min="10" max="10" width="11.453125" bestFit="1" customWidth="1"/>
    <col min="11" max="11" width="11.453125" customWidth="1"/>
    <col min="14" max="14" width="10" bestFit="1" customWidth="1"/>
    <col min="15" max="15" width="10" customWidth="1"/>
    <col min="16" max="17" width="8.7265625" style="23"/>
  </cols>
  <sheetData>
    <row r="1" spans="1:17" x14ac:dyDescent="0.4">
      <c r="A1" t="s">
        <v>319</v>
      </c>
      <c r="B1" t="s">
        <v>314</v>
      </c>
      <c r="C1" t="s">
        <v>2</v>
      </c>
      <c r="D1" t="s">
        <v>315</v>
      </c>
      <c r="E1" t="s">
        <v>316</v>
      </c>
      <c r="F1" t="s">
        <v>317</v>
      </c>
      <c r="G1" t="s">
        <v>9</v>
      </c>
      <c r="H1" t="s">
        <v>318</v>
      </c>
      <c r="I1" t="s">
        <v>11</v>
      </c>
      <c r="J1" t="s">
        <v>12</v>
      </c>
      <c r="K1" t="s">
        <v>307</v>
      </c>
      <c r="L1" s="2" t="s">
        <v>17</v>
      </c>
      <c r="M1" s="2" t="s">
        <v>18</v>
      </c>
      <c r="N1" s="2" t="s">
        <v>302</v>
      </c>
      <c r="O1" s="2"/>
      <c r="P1" s="23" t="s">
        <v>328</v>
      </c>
      <c r="Q1" s="24" t="s">
        <v>329</v>
      </c>
    </row>
    <row r="2" spans="1:17" hidden="1" x14ac:dyDescent="0.4">
      <c r="B2" s="2" t="s">
        <v>136</v>
      </c>
      <c r="C2" s="2" t="s">
        <v>39</v>
      </c>
      <c r="D2" s="2" t="s">
        <v>140</v>
      </c>
      <c r="E2" s="2" t="s">
        <v>141</v>
      </c>
      <c r="F2" s="2" t="s">
        <v>142</v>
      </c>
      <c r="G2" s="2" t="s">
        <v>23</v>
      </c>
      <c r="H2" s="2" t="s">
        <v>143</v>
      </c>
      <c r="I2" s="2" t="s">
        <v>144</v>
      </c>
      <c r="J2" s="2" t="s">
        <v>145</v>
      </c>
      <c r="K2" s="17">
        <v>12</v>
      </c>
      <c r="M2">
        <v>10800</v>
      </c>
      <c r="N2">
        <v>6000</v>
      </c>
    </row>
    <row r="3" spans="1:17" hidden="1" x14ac:dyDescent="0.4">
      <c r="B3" s="2" t="s">
        <v>148</v>
      </c>
      <c r="C3" s="2" t="s">
        <v>39</v>
      </c>
      <c r="D3" s="2" t="s">
        <v>140</v>
      </c>
      <c r="E3" s="2" t="s">
        <v>162</v>
      </c>
      <c r="F3" s="2" t="s">
        <v>84</v>
      </c>
      <c r="G3" s="2" t="s">
        <v>23</v>
      </c>
      <c r="H3" s="2" t="s">
        <v>68</v>
      </c>
      <c r="I3" s="2" t="s">
        <v>167</v>
      </c>
      <c r="J3" s="2" t="s">
        <v>168</v>
      </c>
      <c r="K3" s="17">
        <v>3</v>
      </c>
      <c r="L3">
        <v>2400</v>
      </c>
    </row>
    <row r="4" spans="1:17" hidden="1" x14ac:dyDescent="0.4">
      <c r="B4" s="2" t="s">
        <v>216</v>
      </c>
      <c r="C4" s="2" t="s">
        <v>39</v>
      </c>
      <c r="D4" s="2" t="s">
        <v>230</v>
      </c>
      <c r="E4" s="9" t="s">
        <v>162</v>
      </c>
      <c r="F4" s="2" t="s">
        <v>67</v>
      </c>
      <c r="G4" s="2" t="s">
        <v>23</v>
      </c>
      <c r="H4" s="2" t="s">
        <v>127</v>
      </c>
      <c r="I4" s="2" t="s">
        <v>231</v>
      </c>
      <c r="J4" s="2" t="s">
        <v>232</v>
      </c>
      <c r="K4" s="17">
        <v>1</v>
      </c>
      <c r="L4">
        <v>1000</v>
      </c>
      <c r="M4">
        <v>1000</v>
      </c>
      <c r="N4">
        <v>16500</v>
      </c>
    </row>
    <row r="5" spans="1:17" hidden="1" x14ac:dyDescent="0.4">
      <c r="B5" s="2" t="s">
        <v>176</v>
      </c>
      <c r="C5" s="2" t="s">
        <v>39</v>
      </c>
      <c r="D5" s="2" t="s">
        <v>245</v>
      </c>
      <c r="E5" s="9" t="s">
        <v>162</v>
      </c>
      <c r="F5" s="2" t="s">
        <v>67</v>
      </c>
      <c r="G5" s="2" t="s">
        <v>23</v>
      </c>
      <c r="H5" s="2" t="s">
        <v>186</v>
      </c>
      <c r="I5" s="2" t="s">
        <v>246</v>
      </c>
      <c r="J5" s="2" t="s">
        <v>247</v>
      </c>
      <c r="K5" s="17">
        <v>17</v>
      </c>
      <c r="L5">
        <v>11900</v>
      </c>
      <c r="M5">
        <v>17000</v>
      </c>
    </row>
    <row r="6" spans="1:17" hidden="1" x14ac:dyDescent="0.4">
      <c r="B6" s="2" t="s">
        <v>291</v>
      </c>
      <c r="C6" s="2" t="s">
        <v>39</v>
      </c>
      <c r="D6" s="2" t="s">
        <v>245</v>
      </c>
      <c r="E6" s="9" t="s">
        <v>162</v>
      </c>
      <c r="F6" s="2" t="s">
        <v>67</v>
      </c>
      <c r="G6" s="2" t="s">
        <v>23</v>
      </c>
      <c r="H6" s="2" t="s">
        <v>103</v>
      </c>
      <c r="I6" s="2" t="s">
        <v>292</v>
      </c>
      <c r="J6" s="2" t="s">
        <v>293</v>
      </c>
      <c r="K6" s="17">
        <v>2</v>
      </c>
      <c r="L6">
        <v>2000</v>
      </c>
      <c r="M6">
        <v>2400</v>
      </c>
      <c r="N6">
        <v>6000</v>
      </c>
    </row>
    <row r="7" spans="1:17" s="18" customFormat="1" x14ac:dyDescent="0.4">
      <c r="A7" s="18" t="s">
        <v>320</v>
      </c>
      <c r="B7" s="19"/>
      <c r="C7" s="19" t="s">
        <v>321</v>
      </c>
      <c r="D7" s="19"/>
      <c r="E7" s="21"/>
      <c r="F7" s="19"/>
      <c r="G7" s="19"/>
      <c r="H7" s="19"/>
      <c r="I7" s="19"/>
      <c r="J7" s="19"/>
      <c r="K7" s="20">
        <f>SUM(K2:K6)</f>
        <v>35</v>
      </c>
      <c r="L7" s="20">
        <f>SUM(L2:L6)</f>
        <v>17300</v>
      </c>
      <c r="M7" s="20">
        <f>SUM(M2:M6)</f>
        <v>31200</v>
      </c>
      <c r="N7" s="20">
        <f>SUM(N2:N6)</f>
        <v>28500</v>
      </c>
      <c r="O7" s="20"/>
      <c r="P7" s="25">
        <f>SUM(L7:N7)</f>
        <v>77000</v>
      </c>
      <c r="Q7" s="25">
        <f>M7</f>
        <v>31200</v>
      </c>
    </row>
    <row r="8" spans="1:17" hidden="1" x14ac:dyDescent="0.4">
      <c r="B8" s="2"/>
      <c r="C8" s="2"/>
      <c r="D8" s="2"/>
      <c r="E8" s="9"/>
      <c r="F8" s="2"/>
      <c r="G8" s="2"/>
      <c r="H8" s="2"/>
      <c r="I8" s="2"/>
      <c r="J8" s="2"/>
      <c r="K8" s="17"/>
      <c r="L8" s="17"/>
      <c r="M8" s="17"/>
      <c r="N8" s="17"/>
      <c r="O8" s="17"/>
    </row>
    <row r="9" spans="1:17" hidden="1" x14ac:dyDescent="0.4">
      <c r="B9" s="2" t="s">
        <v>170</v>
      </c>
      <c r="C9" s="2" t="s">
        <v>268</v>
      </c>
      <c r="D9" s="2" t="s">
        <v>268</v>
      </c>
      <c r="E9" s="2"/>
      <c r="F9" s="2" t="s">
        <v>67</v>
      </c>
      <c r="G9" s="2" t="s">
        <v>85</v>
      </c>
      <c r="H9" s="2" t="s">
        <v>226</v>
      </c>
      <c r="I9" s="2" t="s">
        <v>269</v>
      </c>
      <c r="J9" s="2" t="s">
        <v>270</v>
      </c>
      <c r="K9" s="17">
        <v>1</v>
      </c>
      <c r="L9">
        <v>1000</v>
      </c>
      <c r="M9">
        <v>1000</v>
      </c>
    </row>
    <row r="10" spans="1:17" hidden="1" x14ac:dyDescent="0.4">
      <c r="B10" s="2"/>
      <c r="C10" s="2"/>
      <c r="D10" s="2"/>
      <c r="E10" s="2"/>
      <c r="F10" s="2"/>
      <c r="G10" s="2"/>
      <c r="H10" s="2"/>
      <c r="I10" s="2"/>
      <c r="J10" s="2"/>
      <c r="K10" s="17"/>
    </row>
    <row r="11" spans="1:17" hidden="1" x14ac:dyDescent="0.4">
      <c r="B11" s="2" t="s">
        <v>257</v>
      </c>
      <c r="C11" s="2" t="s">
        <v>260</v>
      </c>
      <c r="D11" s="2" t="s">
        <v>260</v>
      </c>
      <c r="E11" s="2"/>
      <c r="F11" s="2" t="s">
        <v>67</v>
      </c>
      <c r="G11" s="2" t="s">
        <v>23</v>
      </c>
      <c r="H11" s="2" t="s">
        <v>261</v>
      </c>
      <c r="I11" s="2" t="s">
        <v>262</v>
      </c>
      <c r="J11" s="2" t="s">
        <v>263</v>
      </c>
      <c r="K11" s="17">
        <v>21</v>
      </c>
      <c r="L11">
        <v>18900</v>
      </c>
      <c r="M11">
        <v>18900</v>
      </c>
      <c r="N11">
        <v>18000</v>
      </c>
    </row>
    <row r="12" spans="1:17" hidden="1" x14ac:dyDescent="0.4">
      <c r="B12" s="2"/>
      <c r="C12" s="2"/>
      <c r="D12" s="2"/>
      <c r="E12" s="2"/>
      <c r="F12" s="2"/>
      <c r="G12" s="2"/>
      <c r="H12" s="2"/>
      <c r="I12" s="2"/>
      <c r="J12" s="2"/>
      <c r="K12" s="17"/>
    </row>
    <row r="13" spans="1:17" hidden="1" x14ac:dyDescent="0.4">
      <c r="B13" s="2" t="s">
        <v>79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  <c r="H13" s="2" t="s">
        <v>86</v>
      </c>
      <c r="I13" s="2" t="s">
        <v>87</v>
      </c>
      <c r="J13" s="2" t="s">
        <v>88</v>
      </c>
      <c r="K13" s="17">
        <v>8</v>
      </c>
      <c r="L13">
        <v>8000</v>
      </c>
    </row>
    <row r="14" spans="1:17" hidden="1" x14ac:dyDescent="0.4">
      <c r="B14" s="2" t="s">
        <v>80</v>
      </c>
      <c r="C14" s="2" t="s">
        <v>92</v>
      </c>
      <c r="D14" s="2" t="s">
        <v>82</v>
      </c>
      <c r="E14" s="2" t="s">
        <v>83</v>
      </c>
      <c r="F14" s="2" t="s">
        <v>84</v>
      </c>
      <c r="G14" s="2" t="s">
        <v>85</v>
      </c>
      <c r="H14" s="2" t="s">
        <v>93</v>
      </c>
      <c r="I14" s="2" t="s">
        <v>94</v>
      </c>
      <c r="J14" s="2" t="s">
        <v>95</v>
      </c>
      <c r="K14" s="17">
        <v>11</v>
      </c>
      <c r="L14">
        <v>11000</v>
      </c>
    </row>
    <row r="15" spans="1:17" hidden="1" x14ac:dyDescent="0.4">
      <c r="B15" s="2" t="s">
        <v>80</v>
      </c>
      <c r="C15" s="2" t="s">
        <v>92</v>
      </c>
      <c r="D15" s="2" t="s">
        <v>96</v>
      </c>
      <c r="E15" s="2" t="s">
        <v>97</v>
      </c>
      <c r="F15" s="2" t="s">
        <v>67</v>
      </c>
      <c r="G15" s="2" t="s">
        <v>85</v>
      </c>
      <c r="H15" s="2" t="s">
        <v>93</v>
      </c>
      <c r="I15" s="2" t="s">
        <v>98</v>
      </c>
      <c r="J15" s="2" t="s">
        <v>99</v>
      </c>
      <c r="K15" s="17">
        <v>1</v>
      </c>
      <c r="L15">
        <v>1000</v>
      </c>
      <c r="M15">
        <v>1300</v>
      </c>
    </row>
    <row r="16" spans="1:17" hidden="1" x14ac:dyDescent="0.4">
      <c r="B16" s="2" t="s">
        <v>35</v>
      </c>
      <c r="C16" s="2" t="s">
        <v>92</v>
      </c>
      <c r="D16" s="2" t="s">
        <v>82</v>
      </c>
      <c r="E16" s="2" t="s">
        <v>83</v>
      </c>
      <c r="F16" s="2" t="s">
        <v>67</v>
      </c>
      <c r="G16" s="2" t="s">
        <v>85</v>
      </c>
      <c r="H16" s="2" t="s">
        <v>108</v>
      </c>
      <c r="I16" s="2" t="s">
        <v>109</v>
      </c>
      <c r="J16" s="2" t="s">
        <v>110</v>
      </c>
      <c r="K16" s="17">
        <v>49</v>
      </c>
      <c r="L16">
        <v>39200</v>
      </c>
      <c r="M16">
        <v>45000</v>
      </c>
    </row>
    <row r="17" spans="1:17" hidden="1" x14ac:dyDescent="0.4">
      <c r="B17" s="2" t="s">
        <v>149</v>
      </c>
      <c r="C17" s="2" t="s">
        <v>92</v>
      </c>
      <c r="D17" s="2" t="s">
        <v>82</v>
      </c>
      <c r="E17" s="2" t="s">
        <v>83</v>
      </c>
      <c r="F17" s="2" t="s">
        <v>67</v>
      </c>
      <c r="G17" s="2" t="s">
        <v>85</v>
      </c>
      <c r="H17" s="2" t="s">
        <v>150</v>
      </c>
      <c r="I17" s="2" t="s">
        <v>151</v>
      </c>
      <c r="J17" s="2" t="s">
        <v>152</v>
      </c>
      <c r="K17" s="17">
        <v>3</v>
      </c>
      <c r="L17">
        <v>2400</v>
      </c>
      <c r="M17">
        <v>3000</v>
      </c>
    </row>
    <row r="18" spans="1:17" hidden="1" x14ac:dyDescent="0.4">
      <c r="B18" s="2" t="s">
        <v>153</v>
      </c>
      <c r="C18" s="2" t="s">
        <v>92</v>
      </c>
      <c r="D18" s="2" t="s">
        <v>82</v>
      </c>
      <c r="E18" s="2" t="s">
        <v>83</v>
      </c>
      <c r="F18" s="2" t="s">
        <v>67</v>
      </c>
      <c r="G18" s="2" t="s">
        <v>85</v>
      </c>
      <c r="H18" s="2" t="s">
        <v>154</v>
      </c>
      <c r="I18" s="2" t="s">
        <v>155</v>
      </c>
      <c r="J18" s="2" t="s">
        <v>156</v>
      </c>
      <c r="K18" s="17">
        <v>6</v>
      </c>
      <c r="L18">
        <v>6000</v>
      </c>
      <c r="M18">
        <v>6000</v>
      </c>
    </row>
    <row r="19" spans="1:17" hidden="1" x14ac:dyDescent="0.4">
      <c r="B19" s="2" t="s">
        <v>157</v>
      </c>
      <c r="C19" s="2" t="s">
        <v>92</v>
      </c>
      <c r="D19" s="2" t="s">
        <v>82</v>
      </c>
      <c r="E19" s="2" t="s">
        <v>83</v>
      </c>
      <c r="F19" s="2" t="s">
        <v>67</v>
      </c>
      <c r="G19" s="2" t="s">
        <v>85</v>
      </c>
      <c r="H19" s="2" t="s">
        <v>158</v>
      </c>
      <c r="I19" s="2" t="s">
        <v>159</v>
      </c>
      <c r="J19" s="2" t="s">
        <v>160</v>
      </c>
      <c r="K19" s="17">
        <v>9</v>
      </c>
      <c r="L19">
        <v>9000</v>
      </c>
      <c r="M19">
        <v>9000</v>
      </c>
    </row>
    <row r="20" spans="1:17" hidden="1" x14ac:dyDescent="0.4">
      <c r="B20" s="2" t="s">
        <v>177</v>
      </c>
      <c r="C20" s="2" t="s">
        <v>81</v>
      </c>
      <c r="D20" s="2" t="s">
        <v>82</v>
      </c>
      <c r="E20" s="2" t="s">
        <v>83</v>
      </c>
      <c r="F20" s="2" t="s">
        <v>67</v>
      </c>
      <c r="G20" s="2" t="s">
        <v>85</v>
      </c>
      <c r="H20" s="2" t="s">
        <v>86</v>
      </c>
      <c r="I20" s="2" t="s">
        <v>178</v>
      </c>
      <c r="J20" s="2" t="s">
        <v>179</v>
      </c>
      <c r="K20" s="17">
        <v>1</v>
      </c>
      <c r="L20">
        <v>1000</v>
      </c>
      <c r="M20">
        <v>1000</v>
      </c>
    </row>
    <row r="21" spans="1:17" hidden="1" x14ac:dyDescent="0.4">
      <c r="B21" s="2" t="s">
        <v>38</v>
      </c>
      <c r="C21" s="2" t="s">
        <v>81</v>
      </c>
      <c r="D21" s="2" t="s">
        <v>82</v>
      </c>
      <c r="E21" s="2" t="s">
        <v>83</v>
      </c>
      <c r="F21" s="2" t="s">
        <v>67</v>
      </c>
      <c r="G21" s="2" t="s">
        <v>85</v>
      </c>
      <c r="H21" s="2" t="s">
        <v>180</v>
      </c>
      <c r="I21" s="2" t="s">
        <v>181</v>
      </c>
      <c r="J21" s="2" t="s">
        <v>182</v>
      </c>
      <c r="K21" s="17">
        <v>1</v>
      </c>
      <c r="L21">
        <v>1000</v>
      </c>
      <c r="M21">
        <v>1000</v>
      </c>
    </row>
    <row r="22" spans="1:17" hidden="1" x14ac:dyDescent="0.4">
      <c r="B22" s="2" t="s">
        <v>177</v>
      </c>
      <c r="C22" s="2" t="s">
        <v>81</v>
      </c>
      <c r="D22" s="2" t="s">
        <v>82</v>
      </c>
      <c r="E22" s="2" t="s">
        <v>83</v>
      </c>
      <c r="F22" s="2" t="s">
        <v>67</v>
      </c>
      <c r="G22" s="2" t="s">
        <v>85</v>
      </c>
      <c r="H22" s="2" t="s">
        <v>150</v>
      </c>
      <c r="I22" s="2" t="s">
        <v>251</v>
      </c>
      <c r="J22" s="2" t="s">
        <v>252</v>
      </c>
      <c r="K22" s="17"/>
    </row>
    <row r="23" spans="1:17" hidden="1" x14ac:dyDescent="0.4">
      <c r="B23" s="2" t="s">
        <v>176</v>
      </c>
      <c r="C23" s="2" t="s">
        <v>81</v>
      </c>
      <c r="D23" s="2" t="s">
        <v>82</v>
      </c>
      <c r="E23" s="2" t="s">
        <v>83</v>
      </c>
      <c r="F23" s="2" t="s">
        <v>67</v>
      </c>
      <c r="G23" s="2" t="s">
        <v>23</v>
      </c>
      <c r="H23" s="2" t="s">
        <v>253</v>
      </c>
      <c r="I23" s="2" t="s">
        <v>254</v>
      </c>
      <c r="J23" s="2" t="s">
        <v>255</v>
      </c>
      <c r="K23" s="17"/>
    </row>
    <row r="24" spans="1:17" hidden="1" x14ac:dyDescent="0.4">
      <c r="B24" s="2" t="s">
        <v>257</v>
      </c>
      <c r="C24" s="2" t="s">
        <v>81</v>
      </c>
      <c r="D24" s="2" t="s">
        <v>82</v>
      </c>
      <c r="E24" s="2" t="s">
        <v>83</v>
      </c>
      <c r="F24" s="2" t="s">
        <v>84</v>
      </c>
      <c r="G24" s="2" t="s">
        <v>85</v>
      </c>
      <c r="H24" s="2" t="s">
        <v>86</v>
      </c>
      <c r="I24" s="2" t="s">
        <v>258</v>
      </c>
      <c r="J24" s="2" t="s">
        <v>259</v>
      </c>
      <c r="K24" s="17">
        <v>40</v>
      </c>
      <c r="L24">
        <v>32000</v>
      </c>
    </row>
    <row r="25" spans="1:17" hidden="1" x14ac:dyDescent="0.4">
      <c r="B25" s="2" t="s">
        <v>170</v>
      </c>
      <c r="C25" s="2" t="s">
        <v>81</v>
      </c>
      <c r="D25" s="2" t="s">
        <v>82</v>
      </c>
      <c r="E25" s="2" t="s">
        <v>83</v>
      </c>
      <c r="F25" s="2" t="s">
        <v>67</v>
      </c>
      <c r="G25" s="2" t="s">
        <v>85</v>
      </c>
      <c r="H25" s="2" t="s">
        <v>150</v>
      </c>
      <c r="I25" s="2" t="s">
        <v>266</v>
      </c>
      <c r="J25" s="2" t="s">
        <v>267</v>
      </c>
      <c r="K25" s="17">
        <v>1</v>
      </c>
      <c r="L25">
        <v>1000</v>
      </c>
      <c r="M25">
        <v>1000</v>
      </c>
    </row>
    <row r="26" spans="1:17" s="18" customFormat="1" x14ac:dyDescent="0.4">
      <c r="A26" s="18" t="s">
        <v>323</v>
      </c>
      <c r="B26" s="19"/>
      <c r="C26" s="19" t="s">
        <v>324</v>
      </c>
      <c r="D26" s="19"/>
      <c r="E26" s="19"/>
      <c r="F26" s="19"/>
      <c r="G26" s="19"/>
      <c r="H26" s="19"/>
      <c r="I26" s="19"/>
      <c r="J26" s="19"/>
      <c r="K26" s="20">
        <f>SUM(K13:K25)</f>
        <v>130</v>
      </c>
      <c r="L26" s="20">
        <f>SUM(L13:L25)</f>
        <v>111600</v>
      </c>
      <c r="M26" s="20">
        <f>SUM(M13:M25)</f>
        <v>67300</v>
      </c>
      <c r="N26" s="20">
        <f>SUM(N13:N25)</f>
        <v>0</v>
      </c>
      <c r="O26" s="20"/>
      <c r="P26" s="25">
        <f>SUM(L26:N26)</f>
        <v>178900</v>
      </c>
      <c r="Q26" s="25">
        <f>M26</f>
        <v>67300</v>
      </c>
    </row>
    <row r="27" spans="1:17" hidden="1" x14ac:dyDescent="0.4">
      <c r="B27" s="2"/>
      <c r="C27" s="2"/>
      <c r="D27" s="2"/>
      <c r="E27" s="2"/>
      <c r="F27" s="2"/>
      <c r="G27" s="2"/>
      <c r="H27" s="2"/>
      <c r="I27" s="2"/>
      <c r="J27" s="2"/>
      <c r="K27" s="17"/>
      <c r="L27" s="17"/>
      <c r="M27" s="17"/>
      <c r="N27" s="17"/>
      <c r="O27" s="17"/>
    </row>
    <row r="28" spans="1:17" hidden="1" x14ac:dyDescent="0.4">
      <c r="B28" s="2" t="s">
        <v>63</v>
      </c>
      <c r="C28" s="2" t="s">
        <v>64</v>
      </c>
      <c r="D28" s="2" t="s">
        <v>65</v>
      </c>
      <c r="E28" s="2" t="s">
        <v>66</v>
      </c>
      <c r="F28" s="2" t="s">
        <v>67</v>
      </c>
      <c r="G28" s="2" t="s">
        <v>23</v>
      </c>
      <c r="H28" s="2" t="s">
        <v>68</v>
      </c>
      <c r="I28" s="2" t="s">
        <v>69</v>
      </c>
      <c r="J28" s="2" t="s">
        <v>70</v>
      </c>
      <c r="K28" s="17">
        <v>106</v>
      </c>
      <c r="L28">
        <v>30000</v>
      </c>
      <c r="M28">
        <v>93810</v>
      </c>
    </row>
    <row r="29" spans="1:17" hidden="1" x14ac:dyDescent="0.4">
      <c r="B29" s="2" t="s">
        <v>101</v>
      </c>
      <c r="C29" s="2" t="s">
        <v>322</v>
      </c>
      <c r="D29" s="2" t="s">
        <v>65</v>
      </c>
      <c r="E29" s="2" t="s">
        <v>66</v>
      </c>
      <c r="F29" s="2" t="s">
        <v>67</v>
      </c>
      <c r="G29" s="2" t="s">
        <v>23</v>
      </c>
      <c r="H29" s="2" t="s">
        <v>103</v>
      </c>
      <c r="I29" s="2" t="s">
        <v>104</v>
      </c>
      <c r="J29" s="2" t="s">
        <v>105</v>
      </c>
      <c r="K29" s="17">
        <v>61</v>
      </c>
      <c r="L29">
        <v>12200</v>
      </c>
      <c r="M29">
        <v>52552</v>
      </c>
      <c r="N29">
        <v>16200</v>
      </c>
    </row>
    <row r="30" spans="1:17" hidden="1" x14ac:dyDescent="0.4">
      <c r="B30" s="2" t="s">
        <v>184</v>
      </c>
      <c r="C30" s="2" t="s">
        <v>185</v>
      </c>
      <c r="D30" s="2" t="s">
        <v>65</v>
      </c>
      <c r="E30" s="2" t="s">
        <v>66</v>
      </c>
      <c r="F30" s="2" t="s">
        <v>67</v>
      </c>
      <c r="G30" s="2" t="s">
        <v>23</v>
      </c>
      <c r="H30" s="2" t="s">
        <v>186</v>
      </c>
      <c r="I30" s="2" t="s">
        <v>187</v>
      </c>
      <c r="J30" s="2" t="s">
        <v>188</v>
      </c>
      <c r="K30" s="17">
        <v>179</v>
      </c>
      <c r="L30">
        <v>89500</v>
      </c>
      <c r="M30">
        <v>131040</v>
      </c>
      <c r="N30">
        <v>32400</v>
      </c>
    </row>
    <row r="31" spans="1:17" hidden="1" x14ac:dyDescent="0.4">
      <c r="B31" s="2" t="s">
        <v>235</v>
      </c>
      <c r="C31" s="2" t="s">
        <v>278</v>
      </c>
      <c r="D31" s="2" t="s">
        <v>65</v>
      </c>
      <c r="E31" s="2" t="s">
        <v>66</v>
      </c>
      <c r="F31" s="2" t="s">
        <v>67</v>
      </c>
      <c r="G31" s="2" t="s">
        <v>23</v>
      </c>
      <c r="H31" s="2" t="s">
        <v>279</v>
      </c>
      <c r="I31" s="2" t="s">
        <v>280</v>
      </c>
      <c r="J31" s="2" t="s">
        <v>281</v>
      </c>
      <c r="K31" s="17">
        <v>137</v>
      </c>
      <c r="L31">
        <v>71640</v>
      </c>
      <c r="M31">
        <v>116450</v>
      </c>
      <c r="N31">
        <v>68000</v>
      </c>
    </row>
    <row r="32" spans="1:17" hidden="1" x14ac:dyDescent="0.4">
      <c r="B32" s="2" t="s">
        <v>310</v>
      </c>
      <c r="C32" s="2" t="s">
        <v>311</v>
      </c>
      <c r="D32" s="2" t="s">
        <v>65</v>
      </c>
      <c r="E32" s="9"/>
      <c r="F32" s="2" t="s">
        <v>67</v>
      </c>
      <c r="G32" s="2" t="s">
        <v>23</v>
      </c>
      <c r="H32" s="2" t="s">
        <v>186</v>
      </c>
      <c r="I32" s="2" t="s">
        <v>312</v>
      </c>
      <c r="J32" s="2" t="s">
        <v>313</v>
      </c>
      <c r="K32" s="17">
        <v>100</v>
      </c>
    </row>
    <row r="33" spans="1:17" s="18" customFormat="1" x14ac:dyDescent="0.4">
      <c r="A33" s="18" t="s">
        <v>325</v>
      </c>
      <c r="B33" s="19"/>
      <c r="C33" s="19" t="s">
        <v>321</v>
      </c>
      <c r="D33" s="19"/>
      <c r="E33" s="21"/>
      <c r="F33" s="19"/>
      <c r="G33" s="19"/>
      <c r="H33" s="19"/>
      <c r="I33" s="19"/>
      <c r="J33" s="19"/>
      <c r="K33" s="20">
        <f>SUM(K28:K32)</f>
        <v>583</v>
      </c>
      <c r="L33" s="20">
        <f>SUM(L28:L32)</f>
        <v>203340</v>
      </c>
      <c r="M33" s="20">
        <f>SUM(M28:M32)</f>
        <v>393852</v>
      </c>
      <c r="N33" s="20">
        <f>SUM(N28:N32)</f>
        <v>116600</v>
      </c>
      <c r="O33" s="20"/>
      <c r="P33" s="25">
        <f>SUM(L33:N33)</f>
        <v>713792</v>
      </c>
      <c r="Q33" s="25">
        <f>M33</f>
        <v>393852</v>
      </c>
    </row>
    <row r="34" spans="1:17" hidden="1" x14ac:dyDescent="0.4">
      <c r="B34" t="s">
        <v>299</v>
      </c>
      <c r="C34" t="s">
        <v>300</v>
      </c>
      <c r="D34" t="s">
        <v>301</v>
      </c>
      <c r="F34" s="2" t="s">
        <v>67</v>
      </c>
      <c r="G34" s="2" t="s">
        <v>23</v>
      </c>
      <c r="H34" t="s">
        <v>308</v>
      </c>
      <c r="I34" t="s">
        <v>309</v>
      </c>
      <c r="J34">
        <v>97</v>
      </c>
      <c r="K34" s="17">
        <v>2504</v>
      </c>
      <c r="M34">
        <v>500000</v>
      </c>
    </row>
    <row r="35" spans="1:17" hidden="1" x14ac:dyDescent="0.4">
      <c r="B35" s="2" t="s">
        <v>200</v>
      </c>
      <c r="C35" s="2" t="s">
        <v>201</v>
      </c>
      <c r="D35" s="2" t="s">
        <v>202</v>
      </c>
      <c r="E35" s="2" t="s">
        <v>203</v>
      </c>
      <c r="F35" s="2" t="s">
        <v>142</v>
      </c>
      <c r="G35" s="2" t="s">
        <v>23</v>
      </c>
      <c r="H35" s="2" t="s">
        <v>204</v>
      </c>
      <c r="I35" s="2" t="s">
        <v>205</v>
      </c>
      <c r="J35" s="2" t="s">
        <v>206</v>
      </c>
      <c r="K35" s="17">
        <v>4</v>
      </c>
      <c r="M35">
        <v>2000</v>
      </c>
    </row>
    <row r="36" spans="1:17" s="18" customFormat="1" x14ac:dyDescent="0.4">
      <c r="A36" s="18" t="s">
        <v>326</v>
      </c>
      <c r="B36" s="19"/>
      <c r="C36" s="19" t="s">
        <v>327</v>
      </c>
      <c r="D36" s="19"/>
      <c r="E36" s="19"/>
      <c r="F36" s="19"/>
      <c r="G36" s="19"/>
      <c r="H36" s="19"/>
      <c r="I36" s="19"/>
      <c r="J36" s="19"/>
      <c r="K36" s="20">
        <f>SUM(K34:K35)</f>
        <v>2508</v>
      </c>
      <c r="L36" s="20">
        <f>SUM(L34:L35)</f>
        <v>0</v>
      </c>
      <c r="M36" s="20">
        <f>SUM(M34:M35)</f>
        <v>502000</v>
      </c>
      <c r="N36" s="20">
        <f>SUM(N34:N35)</f>
        <v>0</v>
      </c>
      <c r="O36" s="20"/>
      <c r="P36" s="25">
        <f>SUM(L36:N36)</f>
        <v>502000</v>
      </c>
      <c r="Q36" s="25">
        <f>M36</f>
        <v>502000</v>
      </c>
    </row>
    <row r="37" spans="1:17" hidden="1" x14ac:dyDescent="0.4">
      <c r="B37" s="2"/>
      <c r="C37" s="2"/>
      <c r="D37" s="2"/>
      <c r="E37" s="2"/>
      <c r="F37" s="2"/>
      <c r="G37" s="2"/>
      <c r="H37" s="2"/>
      <c r="I37" s="2"/>
      <c r="J37" s="2"/>
      <c r="K37" s="17"/>
    </row>
    <row r="38" spans="1:17" hidden="1" x14ac:dyDescent="0.4">
      <c r="B38" s="2" t="s">
        <v>271</v>
      </c>
      <c r="C38" s="2" t="s">
        <v>272</v>
      </c>
      <c r="D38" s="2" t="s">
        <v>273</v>
      </c>
      <c r="E38" s="2" t="s">
        <v>274</v>
      </c>
      <c r="F38" s="2" t="s">
        <v>67</v>
      </c>
      <c r="G38" s="2" t="s">
        <v>23</v>
      </c>
      <c r="H38" s="2" t="s">
        <v>186</v>
      </c>
      <c r="I38" s="2" t="s">
        <v>275</v>
      </c>
      <c r="J38" s="2" t="s">
        <v>196</v>
      </c>
      <c r="K38" s="17">
        <v>1245</v>
      </c>
      <c r="M38">
        <v>400000</v>
      </c>
      <c r="P38" s="25"/>
      <c r="Q38" s="25"/>
    </row>
    <row r="39" spans="1:17" s="18" customFormat="1" x14ac:dyDescent="0.4">
      <c r="A39" s="18" t="s">
        <v>330</v>
      </c>
      <c r="C39" s="19" t="s">
        <v>331</v>
      </c>
      <c r="K39" s="22">
        <f>SUM(K38)</f>
        <v>1245</v>
      </c>
      <c r="L39" s="22">
        <f t="shared" ref="L39:N39" si="0">SUM(L38)</f>
        <v>0</v>
      </c>
      <c r="M39" s="22">
        <f t="shared" si="0"/>
        <v>400000</v>
      </c>
      <c r="N39" s="22">
        <f t="shared" si="0"/>
        <v>0</v>
      </c>
      <c r="P39" s="25">
        <f>SUM(L39:N39)</f>
        <v>400000</v>
      </c>
      <c r="Q39" s="25">
        <f>M39</f>
        <v>400000</v>
      </c>
    </row>
    <row r="40" spans="1:17" x14ac:dyDescent="0.4">
      <c r="B40" s="2"/>
      <c r="C40" s="2"/>
      <c r="D40" s="2"/>
      <c r="E40" s="9"/>
      <c r="F40" s="2"/>
      <c r="G40" s="2"/>
      <c r="H40" s="2"/>
      <c r="I40" s="2"/>
      <c r="J40" s="2"/>
      <c r="K40" s="17"/>
      <c r="L40" s="17"/>
      <c r="M40" s="17"/>
      <c r="N40" s="17"/>
      <c r="O40" s="17"/>
    </row>
    <row r="41" spans="1:17" x14ac:dyDescent="0.4">
      <c r="B41" s="2" t="s">
        <v>303</v>
      </c>
      <c r="C41" s="2" t="s">
        <v>304</v>
      </c>
      <c r="D41" s="2" t="s">
        <v>305</v>
      </c>
      <c r="F41" s="2" t="s">
        <v>67</v>
      </c>
      <c r="G41" s="2" t="s">
        <v>23</v>
      </c>
      <c r="H41" s="2" t="s">
        <v>279</v>
      </c>
      <c r="I41" s="2" t="s">
        <v>306</v>
      </c>
      <c r="J41">
        <v>139</v>
      </c>
      <c r="K41" s="17">
        <v>93</v>
      </c>
    </row>
    <row r="42" spans="1:17" x14ac:dyDescent="0.4">
      <c r="B42" s="2"/>
      <c r="C42" s="2"/>
      <c r="D42" s="2"/>
      <c r="F42" s="2"/>
      <c r="G42" s="2"/>
      <c r="H42" s="2"/>
      <c r="I42" s="2"/>
      <c r="K42" s="17"/>
    </row>
    <row r="43" spans="1:17" x14ac:dyDescent="0.4">
      <c r="B43" s="2" t="s">
        <v>190</v>
      </c>
      <c r="C43" s="2" t="s">
        <v>191</v>
      </c>
      <c r="D43" s="2" t="s">
        <v>192</v>
      </c>
      <c r="E43" s="2" t="s">
        <v>193</v>
      </c>
      <c r="F43" s="2" t="s">
        <v>142</v>
      </c>
      <c r="G43" s="2" t="s">
        <v>23</v>
      </c>
      <c r="H43" s="2" t="s">
        <v>194</v>
      </c>
      <c r="I43" s="2" t="s">
        <v>195</v>
      </c>
      <c r="J43" s="2" t="s">
        <v>196</v>
      </c>
      <c r="K43" s="17">
        <v>86</v>
      </c>
      <c r="M43">
        <v>63360</v>
      </c>
    </row>
    <row r="44" spans="1:17" x14ac:dyDescent="0.4">
      <c r="B44" s="2"/>
      <c r="C44" s="2"/>
      <c r="D44" s="2"/>
      <c r="E44" s="2"/>
      <c r="F44" s="2"/>
      <c r="G44" s="2"/>
      <c r="H44" s="2"/>
      <c r="I44" s="2"/>
      <c r="J44" s="2"/>
      <c r="K44" s="17"/>
    </row>
    <row r="45" spans="1:17" x14ac:dyDescent="0.4">
      <c r="B45" s="2" t="s">
        <v>216</v>
      </c>
      <c r="C45" s="2" t="s">
        <v>217</v>
      </c>
      <c r="D45" s="2" t="s">
        <v>217</v>
      </c>
      <c r="E45" s="2" t="s">
        <v>218</v>
      </c>
      <c r="F45" s="2" t="s">
        <v>142</v>
      </c>
      <c r="G45" s="2" t="s">
        <v>23</v>
      </c>
      <c r="H45" s="2" t="s">
        <v>68</v>
      </c>
      <c r="I45" s="2" t="s">
        <v>219</v>
      </c>
      <c r="J45" s="2" t="s">
        <v>220</v>
      </c>
      <c r="K45" s="17">
        <v>15</v>
      </c>
      <c r="M45">
        <v>13500</v>
      </c>
    </row>
    <row r="46" spans="1:17" x14ac:dyDescent="0.4">
      <c r="B46" s="2"/>
      <c r="C46" s="2"/>
      <c r="D46" s="2"/>
      <c r="E46" s="2"/>
      <c r="F46" s="2"/>
      <c r="G46" s="2"/>
      <c r="H46" s="2"/>
      <c r="I46" s="2"/>
      <c r="J46" s="2"/>
      <c r="K46" s="17"/>
    </row>
  </sheetData>
  <sortState xmlns:xlrd2="http://schemas.microsoft.com/office/spreadsheetml/2017/richdata2" ref="A2:N38">
    <sortCondition ref="C2:C38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19F6-8F7C-4070-B095-1AC854C1C949}">
  <dimension ref="A1:S47"/>
  <sheetViews>
    <sheetView topLeftCell="A26" zoomScale="85" zoomScaleNormal="85" workbookViewId="0">
      <selection activeCell="B45" sqref="B45:J45"/>
    </sheetView>
  </sheetViews>
  <sheetFormatPr defaultRowHeight="17" x14ac:dyDescent="0.4"/>
  <cols>
    <col min="2" max="2" width="10" bestFit="1" customWidth="1"/>
    <col min="6" max="6" width="30.453125" bestFit="1" customWidth="1"/>
    <col min="11" max="11" width="16.54296875" bestFit="1" customWidth="1"/>
    <col min="15" max="15" width="13.26953125" bestFit="1" customWidth="1"/>
  </cols>
  <sheetData>
    <row r="1" spans="1:19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8" t="s">
        <v>6</v>
      </c>
      <c r="H1" s="28"/>
      <c r="I1" s="28"/>
      <c r="J1" s="28"/>
      <c r="K1" s="28" t="s">
        <v>7</v>
      </c>
      <c r="L1" s="28"/>
      <c r="M1" s="2"/>
      <c r="N1" s="2"/>
      <c r="O1" s="1" t="s">
        <v>8</v>
      </c>
      <c r="P1" s="2" t="s">
        <v>296</v>
      </c>
      <c r="Q1" s="2" t="s">
        <v>297</v>
      </c>
      <c r="R1" s="2" t="s">
        <v>298</v>
      </c>
      <c r="S1" s="2"/>
    </row>
    <row r="2" spans="1:19" x14ac:dyDescent="0.4">
      <c r="A2" s="1"/>
      <c r="B2" s="2"/>
      <c r="C2" s="2"/>
      <c r="D2" s="2"/>
      <c r="E2" s="2"/>
      <c r="F2" s="2"/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1"/>
      <c r="P2" s="2"/>
      <c r="Q2" s="2" t="s">
        <v>17</v>
      </c>
      <c r="R2" s="2" t="s">
        <v>18</v>
      </c>
      <c r="S2" s="2"/>
    </row>
    <row r="3" spans="1:19" x14ac:dyDescent="0.4">
      <c r="A3" s="11">
        <v>1</v>
      </c>
      <c r="B3" s="2" t="s">
        <v>19</v>
      </c>
      <c r="C3" s="2" t="s">
        <v>20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>
        <v>240</v>
      </c>
      <c r="K3" s="2" t="s">
        <v>26</v>
      </c>
      <c r="L3" s="3" t="s">
        <v>27</v>
      </c>
      <c r="M3" s="2" t="s">
        <v>28</v>
      </c>
      <c r="N3" s="2" t="s">
        <v>29</v>
      </c>
      <c r="O3" s="1" t="s">
        <v>30</v>
      </c>
      <c r="P3" s="14">
        <v>20160</v>
      </c>
      <c r="R3" s="14"/>
      <c r="S3" s="2"/>
    </row>
    <row r="4" spans="1:19" x14ac:dyDescent="0.4">
      <c r="A4" s="12">
        <f>A3+1</f>
        <v>2</v>
      </c>
      <c r="B4" s="2" t="s">
        <v>31</v>
      </c>
      <c r="C4" s="2"/>
      <c r="D4" s="2"/>
      <c r="E4" s="2"/>
      <c r="F4" s="2" t="s">
        <v>32</v>
      </c>
      <c r="G4" s="2"/>
      <c r="H4" s="2"/>
      <c r="I4" s="2"/>
      <c r="J4" s="2"/>
      <c r="K4" s="2" t="s">
        <v>33</v>
      </c>
      <c r="L4" s="3" t="s">
        <v>34</v>
      </c>
      <c r="M4" s="2"/>
      <c r="N4" s="2"/>
      <c r="O4" s="1" t="s">
        <v>30</v>
      </c>
      <c r="P4" s="14">
        <v>12000</v>
      </c>
      <c r="R4" s="14"/>
      <c r="S4" s="2"/>
    </row>
    <row r="5" spans="1:19" x14ac:dyDescent="0.4">
      <c r="A5" s="12">
        <f t="shared" ref="A5:A45" si="0">A4+1</f>
        <v>3</v>
      </c>
      <c r="B5" s="2" t="s">
        <v>35</v>
      </c>
      <c r="C5" s="2"/>
      <c r="D5" s="2"/>
      <c r="E5" s="2"/>
      <c r="F5" s="2" t="s">
        <v>36</v>
      </c>
      <c r="G5" s="2"/>
      <c r="H5" s="2"/>
      <c r="I5" s="2"/>
      <c r="J5" s="2"/>
      <c r="K5" s="2" t="s">
        <v>37</v>
      </c>
      <c r="L5" s="3" t="s">
        <v>34</v>
      </c>
      <c r="M5" s="2"/>
      <c r="N5" s="2"/>
      <c r="O5" s="1" t="s">
        <v>30</v>
      </c>
      <c r="P5" s="14">
        <v>9450</v>
      </c>
      <c r="R5" s="14"/>
      <c r="S5" s="2"/>
    </row>
    <row r="6" spans="1:19" x14ac:dyDescent="0.4">
      <c r="A6" s="12">
        <f t="shared" si="0"/>
        <v>4</v>
      </c>
      <c r="B6" s="2" t="s">
        <v>29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23</v>
      </c>
      <c r="H6" s="2" t="s">
        <v>43</v>
      </c>
      <c r="I6" s="2" t="s">
        <v>44</v>
      </c>
      <c r="J6" s="2" t="s">
        <v>45</v>
      </c>
      <c r="K6" s="2" t="s">
        <v>46</v>
      </c>
      <c r="L6" s="3" t="s">
        <v>47</v>
      </c>
      <c r="M6" s="2" t="s">
        <v>48</v>
      </c>
      <c r="N6" s="2" t="s">
        <v>49</v>
      </c>
      <c r="O6" s="1" t="s">
        <v>30</v>
      </c>
      <c r="P6" s="14">
        <v>18900</v>
      </c>
      <c r="Q6" s="14"/>
      <c r="R6" s="14"/>
      <c r="S6" s="2"/>
    </row>
    <row r="7" spans="1:19" x14ac:dyDescent="0.4">
      <c r="A7" s="12">
        <f t="shared" si="0"/>
        <v>5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23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59</v>
      </c>
      <c r="M7" s="2" t="s">
        <v>60</v>
      </c>
      <c r="N7" s="2" t="s">
        <v>61</v>
      </c>
      <c r="O7" s="1" t="s">
        <v>30</v>
      </c>
      <c r="P7" s="14">
        <v>18900</v>
      </c>
      <c r="Q7" s="14"/>
      <c r="R7" s="14"/>
      <c r="S7" s="2"/>
    </row>
    <row r="8" spans="1:19" x14ac:dyDescent="0.4">
      <c r="A8" s="12">
        <f t="shared" si="0"/>
        <v>6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23</v>
      </c>
      <c r="H8" s="2" t="s">
        <v>68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73</v>
      </c>
      <c r="N8" s="2"/>
      <c r="O8" s="1" t="s">
        <v>74</v>
      </c>
      <c r="P8" s="14">
        <v>130000</v>
      </c>
      <c r="Q8" s="14">
        <v>30000</v>
      </c>
      <c r="R8" s="14">
        <v>93810</v>
      </c>
      <c r="S8" s="2"/>
    </row>
    <row r="9" spans="1:19" x14ac:dyDescent="0.4">
      <c r="A9" s="12">
        <f t="shared" si="0"/>
        <v>7</v>
      </c>
      <c r="B9" s="2" t="s">
        <v>61</v>
      </c>
      <c r="C9" s="2" t="s">
        <v>20</v>
      </c>
      <c r="D9" s="2" t="s">
        <v>20</v>
      </c>
      <c r="E9" s="2" t="s">
        <v>21</v>
      </c>
      <c r="F9" s="2" t="s">
        <v>75</v>
      </c>
      <c r="G9" s="2" t="s">
        <v>23</v>
      </c>
      <c r="H9" s="2" t="s">
        <v>24</v>
      </c>
      <c r="I9" s="2" t="s">
        <v>76</v>
      </c>
      <c r="J9" s="2" t="s">
        <v>77</v>
      </c>
      <c r="K9" s="2" t="s">
        <v>78</v>
      </c>
      <c r="L9" s="2" t="s">
        <v>62</v>
      </c>
      <c r="M9" s="2" t="s">
        <v>60</v>
      </c>
      <c r="N9" s="2" t="s">
        <v>79</v>
      </c>
      <c r="O9" s="1" t="s">
        <v>30</v>
      </c>
      <c r="P9" s="14">
        <v>17850</v>
      </c>
      <c r="Q9" s="14"/>
      <c r="R9" s="14"/>
      <c r="S9" s="2"/>
    </row>
    <row r="10" spans="1:19" x14ac:dyDescent="0.4">
      <c r="A10" s="12">
        <f t="shared" si="0"/>
        <v>8</v>
      </c>
      <c r="B10" s="5" t="s">
        <v>79</v>
      </c>
      <c r="C10" s="5" t="s">
        <v>81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  <c r="I10" s="5" t="s">
        <v>87</v>
      </c>
      <c r="J10" s="5" t="s">
        <v>88</v>
      </c>
      <c r="K10" s="5" t="s">
        <v>89</v>
      </c>
      <c r="L10" s="5" t="s">
        <v>90</v>
      </c>
      <c r="M10" s="5" t="s">
        <v>91</v>
      </c>
      <c r="N10" s="5"/>
      <c r="O10" s="4" t="s">
        <v>30</v>
      </c>
      <c r="P10" s="15">
        <v>8000</v>
      </c>
      <c r="Q10" s="14">
        <v>8000</v>
      </c>
      <c r="R10" s="14"/>
      <c r="S10" s="5"/>
    </row>
    <row r="11" spans="1:19" x14ac:dyDescent="0.4">
      <c r="A11" s="12">
        <f t="shared" si="0"/>
        <v>9</v>
      </c>
      <c r="B11" s="5" t="s">
        <v>80</v>
      </c>
      <c r="C11" s="5" t="s">
        <v>92</v>
      </c>
      <c r="D11" s="5" t="s">
        <v>82</v>
      </c>
      <c r="E11" s="5" t="s">
        <v>83</v>
      </c>
      <c r="F11" s="5" t="s">
        <v>84</v>
      </c>
      <c r="G11" s="5" t="s">
        <v>85</v>
      </c>
      <c r="H11" s="5" t="s">
        <v>93</v>
      </c>
      <c r="I11" s="5" t="s">
        <v>94</v>
      </c>
      <c r="J11" s="5" t="s">
        <v>95</v>
      </c>
      <c r="K11" s="5" t="s">
        <v>89</v>
      </c>
      <c r="L11" s="5" t="s">
        <v>90</v>
      </c>
      <c r="M11" s="5" t="s">
        <v>91</v>
      </c>
      <c r="N11" s="5"/>
      <c r="O11" s="4" t="s">
        <v>30</v>
      </c>
      <c r="P11" s="15">
        <v>11000</v>
      </c>
      <c r="Q11" s="14">
        <v>11000</v>
      </c>
      <c r="R11" s="14"/>
      <c r="S11" s="5"/>
    </row>
    <row r="12" spans="1:19" x14ac:dyDescent="0.4">
      <c r="A12" s="12">
        <f t="shared" si="0"/>
        <v>10</v>
      </c>
      <c r="B12" s="5" t="s">
        <v>80</v>
      </c>
      <c r="C12" s="5" t="s">
        <v>92</v>
      </c>
      <c r="D12" s="5" t="s">
        <v>96</v>
      </c>
      <c r="E12" s="5" t="s">
        <v>97</v>
      </c>
      <c r="F12" s="5" t="s">
        <v>67</v>
      </c>
      <c r="G12" s="5" t="s">
        <v>85</v>
      </c>
      <c r="H12" s="5" t="s">
        <v>93</v>
      </c>
      <c r="I12" s="5" t="s">
        <v>98</v>
      </c>
      <c r="J12" s="5" t="s">
        <v>99</v>
      </c>
      <c r="K12" s="5" t="s">
        <v>100</v>
      </c>
      <c r="L12" s="5" t="s">
        <v>101</v>
      </c>
      <c r="M12" s="5" t="s">
        <v>91</v>
      </c>
      <c r="N12" s="5" t="s">
        <v>90</v>
      </c>
      <c r="O12" s="4" t="s">
        <v>30</v>
      </c>
      <c r="P12" s="15">
        <v>2300</v>
      </c>
      <c r="Q12" s="14">
        <v>1000</v>
      </c>
      <c r="R12" s="14">
        <v>1300</v>
      </c>
      <c r="S12" s="5" t="s">
        <v>102</v>
      </c>
    </row>
    <row r="13" spans="1:19" x14ac:dyDescent="0.4">
      <c r="A13" s="12">
        <f t="shared" si="0"/>
        <v>11</v>
      </c>
      <c r="B13" s="2" t="s">
        <v>101</v>
      </c>
      <c r="C13" s="2" t="s">
        <v>65</v>
      </c>
      <c r="D13" s="2" t="s">
        <v>65</v>
      </c>
      <c r="E13" s="2" t="s">
        <v>66</v>
      </c>
      <c r="F13" s="2" t="s">
        <v>67</v>
      </c>
      <c r="G13" s="2" t="s">
        <v>23</v>
      </c>
      <c r="H13" s="2" t="s">
        <v>103</v>
      </c>
      <c r="I13" s="2" t="s">
        <v>104</v>
      </c>
      <c r="J13" s="2" t="s">
        <v>105</v>
      </c>
      <c r="K13" s="2" t="s">
        <v>106</v>
      </c>
      <c r="L13" s="2" t="s">
        <v>107</v>
      </c>
      <c r="M13" s="2" t="s">
        <v>73</v>
      </c>
      <c r="N13" s="2" t="s">
        <v>90</v>
      </c>
      <c r="O13" s="1" t="s">
        <v>30</v>
      </c>
      <c r="P13" s="14">
        <v>85000</v>
      </c>
      <c r="Q13" s="14">
        <v>12200</v>
      </c>
      <c r="R13" s="14">
        <v>52552</v>
      </c>
      <c r="S13" s="2"/>
    </row>
    <row r="14" spans="1:19" x14ac:dyDescent="0.4">
      <c r="A14" s="12">
        <f t="shared" si="0"/>
        <v>12</v>
      </c>
      <c r="B14" s="5" t="s">
        <v>35</v>
      </c>
      <c r="C14" s="5" t="s">
        <v>92</v>
      </c>
      <c r="D14" s="5" t="s">
        <v>82</v>
      </c>
      <c r="E14" s="5" t="s">
        <v>83</v>
      </c>
      <c r="F14" s="5" t="s">
        <v>67</v>
      </c>
      <c r="G14" s="5" t="s">
        <v>85</v>
      </c>
      <c r="H14" s="5" t="s">
        <v>108</v>
      </c>
      <c r="I14" s="5" t="s">
        <v>109</v>
      </c>
      <c r="J14" s="5" t="s">
        <v>110</v>
      </c>
      <c r="K14" s="5" t="s">
        <v>89</v>
      </c>
      <c r="L14" s="5" t="s">
        <v>111</v>
      </c>
      <c r="M14" s="5" t="s">
        <v>112</v>
      </c>
      <c r="N14" s="5"/>
      <c r="O14" s="4" t="s">
        <v>30</v>
      </c>
      <c r="P14" s="15">
        <v>84200</v>
      </c>
      <c r="Q14" s="14">
        <v>39200</v>
      </c>
      <c r="R14" s="14">
        <v>45000</v>
      </c>
      <c r="S14" s="5" t="s">
        <v>113</v>
      </c>
    </row>
    <row r="15" spans="1:19" x14ac:dyDescent="0.4">
      <c r="A15" s="12">
        <f t="shared" si="0"/>
        <v>13</v>
      </c>
      <c r="B15" s="2" t="s">
        <v>114</v>
      </c>
      <c r="C15" s="2" t="s">
        <v>115</v>
      </c>
      <c r="D15" s="2" t="s">
        <v>115</v>
      </c>
      <c r="E15" s="2" t="s">
        <v>116</v>
      </c>
      <c r="F15" s="2" t="s">
        <v>117</v>
      </c>
      <c r="G15" s="2" t="s">
        <v>23</v>
      </c>
      <c r="H15" s="2" t="s">
        <v>55</v>
      </c>
      <c r="I15" s="2" t="s">
        <v>118</v>
      </c>
      <c r="J15" s="2" t="s">
        <v>119</v>
      </c>
      <c r="K15" s="2" t="s">
        <v>120</v>
      </c>
      <c r="L15" s="2" t="s">
        <v>121</v>
      </c>
      <c r="M15" s="2" t="s">
        <v>60</v>
      </c>
      <c r="N15" s="2" t="s">
        <v>122</v>
      </c>
      <c r="O15" s="1" t="s">
        <v>30</v>
      </c>
      <c r="P15" s="14">
        <v>17000</v>
      </c>
      <c r="Q15" s="14"/>
      <c r="R15" s="14"/>
      <c r="S15" s="2"/>
    </row>
    <row r="16" spans="1:19" x14ac:dyDescent="0.4">
      <c r="A16" s="12">
        <f t="shared" si="0"/>
        <v>14</v>
      </c>
      <c r="B16" s="2" t="s">
        <v>123</v>
      </c>
      <c r="C16" s="2" t="s">
        <v>124</v>
      </c>
      <c r="D16" s="2" t="s">
        <v>124</v>
      </c>
      <c r="E16" s="2" t="s">
        <v>125</v>
      </c>
      <c r="F16" s="2" t="s">
        <v>126</v>
      </c>
      <c r="G16" s="2" t="s">
        <v>23</v>
      </c>
      <c r="H16" s="2" t="s">
        <v>127</v>
      </c>
      <c r="I16" s="2" t="s">
        <v>128</v>
      </c>
      <c r="J16" s="2" t="s">
        <v>129</v>
      </c>
      <c r="K16" s="2" t="s">
        <v>130</v>
      </c>
      <c r="L16" s="2" t="s">
        <v>131</v>
      </c>
      <c r="M16" s="2"/>
      <c r="N16" s="2"/>
      <c r="O16" s="1" t="s">
        <v>30</v>
      </c>
      <c r="P16" s="14">
        <v>6000</v>
      </c>
      <c r="Q16" s="14"/>
      <c r="R16" s="14"/>
      <c r="S16" s="2"/>
    </row>
    <row r="17" spans="1:19" x14ac:dyDescent="0.4">
      <c r="A17" s="12">
        <f t="shared" si="0"/>
        <v>15</v>
      </c>
      <c r="B17" s="2" t="s">
        <v>131</v>
      </c>
      <c r="C17" s="2" t="s">
        <v>124</v>
      </c>
      <c r="D17" s="2" t="s">
        <v>124</v>
      </c>
      <c r="E17" s="2" t="s">
        <v>125</v>
      </c>
      <c r="F17" s="2" t="s">
        <v>117</v>
      </c>
      <c r="G17" s="2" t="s">
        <v>23</v>
      </c>
      <c r="H17" s="2" t="s">
        <v>132</v>
      </c>
      <c r="I17" s="2" t="s">
        <v>133</v>
      </c>
      <c r="J17" s="2" t="s">
        <v>134</v>
      </c>
      <c r="K17" s="2" t="s">
        <v>135</v>
      </c>
      <c r="L17" s="2" t="s">
        <v>136</v>
      </c>
      <c r="M17" s="2" t="s">
        <v>60</v>
      </c>
      <c r="N17" s="2" t="s">
        <v>137</v>
      </c>
      <c r="O17" s="1" t="s">
        <v>138</v>
      </c>
      <c r="P17" s="14"/>
      <c r="Q17" s="14"/>
      <c r="R17" s="14"/>
      <c r="S17" s="2" t="s">
        <v>139</v>
      </c>
    </row>
    <row r="18" spans="1:19" x14ac:dyDescent="0.4">
      <c r="A18" s="12">
        <f t="shared" si="0"/>
        <v>16</v>
      </c>
      <c r="B18" s="2" t="s">
        <v>136</v>
      </c>
      <c r="C18" s="2" t="s">
        <v>39</v>
      </c>
      <c r="D18" s="2" t="s">
        <v>140</v>
      </c>
      <c r="E18" s="2" t="s">
        <v>141</v>
      </c>
      <c r="F18" s="2" t="s">
        <v>142</v>
      </c>
      <c r="G18" s="2" t="s">
        <v>23</v>
      </c>
      <c r="H18" s="2" t="s">
        <v>143</v>
      </c>
      <c r="I18" s="2" t="s">
        <v>144</v>
      </c>
      <c r="J18" s="2" t="s">
        <v>145</v>
      </c>
      <c r="K18" s="2" t="s">
        <v>146</v>
      </c>
      <c r="L18" s="2"/>
      <c r="M18" s="2" t="s">
        <v>147</v>
      </c>
      <c r="N18" s="2"/>
      <c r="O18" s="1" t="s">
        <v>30</v>
      </c>
      <c r="P18" s="14">
        <v>17640</v>
      </c>
      <c r="Q18" s="14"/>
      <c r="R18" s="14">
        <v>10800</v>
      </c>
      <c r="S18" s="2"/>
    </row>
    <row r="19" spans="1:19" x14ac:dyDescent="0.4">
      <c r="A19" s="12">
        <f t="shared" si="0"/>
        <v>17</v>
      </c>
      <c r="B19" s="5" t="s">
        <v>149</v>
      </c>
      <c r="C19" s="5" t="s">
        <v>92</v>
      </c>
      <c r="D19" s="5" t="s">
        <v>82</v>
      </c>
      <c r="E19" s="5" t="s">
        <v>83</v>
      </c>
      <c r="F19" s="5" t="s">
        <v>67</v>
      </c>
      <c r="G19" s="5" t="s">
        <v>85</v>
      </c>
      <c r="H19" s="5" t="s">
        <v>150</v>
      </c>
      <c r="I19" s="5" t="s">
        <v>151</v>
      </c>
      <c r="J19" s="5" t="s">
        <v>152</v>
      </c>
      <c r="K19" s="5" t="s">
        <v>89</v>
      </c>
      <c r="L19" s="5" t="s">
        <v>149</v>
      </c>
      <c r="M19" s="5" t="s">
        <v>91</v>
      </c>
      <c r="N19" s="5"/>
      <c r="O19" s="4" t="s">
        <v>30</v>
      </c>
      <c r="P19" s="15">
        <v>5400</v>
      </c>
      <c r="Q19" s="14">
        <v>2400</v>
      </c>
      <c r="R19" s="14">
        <v>3000</v>
      </c>
      <c r="S19" s="5"/>
    </row>
    <row r="20" spans="1:19" x14ac:dyDescent="0.4">
      <c r="A20" s="12">
        <f t="shared" si="0"/>
        <v>18</v>
      </c>
      <c r="B20" s="5" t="s">
        <v>153</v>
      </c>
      <c r="C20" s="5" t="s">
        <v>92</v>
      </c>
      <c r="D20" s="5" t="s">
        <v>82</v>
      </c>
      <c r="E20" s="5" t="s">
        <v>83</v>
      </c>
      <c r="F20" s="5" t="s">
        <v>67</v>
      </c>
      <c r="G20" s="5" t="s">
        <v>85</v>
      </c>
      <c r="H20" s="5" t="s">
        <v>154</v>
      </c>
      <c r="I20" s="5" t="s">
        <v>155</v>
      </c>
      <c r="J20" s="5" t="s">
        <v>156</v>
      </c>
      <c r="K20" s="5" t="s">
        <v>89</v>
      </c>
      <c r="L20" s="5" t="s">
        <v>153</v>
      </c>
      <c r="M20" s="5" t="s">
        <v>112</v>
      </c>
      <c r="N20" s="5"/>
      <c r="O20" s="4" t="s">
        <v>30</v>
      </c>
      <c r="P20" s="15">
        <v>12000</v>
      </c>
      <c r="Q20" s="14">
        <v>6000</v>
      </c>
      <c r="R20" s="14">
        <v>6000</v>
      </c>
      <c r="S20" s="5"/>
    </row>
    <row r="21" spans="1:19" x14ac:dyDescent="0.4">
      <c r="A21" s="12">
        <f t="shared" si="0"/>
        <v>19</v>
      </c>
      <c r="B21" s="5" t="s">
        <v>157</v>
      </c>
      <c r="C21" s="5" t="s">
        <v>92</v>
      </c>
      <c r="D21" s="5" t="s">
        <v>82</v>
      </c>
      <c r="E21" s="5" t="s">
        <v>83</v>
      </c>
      <c r="F21" s="5" t="s">
        <v>67</v>
      </c>
      <c r="G21" s="5" t="s">
        <v>85</v>
      </c>
      <c r="H21" s="5" t="s">
        <v>158</v>
      </c>
      <c r="I21" s="5" t="s">
        <v>159</v>
      </c>
      <c r="J21" s="5" t="s">
        <v>160</v>
      </c>
      <c r="K21" s="5" t="s">
        <v>89</v>
      </c>
      <c r="L21" s="5" t="s">
        <v>153</v>
      </c>
      <c r="M21" s="5" t="s">
        <v>91</v>
      </c>
      <c r="N21" s="5"/>
      <c r="O21" s="4" t="s">
        <v>30</v>
      </c>
      <c r="P21" s="15">
        <v>18000</v>
      </c>
      <c r="Q21" s="14">
        <v>9000</v>
      </c>
      <c r="R21" s="14">
        <v>9000</v>
      </c>
      <c r="S21" s="5"/>
    </row>
    <row r="22" spans="1:19" x14ac:dyDescent="0.4">
      <c r="A22" s="12">
        <f t="shared" si="0"/>
        <v>20</v>
      </c>
      <c r="B22" s="2" t="s">
        <v>161</v>
      </c>
      <c r="C22" s="2" t="s">
        <v>39</v>
      </c>
      <c r="D22" s="2" t="s">
        <v>140</v>
      </c>
      <c r="E22" s="2" t="s">
        <v>162</v>
      </c>
      <c r="F22" s="2" t="s">
        <v>163</v>
      </c>
      <c r="G22" s="2" t="s">
        <v>23</v>
      </c>
      <c r="H22" s="2" t="s">
        <v>143</v>
      </c>
      <c r="I22" s="2" t="s">
        <v>144</v>
      </c>
      <c r="J22" s="2" t="s">
        <v>164</v>
      </c>
      <c r="K22" s="2" t="s">
        <v>165</v>
      </c>
      <c r="L22" s="2" t="s">
        <v>161</v>
      </c>
      <c r="M22" s="2" t="s">
        <v>60</v>
      </c>
      <c r="N22" s="2" t="s">
        <v>166</v>
      </c>
      <c r="O22" s="1" t="s">
        <v>30</v>
      </c>
      <c r="P22" s="14">
        <v>15750</v>
      </c>
      <c r="Q22" s="14"/>
      <c r="R22" s="14"/>
      <c r="S22" s="2"/>
    </row>
    <row r="23" spans="1:19" x14ac:dyDescent="0.4">
      <c r="A23" s="12">
        <f t="shared" si="0"/>
        <v>21</v>
      </c>
      <c r="B23" s="2" t="s">
        <v>148</v>
      </c>
      <c r="C23" s="2" t="s">
        <v>39</v>
      </c>
      <c r="D23" s="2" t="s">
        <v>140</v>
      </c>
      <c r="E23" s="2" t="s">
        <v>162</v>
      </c>
      <c r="F23" s="2" t="s">
        <v>84</v>
      </c>
      <c r="G23" s="2" t="s">
        <v>23</v>
      </c>
      <c r="H23" s="2" t="s">
        <v>68</v>
      </c>
      <c r="I23" s="2" t="s">
        <v>167</v>
      </c>
      <c r="J23" s="2" t="s">
        <v>168</v>
      </c>
      <c r="K23" s="2" t="s">
        <v>169</v>
      </c>
      <c r="L23" s="2" t="s">
        <v>148</v>
      </c>
      <c r="M23" s="2" t="s">
        <v>91</v>
      </c>
      <c r="N23" s="2"/>
      <c r="O23" s="1" t="s">
        <v>30</v>
      </c>
      <c r="P23" s="14">
        <v>2400</v>
      </c>
      <c r="Q23" s="14">
        <v>2400</v>
      </c>
      <c r="R23" s="14"/>
      <c r="S23" s="2"/>
    </row>
    <row r="24" spans="1:19" x14ac:dyDescent="0.4">
      <c r="A24" s="12">
        <f t="shared" si="0"/>
        <v>22</v>
      </c>
      <c r="B24" s="2" t="s">
        <v>175</v>
      </c>
      <c r="C24" s="2" t="s">
        <v>115</v>
      </c>
      <c r="D24" s="2" t="s">
        <v>115</v>
      </c>
      <c r="E24" s="2" t="s">
        <v>116</v>
      </c>
      <c r="F24" s="2" t="s">
        <v>117</v>
      </c>
      <c r="G24" s="2" t="s">
        <v>23</v>
      </c>
      <c r="H24" s="2" t="s">
        <v>171</v>
      </c>
      <c r="I24" s="2" t="s">
        <v>172</v>
      </c>
      <c r="J24" s="2" t="s">
        <v>173</v>
      </c>
      <c r="K24" s="2" t="s">
        <v>174</v>
      </c>
      <c r="L24" s="7" t="s">
        <v>38</v>
      </c>
      <c r="M24" s="2" t="s">
        <v>60</v>
      </c>
      <c r="N24" s="2" t="s">
        <v>175</v>
      </c>
      <c r="O24" s="1" t="s">
        <v>30</v>
      </c>
      <c r="P24" s="14">
        <v>18000</v>
      </c>
      <c r="Q24" s="14"/>
      <c r="R24" s="14"/>
    </row>
    <row r="25" spans="1:19" x14ac:dyDescent="0.4">
      <c r="A25" s="12">
        <f t="shared" si="0"/>
        <v>23</v>
      </c>
      <c r="B25" s="8" t="s">
        <v>177</v>
      </c>
      <c r="C25" s="8" t="s">
        <v>81</v>
      </c>
      <c r="D25" s="8" t="s">
        <v>82</v>
      </c>
      <c r="E25" s="8" t="s">
        <v>83</v>
      </c>
      <c r="F25" s="8" t="s">
        <v>67</v>
      </c>
      <c r="G25" s="8" t="s">
        <v>85</v>
      </c>
      <c r="H25" s="8" t="s">
        <v>86</v>
      </c>
      <c r="I25" s="8" t="s">
        <v>178</v>
      </c>
      <c r="J25" s="8" t="s">
        <v>179</v>
      </c>
      <c r="K25" s="8" t="s">
        <v>89</v>
      </c>
      <c r="L25" s="8" t="s">
        <v>177</v>
      </c>
      <c r="M25" s="8" t="s">
        <v>91</v>
      </c>
      <c r="N25" s="8"/>
      <c r="O25" s="6" t="s">
        <v>30</v>
      </c>
      <c r="P25" s="16">
        <v>2000</v>
      </c>
      <c r="Q25" s="14">
        <v>1000</v>
      </c>
      <c r="R25" s="14">
        <v>1000</v>
      </c>
    </row>
    <row r="26" spans="1:19" x14ac:dyDescent="0.4">
      <c r="A26" s="12">
        <f t="shared" si="0"/>
        <v>24</v>
      </c>
      <c r="B26" s="8" t="s">
        <v>38</v>
      </c>
      <c r="C26" s="8" t="s">
        <v>81</v>
      </c>
      <c r="D26" s="8" t="s">
        <v>82</v>
      </c>
      <c r="E26" s="8" t="s">
        <v>83</v>
      </c>
      <c r="F26" s="8" t="s">
        <v>67</v>
      </c>
      <c r="G26" s="8" t="s">
        <v>85</v>
      </c>
      <c r="H26" s="8" t="s">
        <v>180</v>
      </c>
      <c r="I26" s="8" t="s">
        <v>181</v>
      </c>
      <c r="J26" s="8" t="s">
        <v>182</v>
      </c>
      <c r="K26" s="8" t="s">
        <v>89</v>
      </c>
      <c r="L26" s="8" t="s">
        <v>183</v>
      </c>
      <c r="M26" s="8" t="s">
        <v>91</v>
      </c>
      <c r="N26" s="8"/>
      <c r="O26" s="6" t="s">
        <v>30</v>
      </c>
      <c r="P26" s="16">
        <v>2000</v>
      </c>
      <c r="Q26" s="14">
        <v>1000</v>
      </c>
      <c r="R26" s="14">
        <v>1000</v>
      </c>
    </row>
    <row r="27" spans="1:19" x14ac:dyDescent="0.4">
      <c r="A27" s="12">
        <f t="shared" si="0"/>
        <v>25</v>
      </c>
      <c r="B27" s="2" t="s">
        <v>184</v>
      </c>
      <c r="C27" s="2" t="s">
        <v>185</v>
      </c>
      <c r="D27" s="2" t="s">
        <v>65</v>
      </c>
      <c r="E27" s="2" t="s">
        <v>66</v>
      </c>
      <c r="F27" s="2" t="s">
        <v>67</v>
      </c>
      <c r="G27" s="2" t="s">
        <v>23</v>
      </c>
      <c r="H27" s="2" t="s">
        <v>186</v>
      </c>
      <c r="I27" s="2" t="s">
        <v>187</v>
      </c>
      <c r="J27" s="2" t="s">
        <v>188</v>
      </c>
      <c r="K27" s="2" t="s">
        <v>189</v>
      </c>
      <c r="L27" s="2" t="s">
        <v>184</v>
      </c>
      <c r="M27" s="2" t="s">
        <v>112</v>
      </c>
      <c r="N27" s="2"/>
      <c r="O27" s="1"/>
      <c r="P27" s="14">
        <v>265587</v>
      </c>
      <c r="Q27" s="14">
        <v>89500</v>
      </c>
      <c r="R27" s="14">
        <v>131040</v>
      </c>
    </row>
    <row r="28" spans="1:19" x14ac:dyDescent="0.4">
      <c r="A28" s="12">
        <f t="shared" si="0"/>
        <v>26</v>
      </c>
      <c r="B28" s="2" t="s">
        <v>190</v>
      </c>
      <c r="C28" s="2" t="s">
        <v>191</v>
      </c>
      <c r="D28" s="2" t="s">
        <v>192</v>
      </c>
      <c r="E28" s="2" t="s">
        <v>193</v>
      </c>
      <c r="F28" s="2" t="s">
        <v>142</v>
      </c>
      <c r="G28" s="2" t="s">
        <v>23</v>
      </c>
      <c r="H28" s="2" t="s">
        <v>194</v>
      </c>
      <c r="I28" s="2" t="s">
        <v>195</v>
      </c>
      <c r="J28" s="2" t="s">
        <v>196</v>
      </c>
      <c r="K28" s="2" t="s">
        <v>197</v>
      </c>
      <c r="L28" s="2" t="s">
        <v>198</v>
      </c>
      <c r="M28" s="2" t="s">
        <v>199</v>
      </c>
      <c r="N28" s="2"/>
      <c r="O28" s="1"/>
      <c r="P28" s="14">
        <v>66528</v>
      </c>
      <c r="Q28" s="14"/>
      <c r="R28" s="14">
        <v>63360</v>
      </c>
    </row>
    <row r="29" spans="1:19" x14ac:dyDescent="0.4">
      <c r="A29" s="12">
        <f t="shared" si="0"/>
        <v>27</v>
      </c>
      <c r="B29" s="2" t="s">
        <v>200</v>
      </c>
      <c r="C29" s="2" t="s">
        <v>201</v>
      </c>
      <c r="D29" s="2" t="s">
        <v>202</v>
      </c>
      <c r="E29" s="2" t="s">
        <v>203</v>
      </c>
      <c r="F29" s="2" t="s">
        <v>142</v>
      </c>
      <c r="G29" s="2" t="s">
        <v>23</v>
      </c>
      <c r="H29" s="2" t="s">
        <v>204</v>
      </c>
      <c r="I29" s="2" t="s">
        <v>205</v>
      </c>
      <c r="J29" s="2" t="s">
        <v>206</v>
      </c>
      <c r="K29" s="2" t="s">
        <v>207</v>
      </c>
      <c r="L29" s="2" t="s">
        <v>208</v>
      </c>
      <c r="M29" s="2" t="s">
        <v>90</v>
      </c>
      <c r="N29" s="2"/>
      <c r="O29" s="1" t="s">
        <v>30</v>
      </c>
      <c r="P29" s="14">
        <v>2000</v>
      </c>
      <c r="Q29" s="14"/>
      <c r="R29" s="14">
        <v>2000</v>
      </c>
    </row>
    <row r="30" spans="1:19" x14ac:dyDescent="0.4">
      <c r="A30" s="12">
        <f t="shared" si="0"/>
        <v>28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117</v>
      </c>
      <c r="G30" s="2" t="s">
        <v>23</v>
      </c>
      <c r="H30" s="2" t="s">
        <v>212</v>
      </c>
      <c r="I30" s="2" t="s">
        <v>213</v>
      </c>
      <c r="J30" s="2" t="s">
        <v>214</v>
      </c>
      <c r="K30" s="2" t="s">
        <v>215</v>
      </c>
      <c r="L30" s="2"/>
      <c r="M30" s="2"/>
      <c r="N30" s="2"/>
      <c r="O30" s="1"/>
      <c r="P30" s="14"/>
      <c r="Q30" s="14"/>
      <c r="R30" s="14"/>
    </row>
    <row r="31" spans="1:19" x14ac:dyDescent="0.4">
      <c r="A31" s="12">
        <f t="shared" si="0"/>
        <v>29</v>
      </c>
      <c r="B31" s="2" t="s">
        <v>216</v>
      </c>
      <c r="C31" s="2" t="s">
        <v>217</v>
      </c>
      <c r="D31" s="2" t="s">
        <v>217</v>
      </c>
      <c r="E31" s="2" t="s">
        <v>218</v>
      </c>
      <c r="F31" s="2" t="s">
        <v>142</v>
      </c>
      <c r="G31" s="2" t="s">
        <v>23</v>
      </c>
      <c r="H31" s="2" t="s">
        <v>68</v>
      </c>
      <c r="I31" s="2" t="s">
        <v>219</v>
      </c>
      <c r="J31" s="2" t="s">
        <v>220</v>
      </c>
      <c r="K31" s="2" t="s">
        <v>221</v>
      </c>
      <c r="L31" s="2" t="s">
        <v>222</v>
      </c>
      <c r="M31" s="2" t="s">
        <v>199</v>
      </c>
      <c r="N31" s="2"/>
      <c r="O31" s="1"/>
      <c r="P31" s="14">
        <v>14175</v>
      </c>
      <c r="Q31" s="14"/>
      <c r="R31" s="14">
        <v>13500</v>
      </c>
    </row>
    <row r="32" spans="1:19" x14ac:dyDescent="0.4">
      <c r="A32" s="12">
        <f t="shared" si="0"/>
        <v>30</v>
      </c>
      <c r="B32" s="2" t="s">
        <v>216</v>
      </c>
      <c r="C32" s="2" t="s">
        <v>223</v>
      </c>
      <c r="D32" s="2" t="s">
        <v>223</v>
      </c>
      <c r="E32" s="2" t="s">
        <v>224</v>
      </c>
      <c r="F32" s="2" t="s">
        <v>225</v>
      </c>
      <c r="G32" s="2" t="s">
        <v>85</v>
      </c>
      <c r="H32" s="2" t="s">
        <v>226</v>
      </c>
      <c r="I32" s="2" t="s">
        <v>227</v>
      </c>
      <c r="J32" s="2" t="s">
        <v>228</v>
      </c>
      <c r="K32" s="2" t="s">
        <v>229</v>
      </c>
      <c r="L32" s="2"/>
      <c r="M32" s="2"/>
      <c r="N32" s="2"/>
      <c r="O32" s="1"/>
      <c r="P32" s="14"/>
      <c r="Q32" s="14"/>
      <c r="R32" s="14"/>
    </row>
    <row r="33" spans="1:18" x14ac:dyDescent="0.4">
      <c r="A33" s="12">
        <f t="shared" si="0"/>
        <v>31</v>
      </c>
      <c r="B33" s="2" t="s">
        <v>216</v>
      </c>
      <c r="C33" s="2" t="s">
        <v>39</v>
      </c>
      <c r="D33" s="2" t="s">
        <v>230</v>
      </c>
      <c r="E33" s="9" t="s">
        <v>162</v>
      </c>
      <c r="F33" s="2" t="s">
        <v>67</v>
      </c>
      <c r="G33" s="2" t="s">
        <v>23</v>
      </c>
      <c r="H33" s="2" t="s">
        <v>127</v>
      </c>
      <c r="I33" s="2" t="s">
        <v>231</v>
      </c>
      <c r="J33" s="2" t="s">
        <v>232</v>
      </c>
      <c r="K33" s="2" t="s">
        <v>233</v>
      </c>
      <c r="L33" s="2" t="s">
        <v>176</v>
      </c>
      <c r="M33" s="2" t="s">
        <v>234</v>
      </c>
      <c r="N33" s="2"/>
      <c r="O33" s="1" t="s">
        <v>30</v>
      </c>
      <c r="P33" s="14">
        <v>19425</v>
      </c>
      <c r="Q33" s="14">
        <v>1000</v>
      </c>
      <c r="R33" s="14">
        <v>1000</v>
      </c>
    </row>
    <row r="34" spans="1:18" x14ac:dyDescent="0.4">
      <c r="A34" s="12">
        <f t="shared" si="0"/>
        <v>32</v>
      </c>
      <c r="B34" s="2" t="s">
        <v>236</v>
      </c>
      <c r="C34" s="2" t="s">
        <v>237</v>
      </c>
      <c r="D34" s="2" t="s">
        <v>237</v>
      </c>
      <c r="E34" s="9" t="s">
        <v>238</v>
      </c>
      <c r="F34" s="2" t="s">
        <v>239</v>
      </c>
      <c r="G34" s="2" t="s">
        <v>23</v>
      </c>
      <c r="H34" s="2" t="s">
        <v>240</v>
      </c>
      <c r="I34" s="2" t="s">
        <v>241</v>
      </c>
      <c r="J34" s="2" t="s">
        <v>242</v>
      </c>
      <c r="K34" s="2" t="s">
        <v>243</v>
      </c>
      <c r="L34" s="2" t="s">
        <v>244</v>
      </c>
      <c r="M34" s="2" t="s">
        <v>28</v>
      </c>
      <c r="N34" s="2" t="s">
        <v>170</v>
      </c>
      <c r="O34" s="1"/>
      <c r="P34" s="14">
        <v>88200</v>
      </c>
      <c r="Q34" s="14"/>
      <c r="R34" s="14"/>
    </row>
    <row r="35" spans="1:18" x14ac:dyDescent="0.4">
      <c r="A35" s="12">
        <f t="shared" si="0"/>
        <v>33</v>
      </c>
      <c r="B35" s="2" t="s">
        <v>176</v>
      </c>
      <c r="C35" s="2" t="s">
        <v>39</v>
      </c>
      <c r="D35" s="2" t="s">
        <v>245</v>
      </c>
      <c r="E35" s="9" t="s">
        <v>162</v>
      </c>
      <c r="F35" s="2" t="s">
        <v>67</v>
      </c>
      <c r="G35" s="2" t="s">
        <v>23</v>
      </c>
      <c r="H35" s="2" t="s">
        <v>186</v>
      </c>
      <c r="I35" s="2" t="s">
        <v>246</v>
      </c>
      <c r="J35" s="2" t="s">
        <v>247</v>
      </c>
      <c r="K35" s="2" t="s">
        <v>248</v>
      </c>
      <c r="L35" s="2" t="s">
        <v>249</v>
      </c>
      <c r="M35" s="10" t="s">
        <v>250</v>
      </c>
      <c r="N35" s="2"/>
      <c r="O35" s="1"/>
      <c r="P35" s="14">
        <v>30345</v>
      </c>
      <c r="Q35" s="14">
        <v>11900</v>
      </c>
      <c r="R35" s="14">
        <v>17000</v>
      </c>
    </row>
    <row r="36" spans="1:18" x14ac:dyDescent="0.4">
      <c r="A36" s="12">
        <f t="shared" si="0"/>
        <v>34</v>
      </c>
      <c r="B36" s="8" t="s">
        <v>177</v>
      </c>
      <c r="C36" s="8" t="s">
        <v>81</v>
      </c>
      <c r="D36" s="8" t="s">
        <v>82</v>
      </c>
      <c r="E36" s="8" t="s">
        <v>83</v>
      </c>
      <c r="F36" s="8" t="s">
        <v>67</v>
      </c>
      <c r="G36" s="8" t="s">
        <v>85</v>
      </c>
      <c r="H36" s="8" t="s">
        <v>150</v>
      </c>
      <c r="I36" s="8" t="s">
        <v>251</v>
      </c>
      <c r="J36" s="8" t="s">
        <v>252</v>
      </c>
      <c r="K36" s="8" t="s">
        <v>89</v>
      </c>
      <c r="L36" s="8"/>
      <c r="M36" s="8" t="s">
        <v>112</v>
      </c>
      <c r="N36" s="8"/>
      <c r="O36" s="6"/>
      <c r="P36" s="16"/>
      <c r="Q36" s="14"/>
      <c r="R36" s="14"/>
    </row>
    <row r="37" spans="1:18" x14ac:dyDescent="0.4">
      <c r="A37" s="12">
        <f t="shared" si="0"/>
        <v>35</v>
      </c>
      <c r="B37" s="8" t="s">
        <v>176</v>
      </c>
      <c r="C37" s="8" t="s">
        <v>81</v>
      </c>
      <c r="D37" s="8" t="s">
        <v>82</v>
      </c>
      <c r="E37" s="8" t="s">
        <v>83</v>
      </c>
      <c r="F37" s="8" t="s">
        <v>67</v>
      </c>
      <c r="G37" s="8" t="s">
        <v>23</v>
      </c>
      <c r="H37" s="8" t="s">
        <v>253</v>
      </c>
      <c r="I37" s="8" t="s">
        <v>254</v>
      </c>
      <c r="J37" s="8" t="s">
        <v>255</v>
      </c>
      <c r="K37" s="8" t="s">
        <v>89</v>
      </c>
      <c r="L37" s="8"/>
      <c r="M37" s="8" t="s">
        <v>256</v>
      </c>
      <c r="N37" s="8"/>
      <c r="O37" s="6"/>
      <c r="P37" s="16"/>
      <c r="Q37" s="14"/>
      <c r="R37" s="14"/>
    </row>
    <row r="38" spans="1:18" x14ac:dyDescent="0.4">
      <c r="A38" s="12">
        <f t="shared" si="0"/>
        <v>36</v>
      </c>
      <c r="B38" s="8" t="s">
        <v>257</v>
      </c>
      <c r="C38" s="8" t="s">
        <v>81</v>
      </c>
      <c r="D38" s="8" t="s">
        <v>82</v>
      </c>
      <c r="E38" s="8" t="s">
        <v>83</v>
      </c>
      <c r="F38" s="8" t="s">
        <v>84</v>
      </c>
      <c r="G38" s="8" t="s">
        <v>85</v>
      </c>
      <c r="H38" s="8" t="s">
        <v>86</v>
      </c>
      <c r="I38" s="8" t="s">
        <v>258</v>
      </c>
      <c r="J38" s="8" t="s">
        <v>259</v>
      </c>
      <c r="K38" s="8" t="s">
        <v>89</v>
      </c>
      <c r="L38" s="8"/>
      <c r="M38" s="8" t="s">
        <v>250</v>
      </c>
      <c r="N38" s="8"/>
      <c r="O38" s="6"/>
      <c r="P38" s="16">
        <v>32000</v>
      </c>
      <c r="Q38" s="14">
        <v>32000</v>
      </c>
      <c r="R38" s="14"/>
    </row>
    <row r="39" spans="1:18" x14ac:dyDescent="0.4">
      <c r="A39" s="12">
        <f t="shared" si="0"/>
        <v>37</v>
      </c>
      <c r="B39" s="2" t="s">
        <v>257</v>
      </c>
      <c r="C39" s="2" t="s">
        <v>260</v>
      </c>
      <c r="D39" s="2" t="s">
        <v>260</v>
      </c>
      <c r="E39" s="2"/>
      <c r="F39" s="2" t="s">
        <v>67</v>
      </c>
      <c r="G39" s="2" t="s">
        <v>23</v>
      </c>
      <c r="H39" s="2" t="s">
        <v>261</v>
      </c>
      <c r="I39" s="2" t="s">
        <v>262</v>
      </c>
      <c r="J39" s="2" t="s">
        <v>263</v>
      </c>
      <c r="K39" s="2" t="s">
        <v>264</v>
      </c>
      <c r="L39" s="2" t="s">
        <v>235</v>
      </c>
      <c r="M39" s="10" t="s">
        <v>265</v>
      </c>
      <c r="N39" s="2"/>
      <c r="O39" s="1"/>
      <c r="P39" s="14">
        <v>58590</v>
      </c>
      <c r="Q39" s="14">
        <v>18900</v>
      </c>
      <c r="R39" s="14">
        <v>18900</v>
      </c>
    </row>
    <row r="40" spans="1:18" x14ac:dyDescent="0.4">
      <c r="A40" s="12">
        <f t="shared" si="0"/>
        <v>38</v>
      </c>
      <c r="B40" s="5" t="s">
        <v>170</v>
      </c>
      <c r="C40" s="8" t="s">
        <v>81</v>
      </c>
      <c r="D40" s="5" t="s">
        <v>82</v>
      </c>
      <c r="E40" s="5" t="s">
        <v>83</v>
      </c>
      <c r="F40" s="5" t="s">
        <v>67</v>
      </c>
      <c r="G40" s="5" t="s">
        <v>85</v>
      </c>
      <c r="H40" s="5" t="s">
        <v>150</v>
      </c>
      <c r="I40" s="5" t="s">
        <v>266</v>
      </c>
      <c r="J40" s="5" t="s">
        <v>267</v>
      </c>
      <c r="K40" s="5" t="s">
        <v>89</v>
      </c>
      <c r="L40" s="5"/>
      <c r="M40" s="5" t="s">
        <v>91</v>
      </c>
      <c r="N40" s="5"/>
      <c r="O40" s="4"/>
      <c r="P40" s="15">
        <v>2000</v>
      </c>
      <c r="Q40" s="14">
        <v>1000</v>
      </c>
      <c r="R40" s="14">
        <v>1000</v>
      </c>
    </row>
    <row r="41" spans="1:18" x14ac:dyDescent="0.4">
      <c r="A41" s="12">
        <f t="shared" si="0"/>
        <v>39</v>
      </c>
      <c r="B41" s="5" t="s">
        <v>170</v>
      </c>
      <c r="C41" s="8" t="s">
        <v>268</v>
      </c>
      <c r="D41" s="8" t="s">
        <v>268</v>
      </c>
      <c r="E41" s="5"/>
      <c r="F41" s="5" t="s">
        <v>67</v>
      </c>
      <c r="G41" s="5" t="s">
        <v>85</v>
      </c>
      <c r="H41" s="5" t="s">
        <v>226</v>
      </c>
      <c r="I41" s="5" t="s">
        <v>269</v>
      </c>
      <c r="J41" s="5" t="s">
        <v>270</v>
      </c>
      <c r="K41" s="5"/>
      <c r="L41" s="5"/>
      <c r="M41" s="5" t="s">
        <v>91</v>
      </c>
      <c r="N41" s="5"/>
      <c r="O41" s="4"/>
      <c r="P41" s="15">
        <v>2000</v>
      </c>
      <c r="Q41" s="14">
        <v>1000</v>
      </c>
      <c r="R41" s="14">
        <v>1000</v>
      </c>
    </row>
    <row r="42" spans="1:18" x14ac:dyDescent="0.4">
      <c r="A42" s="12">
        <f t="shared" si="0"/>
        <v>40</v>
      </c>
      <c r="B42" s="2" t="s">
        <v>271</v>
      </c>
      <c r="C42" s="2" t="s">
        <v>272</v>
      </c>
      <c r="D42" s="2" t="s">
        <v>273</v>
      </c>
      <c r="E42" s="2" t="s">
        <v>274</v>
      </c>
      <c r="F42" s="2" t="s">
        <v>67</v>
      </c>
      <c r="G42" s="2" t="s">
        <v>23</v>
      </c>
      <c r="H42" s="2" t="s">
        <v>186</v>
      </c>
      <c r="I42" s="2" t="s">
        <v>275</v>
      </c>
      <c r="J42" s="2" t="s">
        <v>196</v>
      </c>
      <c r="K42" s="2" t="s">
        <v>276</v>
      </c>
      <c r="L42" s="2"/>
      <c r="M42" s="2" t="s">
        <v>277</v>
      </c>
      <c r="N42" s="2"/>
      <c r="O42" s="1"/>
      <c r="P42" s="14">
        <v>420000</v>
      </c>
      <c r="Q42" s="14"/>
      <c r="R42" s="14">
        <v>400000</v>
      </c>
    </row>
    <row r="43" spans="1:18" x14ac:dyDescent="0.4">
      <c r="A43" s="12">
        <f t="shared" si="0"/>
        <v>41</v>
      </c>
      <c r="B43" s="2" t="s">
        <v>235</v>
      </c>
      <c r="C43" s="2" t="s">
        <v>278</v>
      </c>
      <c r="D43" s="2" t="s">
        <v>65</v>
      </c>
      <c r="E43" s="2" t="s">
        <v>66</v>
      </c>
      <c r="F43" s="2" t="s">
        <v>67</v>
      </c>
      <c r="G43" s="2" t="s">
        <v>23</v>
      </c>
      <c r="H43" s="2" t="s">
        <v>279</v>
      </c>
      <c r="I43" s="2" t="s">
        <v>280</v>
      </c>
      <c r="J43" s="2" t="s">
        <v>281</v>
      </c>
      <c r="K43" s="2" t="s">
        <v>282</v>
      </c>
      <c r="L43" s="2"/>
      <c r="M43" s="2" t="s">
        <v>250</v>
      </c>
      <c r="N43" s="2"/>
      <c r="O43" s="1"/>
      <c r="P43" s="14">
        <v>268895</v>
      </c>
      <c r="Q43" s="14">
        <v>71640</v>
      </c>
      <c r="R43" s="14">
        <v>116540</v>
      </c>
    </row>
    <row r="44" spans="1:18" x14ac:dyDescent="0.4">
      <c r="A44" s="12">
        <f t="shared" si="0"/>
        <v>42</v>
      </c>
      <c r="B44" s="2" t="s">
        <v>283</v>
      </c>
      <c r="C44" s="2" t="s">
        <v>284</v>
      </c>
      <c r="D44" s="2" t="s">
        <v>285</v>
      </c>
      <c r="E44" s="9" t="s">
        <v>286</v>
      </c>
      <c r="F44" s="2" t="s">
        <v>117</v>
      </c>
      <c r="G44" s="2" t="s">
        <v>23</v>
      </c>
      <c r="H44" s="2" t="s">
        <v>287</v>
      </c>
      <c r="I44" s="2" t="s">
        <v>288</v>
      </c>
      <c r="J44" s="2" t="s">
        <v>289</v>
      </c>
      <c r="K44" s="2" t="s">
        <v>290</v>
      </c>
      <c r="L44" s="2"/>
      <c r="M44" s="2"/>
      <c r="N44" s="2"/>
      <c r="O44" s="1"/>
      <c r="P44" s="14"/>
      <c r="Q44" s="14"/>
      <c r="R44" s="14"/>
    </row>
    <row r="45" spans="1:18" x14ac:dyDescent="0.4">
      <c r="A45" s="12">
        <f t="shared" si="0"/>
        <v>43</v>
      </c>
      <c r="B45" s="2" t="s">
        <v>291</v>
      </c>
      <c r="C45" s="2" t="s">
        <v>39</v>
      </c>
      <c r="D45" s="2" t="s">
        <v>245</v>
      </c>
      <c r="E45" s="9" t="s">
        <v>162</v>
      </c>
      <c r="F45" s="2" t="s">
        <v>67</v>
      </c>
      <c r="G45" s="2" t="s">
        <v>23</v>
      </c>
      <c r="H45" s="2" t="s">
        <v>103</v>
      </c>
      <c r="I45" s="2" t="s">
        <v>292</v>
      </c>
      <c r="J45" s="2" t="s">
        <v>293</v>
      </c>
      <c r="K45" s="2" t="s">
        <v>294</v>
      </c>
      <c r="L45" s="2" t="s">
        <v>295</v>
      </c>
      <c r="M45" s="2" t="s">
        <v>91</v>
      </c>
      <c r="N45" s="2"/>
      <c r="O45" s="1"/>
      <c r="P45" s="14">
        <v>10920</v>
      </c>
      <c r="Q45" s="14">
        <v>2000</v>
      </c>
      <c r="R45" s="14">
        <v>2400</v>
      </c>
    </row>
    <row r="46" spans="1:18" x14ac:dyDescent="0.4">
      <c r="P46" s="14">
        <f>SUM(P3:P45)</f>
        <v>1814615</v>
      </c>
      <c r="Q46" s="14">
        <f>SUM(Q3:Q45)</f>
        <v>352140</v>
      </c>
      <c r="R46" s="14">
        <f>SUM(R3:R45)</f>
        <v>991202</v>
      </c>
    </row>
    <row r="47" spans="1:18" x14ac:dyDescent="0.4">
      <c r="Q47" s="13"/>
      <c r="R47" s="13"/>
    </row>
  </sheetData>
  <mergeCells count="2">
    <mergeCell ref="G1:J1"/>
    <mergeCell ref="K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建物標示圖</vt:lpstr>
      <vt:lpstr>客戶分析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元宏 邱</dc:creator>
  <cp:lastModifiedBy>元宏 邱</cp:lastModifiedBy>
  <dcterms:created xsi:type="dcterms:W3CDTF">2025-04-05T07:08:09Z</dcterms:created>
  <dcterms:modified xsi:type="dcterms:W3CDTF">2026-02-04T13:29:11Z</dcterms:modified>
</cp:coreProperties>
</file>